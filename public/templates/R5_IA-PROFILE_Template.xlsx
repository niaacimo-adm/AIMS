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AIMS\public\templates\"/>
    </mc:Choice>
  </mc:AlternateContent>
  <xr:revisionPtr revIDLastSave="0" documentId="13_ncr:1_{CD91B153-2A66-40F7-BA0E-7531608732F5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CSJ-MNOH-SQ" sheetId="14" r:id="rId1"/>
    <sheet name="ALBAY" sheetId="12" r:id="rId2"/>
  </sheets>
  <definedNames>
    <definedName name="_xlnm._FilterDatabase" localSheetId="1" hidden="1">ALBAY!$A$1:$AD$159</definedName>
    <definedName name="_xlnm.Print_Area" localSheetId="0">'CSJ-MNOH-SQ'!$A$1:$T$10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4" l="1"/>
  <c r="J9" i="14"/>
  <c r="J12" i="14" s="1"/>
  <c r="N158" i="12"/>
  <c r="N153" i="12"/>
  <c r="R150" i="12"/>
  <c r="Q150" i="12"/>
  <c r="P150" i="12"/>
  <c r="O150" i="12"/>
  <c r="N150" i="12"/>
  <c r="P148" i="12"/>
  <c r="O148" i="12"/>
  <c r="N148" i="12"/>
  <c r="C147" i="12"/>
  <c r="A147" i="12"/>
  <c r="P145" i="12"/>
  <c r="N145" i="12"/>
  <c r="R144" i="12"/>
  <c r="Q144" i="12"/>
  <c r="P144" i="12"/>
  <c r="O144" i="12"/>
  <c r="N144" i="12"/>
  <c r="C144" i="12"/>
  <c r="A144" i="12"/>
  <c r="R143" i="12"/>
  <c r="Q143" i="12"/>
  <c r="P143" i="12"/>
  <c r="O143" i="12"/>
  <c r="N143" i="12"/>
  <c r="C143" i="12"/>
  <c r="A143" i="12"/>
  <c r="Y142" i="12"/>
  <c r="C142" i="12"/>
  <c r="A142" i="12"/>
  <c r="Y141" i="12"/>
  <c r="C141" i="12"/>
  <c r="A141" i="12"/>
  <c r="Y140" i="12"/>
  <c r="C140" i="12"/>
  <c r="A140" i="12"/>
  <c r="Y139" i="12"/>
  <c r="C139" i="12"/>
  <c r="A139" i="12"/>
  <c r="Y138" i="12"/>
  <c r="C138" i="12"/>
  <c r="A138" i="12"/>
  <c r="Y137" i="12"/>
  <c r="C137" i="12"/>
  <c r="A137" i="12"/>
  <c r="Y136" i="12"/>
  <c r="C136" i="12"/>
  <c r="A136" i="12"/>
  <c r="Y135" i="12"/>
  <c r="C135" i="12"/>
  <c r="A135" i="12"/>
  <c r="Y134" i="12"/>
  <c r="C134" i="12"/>
  <c r="A134" i="12"/>
  <c r="Y133" i="12"/>
  <c r="C133" i="12"/>
  <c r="A133" i="12"/>
  <c r="Y132" i="12"/>
  <c r="C132" i="12"/>
  <c r="A132" i="12"/>
  <c r="Y131" i="12"/>
  <c r="C131" i="12"/>
  <c r="A131" i="12"/>
  <c r="Y130" i="12"/>
  <c r="C130" i="12"/>
  <c r="A130" i="12"/>
  <c r="Y129" i="12"/>
  <c r="C129" i="12"/>
  <c r="A129" i="12"/>
  <c r="Y128" i="12"/>
  <c r="C128" i="12"/>
  <c r="A128" i="12"/>
  <c r="Y127" i="12"/>
  <c r="C127" i="12"/>
  <c r="A127" i="12"/>
  <c r="Y126" i="12"/>
  <c r="C126" i="12"/>
  <c r="A126" i="12"/>
  <c r="Y125" i="12"/>
  <c r="C125" i="12"/>
  <c r="A125" i="12"/>
  <c r="Y124" i="12"/>
  <c r="C124" i="12"/>
  <c r="A124" i="12"/>
  <c r="Y123" i="12"/>
  <c r="C123" i="12"/>
  <c r="A123" i="12"/>
  <c r="Y122" i="12"/>
  <c r="C122" i="12"/>
  <c r="A122" i="12"/>
  <c r="Y121" i="12"/>
  <c r="C121" i="12"/>
  <c r="A121" i="12"/>
  <c r="Y120" i="12"/>
  <c r="C120" i="12"/>
  <c r="A120" i="12"/>
  <c r="Y119" i="12"/>
  <c r="C119" i="12"/>
  <c r="A119" i="12"/>
  <c r="Y118" i="12"/>
  <c r="C118" i="12"/>
  <c r="A118" i="12"/>
  <c r="Y117" i="12"/>
  <c r="C117" i="12"/>
  <c r="A117" i="12"/>
  <c r="Y116" i="12"/>
  <c r="C116" i="12"/>
  <c r="A116" i="12"/>
  <c r="Y115" i="12"/>
  <c r="C115" i="12"/>
  <c r="A115" i="12"/>
  <c r="Y114" i="12"/>
  <c r="C114" i="12"/>
  <c r="A114" i="12"/>
  <c r="Y113" i="12"/>
  <c r="C113" i="12"/>
  <c r="A113" i="12"/>
  <c r="Y112" i="12"/>
  <c r="C112" i="12"/>
  <c r="A112" i="12"/>
  <c r="Y111" i="12"/>
  <c r="C111" i="12"/>
  <c r="A111" i="12"/>
  <c r="Y110" i="12"/>
  <c r="C110" i="12"/>
  <c r="A110" i="12"/>
  <c r="Y109" i="12"/>
  <c r="C109" i="12"/>
  <c r="A109" i="12"/>
  <c r="Y108" i="12"/>
  <c r="C108" i="12"/>
  <c r="A108" i="12"/>
  <c r="Y107" i="12"/>
  <c r="C107" i="12"/>
  <c r="A107" i="12"/>
  <c r="Y106" i="12"/>
  <c r="C106" i="12"/>
  <c r="A106" i="12"/>
  <c r="Y105" i="12"/>
  <c r="C105" i="12"/>
  <c r="A105" i="12"/>
  <c r="Y104" i="12"/>
  <c r="C104" i="12"/>
  <c r="A104" i="12"/>
  <c r="Y103" i="12"/>
  <c r="C103" i="12"/>
  <c r="A103" i="12"/>
  <c r="Y102" i="12"/>
  <c r="C102" i="12"/>
  <c r="A102" i="12"/>
  <c r="Y101" i="12"/>
  <c r="C101" i="12"/>
  <c r="A101" i="12"/>
  <c r="Y100" i="12"/>
  <c r="C100" i="12"/>
  <c r="A100" i="12"/>
  <c r="Y99" i="12"/>
  <c r="C99" i="12"/>
  <c r="A99" i="12"/>
  <c r="Y98" i="12"/>
  <c r="Y96" i="12"/>
  <c r="X96" i="12"/>
  <c r="W96" i="12"/>
  <c r="R96" i="12"/>
  <c r="Q96" i="12"/>
  <c r="P96" i="12"/>
  <c r="O96" i="12"/>
  <c r="N96" i="12"/>
  <c r="C96" i="12"/>
  <c r="A96" i="12"/>
  <c r="Y95" i="12"/>
  <c r="A95" i="12"/>
  <c r="Y94" i="12"/>
  <c r="A94" i="12"/>
  <c r="Y93" i="12"/>
  <c r="A93" i="12"/>
  <c r="Y92" i="12"/>
  <c r="A92" i="12"/>
  <c r="Y91" i="12"/>
  <c r="A91" i="12"/>
  <c r="Y90" i="12"/>
  <c r="A90" i="12"/>
  <c r="Y89" i="12"/>
  <c r="A89" i="12"/>
  <c r="Y88" i="12"/>
  <c r="A88" i="12"/>
  <c r="Y87" i="12"/>
  <c r="A87" i="12"/>
  <c r="Y86" i="12"/>
  <c r="A86" i="12"/>
  <c r="Y85" i="12"/>
  <c r="A85" i="12"/>
  <c r="Y84" i="12"/>
  <c r="A84" i="12"/>
  <c r="Y83" i="12"/>
  <c r="A83" i="12"/>
  <c r="Y82" i="12"/>
  <c r="A82" i="12"/>
  <c r="Y81" i="12"/>
  <c r="A81" i="12"/>
  <c r="Y80" i="12"/>
  <c r="A80" i="12"/>
  <c r="Y79" i="12"/>
  <c r="A79" i="12"/>
  <c r="Y78" i="12"/>
  <c r="A78" i="12"/>
  <c r="Y77" i="12"/>
  <c r="A77" i="12"/>
  <c r="Y76" i="12"/>
  <c r="A76" i="12"/>
  <c r="Y75" i="12"/>
  <c r="A75" i="12"/>
  <c r="Y74" i="12"/>
  <c r="A74" i="12"/>
  <c r="Y73" i="12"/>
  <c r="A73" i="12"/>
  <c r="Y72" i="12"/>
  <c r="A72" i="12"/>
  <c r="Y71" i="12"/>
  <c r="A71" i="12"/>
  <c r="Y70" i="12"/>
  <c r="A70" i="12"/>
  <c r="Y69" i="12"/>
  <c r="A69" i="12"/>
  <c r="Y68" i="12"/>
  <c r="A68" i="12"/>
  <c r="Y67" i="12"/>
  <c r="A67" i="12"/>
  <c r="Y66" i="12"/>
  <c r="A66" i="12"/>
  <c r="Y65" i="12"/>
  <c r="A65" i="12"/>
  <c r="Y64" i="12"/>
  <c r="A64" i="12"/>
  <c r="Y63" i="12"/>
  <c r="A63" i="12"/>
  <c r="Y62" i="12"/>
  <c r="A62" i="12"/>
  <c r="Y61" i="12"/>
  <c r="A61" i="12"/>
  <c r="Y60" i="12"/>
  <c r="A60" i="12"/>
  <c r="Y59" i="12"/>
  <c r="A59" i="12"/>
  <c r="Y58" i="12"/>
  <c r="A58" i="12"/>
  <c r="Y57" i="12"/>
  <c r="A57" i="12"/>
  <c r="Y56" i="12"/>
  <c r="A56" i="12"/>
  <c r="Y55" i="12"/>
  <c r="A55" i="12"/>
  <c r="Y54" i="12"/>
  <c r="A54" i="12"/>
  <c r="Y53" i="12"/>
  <c r="A53" i="12"/>
  <c r="Y52" i="12"/>
  <c r="Y50" i="12"/>
  <c r="X50" i="12"/>
  <c r="W50" i="12"/>
  <c r="R50" i="12"/>
  <c r="Q50" i="12"/>
  <c r="P50" i="12"/>
  <c r="O50" i="12"/>
  <c r="N50" i="12"/>
  <c r="C50" i="12"/>
  <c r="A50" i="12"/>
  <c r="Y49" i="12"/>
  <c r="C49" i="12"/>
  <c r="A49" i="12"/>
  <c r="Y48" i="12"/>
  <c r="C48" i="12"/>
  <c r="A48" i="12"/>
  <c r="Y47" i="12"/>
  <c r="C47" i="12"/>
  <c r="A47" i="12"/>
  <c r="Y46" i="12"/>
  <c r="C46" i="12"/>
  <c r="A46" i="12"/>
  <c r="Y45" i="12"/>
  <c r="C45" i="12"/>
  <c r="A45" i="12"/>
  <c r="Y44" i="12"/>
  <c r="C44" i="12"/>
  <c r="A44" i="12"/>
  <c r="Y43" i="12"/>
  <c r="C43" i="12"/>
  <c r="A43" i="12"/>
  <c r="Y42" i="12"/>
  <c r="C42" i="12"/>
  <c r="A42" i="12"/>
  <c r="Y41" i="12"/>
  <c r="C41" i="12"/>
  <c r="A41" i="12"/>
  <c r="Y40" i="12"/>
  <c r="C40" i="12"/>
  <c r="A40" i="12"/>
  <c r="Y39" i="12"/>
  <c r="C39" i="12"/>
  <c r="A39" i="12"/>
  <c r="Y38" i="12"/>
  <c r="C38" i="12"/>
  <c r="A38" i="12"/>
  <c r="Y37" i="12"/>
  <c r="C37" i="12"/>
  <c r="A37" i="12"/>
  <c r="Y36" i="12"/>
  <c r="C36" i="12"/>
  <c r="A36" i="12"/>
  <c r="Y35" i="12"/>
  <c r="C35" i="12"/>
  <c r="Y34" i="12"/>
  <c r="C34" i="12"/>
  <c r="A34" i="12"/>
  <c r="Y33" i="12"/>
  <c r="C33" i="12"/>
  <c r="A33" i="12"/>
  <c r="Y32" i="12"/>
  <c r="C32" i="12"/>
  <c r="A32" i="12"/>
  <c r="Y31" i="12"/>
  <c r="C31" i="12"/>
  <c r="A31" i="12"/>
  <c r="Y30" i="12"/>
  <c r="C30" i="12"/>
  <c r="A30" i="12"/>
  <c r="Y29" i="12"/>
  <c r="C29" i="12"/>
  <c r="A29" i="12"/>
  <c r="Y28" i="12"/>
  <c r="C28" i="12"/>
  <c r="A28" i="12"/>
  <c r="Y27" i="12"/>
  <c r="C27" i="12"/>
  <c r="A27" i="12"/>
  <c r="Y26" i="12"/>
  <c r="C26" i="12"/>
  <c r="A26" i="12"/>
  <c r="Y25" i="12"/>
  <c r="C25" i="12"/>
  <c r="A25" i="12"/>
  <c r="Y24" i="12"/>
  <c r="C24" i="12"/>
  <c r="Y23" i="12"/>
  <c r="C23" i="12"/>
  <c r="A23" i="12"/>
  <c r="Y22" i="12"/>
  <c r="C22" i="12"/>
  <c r="A22" i="12"/>
  <c r="Y21" i="12"/>
  <c r="C21" i="12"/>
  <c r="A21" i="12"/>
  <c r="Y20" i="12"/>
  <c r="C20" i="12"/>
  <c r="A20" i="12"/>
  <c r="Y19" i="12"/>
  <c r="C19" i="12"/>
  <c r="A19" i="12"/>
  <c r="Y18" i="12"/>
  <c r="C18" i="12"/>
  <c r="A18" i="12"/>
  <c r="Y17" i="12"/>
  <c r="C17" i="12"/>
  <c r="A17" i="12"/>
  <c r="Y16" i="12"/>
  <c r="C16" i="12"/>
  <c r="A16" i="12"/>
  <c r="Y15" i="12"/>
  <c r="C15" i="12"/>
  <c r="A15" i="12"/>
  <c r="Y14" i="12"/>
  <c r="C14" i="12"/>
  <c r="A14" i="12"/>
  <c r="Y13" i="12"/>
  <c r="C13" i="12"/>
  <c r="A13" i="12"/>
  <c r="Y12" i="12"/>
  <c r="C12" i="12"/>
  <c r="A12" i="12"/>
  <c r="Y11" i="12"/>
  <c r="C11" i="12"/>
  <c r="A11" i="12"/>
  <c r="Y10" i="12"/>
  <c r="C10" i="12"/>
  <c r="A10" i="12"/>
  <c r="Y9" i="12"/>
  <c r="C9" i="12"/>
  <c r="A9" i="12"/>
  <c r="Y8" i="12"/>
  <c r="G2" i="12"/>
  <c r="T9" i="14"/>
  <c r="S9" i="14"/>
  <c r="Q9" i="14"/>
  <c r="N9" i="14"/>
  <c r="N12" i="14" s="1"/>
  <c r="M9" i="14"/>
  <c r="M12" i="14" s="1"/>
  <c r="L9" i="14"/>
  <c r="R159" i="12" s="1"/>
  <c r="K9" i="14"/>
  <c r="K12" i="14" s="1"/>
  <c r="N156" i="12" l="1"/>
  <c r="L12" i="14"/>
  <c r="O158" i="12"/>
  <c r="P158" i="12" s="1"/>
  <c r="O156" i="12"/>
  <c r="P15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</author>
    <author>ACIMO</author>
  </authors>
  <commentList>
    <comment ref="D81" authorId="0" shapeId="0" xr:uid="{00000000-0006-0000-0A00-000001000000}">
      <text>
        <r>
          <rPr>
            <b/>
            <sz val="9"/>
            <rFont val="Tahoma"/>
            <family val="2"/>
          </rPr>
          <t>MAR:</t>
        </r>
        <r>
          <rPr>
            <sz val="9"/>
            <rFont val="Tahoma"/>
            <family val="2"/>
          </rPr>
          <t xml:space="preserve">
MATANAG LEGAZPI IRRIGATORS ASSOCIATION, INC.</t>
        </r>
      </text>
    </comment>
    <comment ref="D135" authorId="1" shapeId="0" xr:uid="{00000000-0006-0000-0A00-000002000000}">
      <text>
        <r>
          <rPr>
            <b/>
            <sz val="9"/>
            <rFont val="Times New Roman"/>
            <family val="1"/>
          </rPr>
          <t>ACIMO:</t>
        </r>
        <r>
          <rPr>
            <sz val="9"/>
            <rFont val="Times New Roman"/>
            <family val="1"/>
          </rPr>
          <t xml:space="preserve">
LIBON-ALOMON-BUSAC IRRIGATORS' ASSOCIATION, INC.</t>
        </r>
      </text>
    </comment>
  </commentList>
</comments>
</file>

<file path=xl/sharedStrings.xml><?xml version="1.0" encoding="utf-8"?>
<sst xmlns="http://schemas.openxmlformats.org/spreadsheetml/2006/main" count="1615" uniqueCount="962">
  <si>
    <t>Region: V</t>
  </si>
  <si>
    <t>FUSA (ha)</t>
  </si>
  <si>
    <t>Name of IA</t>
  </si>
  <si>
    <t>Mailing Address</t>
  </si>
  <si>
    <t>Name of President</t>
  </si>
  <si>
    <t>Contact Number</t>
  </si>
  <si>
    <t>Date Organized</t>
  </si>
  <si>
    <t>Date of SEC Registration</t>
  </si>
  <si>
    <t>SEC Registration Number</t>
  </si>
  <si>
    <t xml:space="preserve">IA TIN </t>
  </si>
  <si>
    <t>Service Area (ha)</t>
  </si>
  <si>
    <t>FUSA</t>
  </si>
  <si>
    <t>Farmer - Beneficiaries (No.)</t>
  </si>
  <si>
    <t>Actual IA Members (No.)</t>
  </si>
  <si>
    <t>No. of TSAGs</t>
  </si>
  <si>
    <t>Existing O &amp; M or IMT Contract (Specify)</t>
  </si>
  <si>
    <t>Latest Effectivity of Contract</t>
  </si>
  <si>
    <t>Length of Canal Under Contract (km)</t>
  </si>
  <si>
    <t>Gender</t>
  </si>
  <si>
    <t>President</t>
  </si>
  <si>
    <t>District</t>
  </si>
  <si>
    <t>M</t>
  </si>
  <si>
    <t>F</t>
  </si>
  <si>
    <t>Sub-total NIS1</t>
  </si>
  <si>
    <t>CY 2023</t>
  </si>
  <si>
    <t>IMO 1: ALBAY/CATANDUANES</t>
  </si>
  <si>
    <t>PROVINCE 1: ALBAY</t>
  </si>
  <si>
    <t>Name of CIS</t>
  </si>
  <si>
    <t>Irrigators' Association Name</t>
  </si>
  <si>
    <t>TIN No.</t>
  </si>
  <si>
    <t xml:space="preserve">SEC REGISTRATION </t>
  </si>
  <si>
    <t>WATER PERMIT</t>
  </si>
  <si>
    <t>Farmer - Beneficiaries</t>
  </si>
  <si>
    <t>Actual IA Members</t>
  </si>
  <si>
    <t>No. of Sectors</t>
  </si>
  <si>
    <t>Date of Original System Turnover</t>
  </si>
  <si>
    <t>Date of Latest System Turnover</t>
  </si>
  <si>
    <t>Amortizing Loan or Fully-paid</t>
  </si>
  <si>
    <t>Operational or Non-operational</t>
  </si>
  <si>
    <t>(With IMT/ Without IMT)</t>
  </si>
  <si>
    <t>REMARKS</t>
  </si>
  <si>
    <t>Water Permit Number</t>
  </si>
  <si>
    <t>Date Approved</t>
  </si>
  <si>
    <t>Lined</t>
  </si>
  <si>
    <t>Unlined</t>
  </si>
  <si>
    <t xml:space="preserve">Total </t>
  </si>
  <si>
    <t>Congressional District:   I</t>
  </si>
  <si>
    <t xml:space="preserve"> </t>
  </si>
  <si>
    <t>AGOS-STA.CRUZ CIS</t>
  </si>
  <si>
    <t>AGOS-STA. CRUZ-SAN AGUSTIN IRRIGATORS ASSOCIATION, INC.</t>
  </si>
  <si>
    <t>Agos, Polangui</t>
  </si>
  <si>
    <t>Dioscoro C. Putian</t>
  </si>
  <si>
    <t>09079199213</t>
  </si>
  <si>
    <t>004-980-056</t>
  </si>
  <si>
    <t>Non-Amortizing</t>
  </si>
  <si>
    <t>Operational</t>
  </si>
  <si>
    <t>with IMT contract</t>
  </si>
  <si>
    <t>ALLANG CIS</t>
  </si>
  <si>
    <t>ALLANG COMMUNAL IRRIGATORS ASSOCIATION, INC.</t>
  </si>
  <si>
    <t>Allang, Ligao</t>
  </si>
  <si>
    <t>Ernesto C. Cleofe</t>
  </si>
  <si>
    <t>09292735089</t>
  </si>
  <si>
    <t>435-025-395</t>
  </si>
  <si>
    <t>on process</t>
  </si>
  <si>
    <t>04/26/2014</t>
  </si>
  <si>
    <t>ALOBO-GAPO-INARADO CIS</t>
  </si>
  <si>
    <t>GAPO ALOBO INARADO IRRIGATORS ASSOCIATION (GAIN-IA), INC.</t>
  </si>
  <si>
    <t>Inarado, Daraga, Albay</t>
  </si>
  <si>
    <t>Edwin N. Mata</t>
  </si>
  <si>
    <t>None</t>
  </si>
  <si>
    <t>009-704-380</t>
  </si>
  <si>
    <t>CN20171971</t>
  </si>
  <si>
    <t>APUD-RAWIS CIS</t>
  </si>
  <si>
    <t>ARIA IRRIGATORS' ASSOCIATION, INC.</t>
  </si>
  <si>
    <t>Apud, Libon</t>
  </si>
  <si>
    <t>Ariel B. Riparip</t>
  </si>
  <si>
    <t>09505169591</t>
  </si>
  <si>
    <t>004-980-099</t>
  </si>
  <si>
    <t>ARIMBAY CIS</t>
  </si>
  <si>
    <t>ARIMBAY IRRIGATORS ASSOCIATION, INC.</t>
  </si>
  <si>
    <t>Arimbay, Legazpi City</t>
  </si>
  <si>
    <t>Nixon A. Ramires</t>
  </si>
  <si>
    <t>09691559850</t>
  </si>
  <si>
    <t>731-795-595</t>
  </si>
  <si>
    <t>CN201639105</t>
  </si>
  <si>
    <t>BADIAN-CATBURAWAN</t>
  </si>
  <si>
    <t>CATBADIAN IRRIGATORS ASSOCIATION, INC.</t>
  </si>
  <si>
    <t>Badian, Oas Albay</t>
  </si>
  <si>
    <t>Bernardo A. Paraiso</t>
  </si>
  <si>
    <t>09519068139</t>
  </si>
  <si>
    <t>429-259-957</t>
  </si>
  <si>
    <t>BAGACAY CIS</t>
  </si>
  <si>
    <t>SAN ANTONIO- BAGACAY FARMERS IRRIGATORS ASSOCIATION, INC.</t>
  </si>
  <si>
    <t>Bagacay, legazpi City</t>
  </si>
  <si>
    <t>Mariano A. Dexisne</t>
  </si>
  <si>
    <t>09099260352</t>
  </si>
  <si>
    <t>2012</t>
  </si>
  <si>
    <t>428-668-089-000</t>
  </si>
  <si>
    <t>without IMT contract</t>
  </si>
  <si>
    <t>BAGONG-ABRE CIS</t>
  </si>
  <si>
    <t>BAGONG ABRE ARIMBAY IRRIGATORS ASSOCIATION, INC</t>
  </si>
  <si>
    <t>Bagong-Abre, Legaspi City</t>
  </si>
  <si>
    <t>Rico C. Miña</t>
  </si>
  <si>
    <t>09076998645</t>
  </si>
  <si>
    <t>438-667-366</t>
  </si>
  <si>
    <t>CN201330087</t>
  </si>
  <si>
    <t>12/17/2013</t>
  </si>
  <si>
    <t>BALADING-AWANG CIS</t>
  </si>
  <si>
    <t>BALADING-AWANG IRRIGATORS ASSOCIATION, INC.</t>
  </si>
  <si>
    <t>Balading, Malinao</t>
  </si>
  <si>
    <t>Joel C. Casitas</t>
  </si>
  <si>
    <t>09485318709</t>
  </si>
  <si>
    <t>005-715-040</t>
  </si>
  <si>
    <t>00-00157</t>
  </si>
  <si>
    <t>BALASBAS CIS</t>
  </si>
  <si>
    <t>BALASBAS IRRIGATORS ASSOCIATION, INC.</t>
  </si>
  <si>
    <t>Balasbas, Manito Albay</t>
  </si>
  <si>
    <t>09274145293</t>
  </si>
  <si>
    <t>004-979-957</t>
  </si>
  <si>
    <t>014099/014100</t>
  </si>
  <si>
    <t>BAMBAN CIS</t>
  </si>
  <si>
    <t>UPPER BAMBAN IRRIGATORS ASSOCIATION, INC.</t>
  </si>
  <si>
    <t>Bamban, Manito, Albay</t>
  </si>
  <si>
    <t>Alberto A. Briones</t>
  </si>
  <si>
    <t>09480445492</t>
  </si>
  <si>
    <t>010-369-202</t>
  </si>
  <si>
    <t>CN201912422</t>
  </si>
  <si>
    <t>BANQUEROHAN CIS</t>
  </si>
  <si>
    <t>SIDABA IRRIGATORS ASSOCIATION, INC.</t>
  </si>
  <si>
    <t>Banquerohan, Legazpi City</t>
  </si>
  <si>
    <t>Edillberto A. Jero</t>
  </si>
  <si>
    <t>092172111034</t>
  </si>
  <si>
    <t>005-715-815</t>
  </si>
  <si>
    <t xml:space="preserve">BARIW SAN CARLOS CIS </t>
  </si>
  <si>
    <t>Samahan ng Magsasaka ng San Carlos sa Lupang Pangarap (SAMALUPA) Incorporated</t>
  </si>
  <si>
    <t>Bariw, Malinao</t>
  </si>
  <si>
    <t>Fernando B. Cordenete</t>
  </si>
  <si>
    <t>09208829164</t>
  </si>
  <si>
    <t>762-720-718</t>
  </si>
  <si>
    <t>CN202070004</t>
  </si>
  <si>
    <t>BASAGAN CIS</t>
  </si>
  <si>
    <t>BASAGAN FABRICA FARMERS  IRRIGATORS ASSOCIATION,INC</t>
  </si>
  <si>
    <t>Basagan, Tabaco City</t>
  </si>
  <si>
    <t>Elpedio G. Cao</t>
  </si>
  <si>
    <t>09087259910</t>
  </si>
  <si>
    <t>438-010-429-000</t>
  </si>
  <si>
    <t>CN201639202</t>
  </si>
  <si>
    <t>BASUD MAGURANG (HRISIA) CIS</t>
  </si>
  <si>
    <t>MAGURANG UBALIW BASUD IRRIGATORS ASSOCIATION (MUBIA), INC.</t>
  </si>
  <si>
    <t>Magurang, Polangui</t>
  </si>
  <si>
    <t>Jesus M. Salopaso</t>
  </si>
  <si>
    <t>09486598432</t>
  </si>
  <si>
    <t>436-866-860</t>
  </si>
  <si>
    <t>CN201330047</t>
  </si>
  <si>
    <t>024277, '024278</t>
  </si>
  <si>
    <t>08/15/2014</t>
  </si>
  <si>
    <t>BAYANDONG CIS</t>
  </si>
  <si>
    <t>HUNGO-BAYANDONG IRRIGATORS' ASSOCIATION, INC.</t>
  </si>
  <si>
    <t>Bayandong, Bacacay</t>
  </si>
  <si>
    <t>Justiniano B. Esplana, Jr.</t>
  </si>
  <si>
    <t>09097220716</t>
  </si>
  <si>
    <t>005-436-169-000</t>
  </si>
  <si>
    <t>04-27163</t>
  </si>
  <si>
    <t>Fully Paid</t>
  </si>
  <si>
    <t>BBMAGUI CIS</t>
  </si>
  <si>
    <t>BARANGHAWON BOGŇABONG MARIROC GUINOBAT IRRIGATORS ASSOCIATION (BBMAGUI-IA), INC.</t>
  </si>
  <si>
    <t>Bongabong,Tabaco City</t>
  </si>
  <si>
    <t>Artemio B. Buenconsejo</t>
  </si>
  <si>
    <t>09262677315</t>
  </si>
  <si>
    <t>497-201-735</t>
  </si>
  <si>
    <t>CN201126239</t>
  </si>
  <si>
    <t>BETTS-BONGA CIS</t>
  </si>
  <si>
    <t>BOCASTT IRRIGATORS' ASSOCIATION, INC.</t>
  </si>
  <si>
    <t>Bonga, Ligao</t>
  </si>
  <si>
    <t>Jesus P. Perillo</t>
  </si>
  <si>
    <t>09301706413</t>
  </si>
  <si>
    <t>000-937-715</t>
  </si>
  <si>
    <t>BONGA CIS</t>
  </si>
  <si>
    <t>BONGA MIRISBIRIS IRRIGATORS ASSOCIATION (BMIA), INC.</t>
  </si>
  <si>
    <t>Bonga, Bacacay, Albay</t>
  </si>
  <si>
    <t>Eleno B. Nuñez</t>
  </si>
  <si>
    <t>09319919491</t>
  </si>
  <si>
    <t>439-465-031</t>
  </si>
  <si>
    <t>CN201330831</t>
  </si>
  <si>
    <t>BUBULUSAN CIS</t>
  </si>
  <si>
    <t>SAN ISIDRO-BUBULUSAN IRRIGATORS (GUINOBATAN ALBAY)  ASSOCIATION, INC.</t>
  </si>
  <si>
    <t>Bubulusan, Guinobatan</t>
  </si>
  <si>
    <t>Dante O. Osi</t>
  </si>
  <si>
    <t>09770437526</t>
  </si>
  <si>
    <t>004-980-395</t>
  </si>
  <si>
    <t>011523</t>
  </si>
  <si>
    <t>BUENAVISTA CIS</t>
  </si>
  <si>
    <t>UPPER BUENAVISTA LEGAZPI IRRIGATORS ASSOCIATION UBLIA, INC.</t>
  </si>
  <si>
    <t>Buenavista, Legazpi City</t>
  </si>
  <si>
    <t>Bernardo A. Magracia</t>
  </si>
  <si>
    <t>009-696-338</t>
  </si>
  <si>
    <t>BUENAVISTA (PIODURAN) IRRIGATORS' ASSOCIATION, INC.</t>
  </si>
  <si>
    <t>Buenavista, Pioduran</t>
  </si>
  <si>
    <t>Gaspar Ibañez</t>
  </si>
  <si>
    <t>NONE</t>
  </si>
  <si>
    <t>011311</t>
  </si>
  <si>
    <t>New entry/ new organized</t>
  </si>
  <si>
    <t>BUHAY NA KUDOS CIS</t>
  </si>
  <si>
    <t>CENTRO UBALIW KINALE IRRIGATORS ASSOCIATION, INC.</t>
  </si>
  <si>
    <t>Buhay na Kudos</t>
  </si>
  <si>
    <t>Cherry Ann Riofrio</t>
  </si>
  <si>
    <t>433-578-137</t>
  </si>
  <si>
    <t>CN201329322</t>
  </si>
  <si>
    <t>12/17/2015</t>
  </si>
  <si>
    <t>Not included in the inventory</t>
  </si>
  <si>
    <t>BULUSAN-STA CRUZ CIS</t>
  </si>
  <si>
    <t>ANGAT CALAMBAY-BULUSAN IRRIGATORS ASSOCIATION INC.</t>
  </si>
  <si>
    <t>Bulusan, Libon, Albay</t>
  </si>
  <si>
    <t>Francisco S Miday</t>
  </si>
  <si>
    <t>09516089945</t>
  </si>
  <si>
    <t>010-075-386</t>
  </si>
  <si>
    <t>CN201814160</t>
  </si>
  <si>
    <t>07/28/2021</t>
  </si>
  <si>
    <t>Non-Amorizing</t>
  </si>
  <si>
    <t>BURABOD-JONOP CIS</t>
  </si>
  <si>
    <t>BURABOD-JONOP STA. ELENA IRRIGATORS ASSOCIATION, INC.</t>
  </si>
  <si>
    <t>Burabod, Malinao</t>
  </si>
  <si>
    <t>09772309263</t>
  </si>
  <si>
    <t>OO2153</t>
  </si>
  <si>
    <t>BUYO CIS</t>
  </si>
  <si>
    <t>BUYO IRRIGATORS' ASSOCIATION, INC.</t>
  </si>
  <si>
    <t>Buyo, Manito, Albay</t>
  </si>
  <si>
    <t>Rogelio D Dalde Jr.</t>
  </si>
  <si>
    <t>09101311023</t>
  </si>
  <si>
    <t>005-714-601</t>
  </si>
  <si>
    <t>BUYO-ILAWOD CIS</t>
  </si>
  <si>
    <t>WEST BUYO IRRIGATORS ASSOCIATION OF ILAWOD, Inc.</t>
  </si>
  <si>
    <t>Niňo D. Daz</t>
  </si>
  <si>
    <t>09507891581</t>
  </si>
  <si>
    <t>426-038-265</t>
  </si>
  <si>
    <t>CABANGAN CIS</t>
  </si>
  <si>
    <t>CABANGAN POLANGUI OAS IRRIGATORS ASSOCIATION, INC.</t>
  </si>
  <si>
    <t>Ubaliw-Polangui</t>
  </si>
  <si>
    <t>442-440-649</t>
  </si>
  <si>
    <t>CN201333104</t>
  </si>
  <si>
    <t>CABASAN CIS</t>
  </si>
  <si>
    <t>CABASAN-SAN VICENTE IRRIGATORS ASSOCIATION, INC.</t>
  </si>
  <si>
    <t>Cabasan, Bacacay</t>
  </si>
  <si>
    <t>Ely A. Bellen</t>
  </si>
  <si>
    <t>09515383158</t>
  </si>
  <si>
    <t>CN201330088</t>
  </si>
  <si>
    <t>CABRARAN-PEQUEÑO CIS</t>
  </si>
  <si>
    <t>CABRARAN PEQUEÑO FARMERS &amp; IRRIGATORS ASSOCIATION, INC.</t>
  </si>
  <si>
    <t>Cabraran Pequeño, Camalig, Albay</t>
  </si>
  <si>
    <t>Nelson M. Marqueses</t>
  </si>
  <si>
    <t>09637798647</t>
  </si>
  <si>
    <t>009-665-040</t>
  </si>
  <si>
    <t>CN201715616</t>
  </si>
  <si>
    <t>11/06/2000</t>
  </si>
  <si>
    <t>CAGBULACAO CIS</t>
  </si>
  <si>
    <t>CAGBULACAO FARMERS IRRIGATORS ASSOCIATION, INC.</t>
  </si>
  <si>
    <t>Cagbulacao, Bacacay</t>
  </si>
  <si>
    <t>09175178079</t>
  </si>
  <si>
    <t>CN201330826</t>
  </si>
  <si>
    <t>CAGMANABA CIS</t>
  </si>
  <si>
    <t>FARMERS CAGMANABA IRRIGATORS ASSOCIATION INC.</t>
  </si>
  <si>
    <t>Cagmanaba, Oas, Albay</t>
  </si>
  <si>
    <t>Amadeo F. de la Cruz</t>
  </si>
  <si>
    <t>010-371-820</t>
  </si>
  <si>
    <t>CAGRARAY CIS</t>
  </si>
  <si>
    <t>CAGRARAY FARMERS IRRIGATORS ASSOCIATION, INC.</t>
  </si>
  <si>
    <t>Cagraray, Bacacay</t>
  </si>
  <si>
    <t>Nelson B. Belleza</t>
  </si>
  <si>
    <t>CN201330829</t>
  </si>
  <si>
    <t>10/15/2014</t>
  </si>
  <si>
    <t>CAGSAWA CIS</t>
  </si>
  <si>
    <t>BUFAS-BUSAY FARMERS ASSOCIATION, INC.</t>
  </si>
  <si>
    <t>Busay, Daraga, Albay</t>
  </si>
  <si>
    <t>Shane Matocinos</t>
  </si>
  <si>
    <t>09504716934</t>
  </si>
  <si>
    <t>10-2019</t>
  </si>
  <si>
    <t>757-136-013</t>
  </si>
  <si>
    <t>CN201970173</t>
  </si>
  <si>
    <t>11-8-2019</t>
  </si>
  <si>
    <t>CALE-NAGA CIS</t>
  </si>
  <si>
    <t>CARARAYAN CALE NAGA LIBJO IRRIGATORS' ASSOCIATION (CACANALIIA), INC.</t>
  </si>
  <si>
    <t>Cararayan, Tiwi</t>
  </si>
  <si>
    <t>Miguel C. Clariño</t>
  </si>
  <si>
    <t>09774006032</t>
  </si>
  <si>
    <t>264-025-603</t>
  </si>
  <si>
    <t>CANAWAY CIS</t>
  </si>
  <si>
    <t>CANSICO IRRIGATORS ASSOCIATION, INC.</t>
  </si>
  <si>
    <t xml:space="preserve">Malilipot, Albay </t>
  </si>
  <si>
    <t>Marcial C. Camo</t>
  </si>
  <si>
    <t>09952998896</t>
  </si>
  <si>
    <t>297-210-305-000</t>
  </si>
  <si>
    <t>CN201029937</t>
  </si>
  <si>
    <t>CARATAGAN CIS</t>
  </si>
  <si>
    <t>PANGANIRAN IRRIGATORS' ASSOCIATION, INC.</t>
  </si>
  <si>
    <t>Caratagan, Pioduran</t>
  </si>
  <si>
    <t>Mario V. Bagamasbad</t>
  </si>
  <si>
    <t>09485315764</t>
  </si>
  <si>
    <t>004-980-786</t>
  </si>
  <si>
    <t>CASANRA CIS</t>
  </si>
  <si>
    <t>CA-SAN-RA TABACO IRRIGATORS ASSOCIATION INC</t>
  </si>
  <si>
    <t>Purok 5, Cabangan, Tabaco City</t>
  </si>
  <si>
    <t>Efren B. Bombeta</t>
  </si>
  <si>
    <t>none</t>
  </si>
  <si>
    <t>01-18-2020</t>
  </si>
  <si>
    <t>768-158-627</t>
  </si>
  <si>
    <t>CN202070080</t>
  </si>
  <si>
    <t>03-02-2020</t>
  </si>
  <si>
    <t>CAWAYAN CIS</t>
  </si>
  <si>
    <t>CAWAYAN MANITO RIVERSIDE IRRIGATORS ASSOCIATION, INC.</t>
  </si>
  <si>
    <t>Cawayan, Manito Albay</t>
  </si>
  <si>
    <t>Senen B. Mabelin</t>
  </si>
  <si>
    <t>09168893585</t>
  </si>
  <si>
    <t>436-160-155</t>
  </si>
  <si>
    <t>CN201330039</t>
  </si>
  <si>
    <t>CENTRO OCCIDENTAL CIS</t>
  </si>
  <si>
    <t>FARMERS IRRIGATORS ASSOCIATION OF CENTRO OCCIDENTAL POLANGUI, ALBAY (FIACOPA), INC.</t>
  </si>
  <si>
    <t>Centro Occidental,Polangui, Albay</t>
  </si>
  <si>
    <t>Dominador B. Magalona</t>
  </si>
  <si>
    <t>433-578-138</t>
  </si>
  <si>
    <t>CN201126235</t>
  </si>
  <si>
    <t>COROCORO BELEN CIS</t>
  </si>
  <si>
    <t>COBEGA FARMERS IRRIGATORS ASSOCIATION, INC.</t>
  </si>
  <si>
    <t>Corocoro, Tiwi, Albay</t>
  </si>
  <si>
    <t>Jose C. Arbo</t>
  </si>
  <si>
    <t>09194826373</t>
  </si>
  <si>
    <t>485-420-506-000</t>
  </si>
  <si>
    <t>CN201639196</t>
  </si>
  <si>
    <t>COTMON CIS</t>
  </si>
  <si>
    <t>HIGOS-COTMON IRRIGATORS ASSOCIATION, INC.</t>
  </si>
  <si>
    <t>Cotmon, Camalig</t>
  </si>
  <si>
    <t>Rizalino M. Morcoso</t>
  </si>
  <si>
    <t>09276576554</t>
  </si>
  <si>
    <t>286-107-655-000</t>
  </si>
  <si>
    <t>DIARO CIS</t>
  </si>
  <si>
    <t>DIARO IRRIGATORS' ASSOCIATION, INC.</t>
  </si>
  <si>
    <t xml:space="preserve">Diaro, Malinao </t>
  </si>
  <si>
    <t>Julian C. Cascabel</t>
  </si>
  <si>
    <t>09097417988</t>
  </si>
  <si>
    <t>004-981-065</t>
  </si>
  <si>
    <t>DITA CIP</t>
  </si>
  <si>
    <t>BARANGAY 45 DITA IRRIGATORS ASSOCIATION, INC.</t>
  </si>
  <si>
    <t>Dita, Legazpi City</t>
  </si>
  <si>
    <t>Perfecto R. Barcelona</t>
  </si>
  <si>
    <t>09162465928</t>
  </si>
  <si>
    <t>486-306-886</t>
  </si>
  <si>
    <t>CN201639257</t>
  </si>
  <si>
    <t>DOÑA TOMASA CIS</t>
  </si>
  <si>
    <t>DONA TOMASA IRRIGATORS ASSOCIATION INC.</t>
  </si>
  <si>
    <t>Doña Tomasa,Guinobatan</t>
  </si>
  <si>
    <t>Francisco Celestial</t>
  </si>
  <si>
    <t>09269581914</t>
  </si>
  <si>
    <t>005-715-571</t>
  </si>
  <si>
    <t>98-00255</t>
  </si>
  <si>
    <t>Estancia-Labnig CIS</t>
  </si>
  <si>
    <t>ESTANCIA LABNIG IRRIGATORS ASSN, INC.</t>
  </si>
  <si>
    <t>Estancia, Malinao</t>
  </si>
  <si>
    <t>Florante C. Bayonito</t>
  </si>
  <si>
    <t>005-615-533</t>
  </si>
  <si>
    <t>LABNIG CIS IRRIGATORS' ASSOCIATION, INC</t>
  </si>
  <si>
    <t>Labnig, Malinao</t>
  </si>
  <si>
    <t>Pio B. Casi</t>
  </si>
  <si>
    <t>09478793192</t>
  </si>
  <si>
    <t>296-930-972</t>
  </si>
  <si>
    <t>CN200253494</t>
  </si>
  <si>
    <t>2008</t>
  </si>
  <si>
    <t>FIDEL SURTIDA CIS</t>
  </si>
  <si>
    <t>FISTOSAN IRRIGATORS ASSOCIATION, INC.</t>
  </si>
  <si>
    <t>Sto. Domingo, Albay</t>
  </si>
  <si>
    <t>Bernardo Cortuna</t>
  </si>
  <si>
    <t>09308338312</t>
  </si>
  <si>
    <t>434-028-921</t>
  </si>
  <si>
    <t>CN201228532</t>
  </si>
  <si>
    <t>2011</t>
  </si>
  <si>
    <t>GABAWAN CIS</t>
  </si>
  <si>
    <t>GABAWAN IRRIGATORS FARMERS IRRIGATORS ASSN. INC.</t>
  </si>
  <si>
    <t>Gabawan, Daraga</t>
  </si>
  <si>
    <t>Winifredo Arimado</t>
  </si>
  <si>
    <t>09053289807</t>
  </si>
  <si>
    <t>GAPO CIS</t>
  </si>
  <si>
    <t>LISTO-GAPO IRRIGATORS ASSOCIATION (LGIA), INC.</t>
  </si>
  <si>
    <t>Gapo Camalig</t>
  </si>
  <si>
    <t>Lobella Nobleza</t>
  </si>
  <si>
    <t>09159675851</t>
  </si>
  <si>
    <t>284-033-423</t>
  </si>
  <si>
    <t>GOGON CIS</t>
  </si>
  <si>
    <t>VINICASAN IRRIGATORS' ASSOCIATION, INC.</t>
  </si>
  <si>
    <t>Vinisitahan, Bacacay</t>
  </si>
  <si>
    <t>Jose B. Bernarte Jr.</t>
  </si>
  <si>
    <t>004-979-965</t>
  </si>
  <si>
    <t>GUBAT-HINDI CIS</t>
  </si>
  <si>
    <t>HINDI- GUBAT IRAYA IRRIGATORS ASSOCIATION, INC.</t>
  </si>
  <si>
    <t>Bacacay, Albay</t>
  </si>
  <si>
    <t>Arnel B. Boholst</t>
  </si>
  <si>
    <t>09637270904</t>
  </si>
  <si>
    <t>005-716-921</t>
  </si>
  <si>
    <t>97-001421</t>
  </si>
  <si>
    <t>GUINOBAT CIS</t>
  </si>
  <si>
    <t>GUINOBAT IRRIGATORS ASSOCIATION, INC.</t>
  </si>
  <si>
    <t>Guinobat, Tabaco City</t>
  </si>
  <si>
    <t>Loreto B. Almonte</t>
  </si>
  <si>
    <t>09162112170</t>
  </si>
  <si>
    <t>468-719-560</t>
  </si>
  <si>
    <t>non-operational</t>
  </si>
  <si>
    <t>HACIENDA DD</t>
  </si>
  <si>
    <t>HACIENDA TABACO AGRARIAN FARMERS ASSOCIATION (HATAFA), INC.</t>
  </si>
  <si>
    <t>Hacienda, Tabaco</t>
  </si>
  <si>
    <t>Adelina L. Balingbing</t>
  </si>
  <si>
    <t>09109284462</t>
  </si>
  <si>
    <t>461-351-581</t>
  </si>
  <si>
    <t>ILAOD CIS</t>
  </si>
  <si>
    <t>UBALIW-ILAWOD  IRRIGATORS ASSOCIATION, INC.</t>
  </si>
  <si>
    <t>Ubaliw, Polangui, Albay</t>
  </si>
  <si>
    <t>Maria Rita S. Saulan</t>
  </si>
  <si>
    <t>732-458-125</t>
  </si>
  <si>
    <t>CN201817374</t>
  </si>
  <si>
    <t>ILAWOD CAMALIG CIS</t>
  </si>
  <si>
    <t>ILAWOD CAMALIG FARMERS IRRIGATORS ASSOCIATION, INC.</t>
  </si>
  <si>
    <t>Ilawod, Camalig, Albay</t>
  </si>
  <si>
    <t>Antonio A. Magracia</t>
  </si>
  <si>
    <t>09104227539</t>
  </si>
  <si>
    <t>449-324-518</t>
  </si>
  <si>
    <t>INANG MAHARANG  CIS</t>
  </si>
  <si>
    <t>NAGOTGOT INANG MAHARANG IRRIGATORS ASSOCIATION (NIMIA), INC.</t>
  </si>
  <si>
    <t>Nagotgot, Manito, Albay</t>
  </si>
  <si>
    <t>Celedonio A. Dadap</t>
  </si>
  <si>
    <t>09706241464</t>
  </si>
  <si>
    <t>009-665-427</t>
  </si>
  <si>
    <t>CN201715654</t>
  </si>
  <si>
    <t>INASCAN CIS</t>
  </si>
  <si>
    <t>INASCAN IRRIGATORS ASSOCIATION, INC</t>
  </si>
  <si>
    <t>Inascan , Guinobatan</t>
  </si>
  <si>
    <t>Belen Gorabao</t>
  </si>
  <si>
    <t>740-460-214</t>
  </si>
  <si>
    <t>CN201228661</t>
  </si>
  <si>
    <t>05/30/2019</t>
  </si>
  <si>
    <t>ITBA CIS</t>
  </si>
  <si>
    <t>ITBA IRRIGATORS ASSOCIATION INC.</t>
  </si>
  <si>
    <t>Itba, Manito, Albay</t>
  </si>
  <si>
    <t>Noel A. Guillermo</t>
  </si>
  <si>
    <t>09503146420</t>
  </si>
  <si>
    <t>010-087-219</t>
  </si>
  <si>
    <t>CN2015308</t>
  </si>
  <si>
    <t>JOVELLAR CIS</t>
  </si>
  <si>
    <t>VILLA DEL MARIS IRRIGATORS ASSOCIATION, INC.</t>
  </si>
  <si>
    <t>Del Rosario, Jovellar, Albay</t>
  </si>
  <si>
    <t>Angeles M. Memoracion</t>
  </si>
  <si>
    <t>479-814-333</t>
  </si>
  <si>
    <t>CN201540895</t>
  </si>
  <si>
    <t>KAMANITOHAN CIS</t>
  </si>
  <si>
    <t>KAMANITOHAN ARC IRRIGATORS ASSOCIATION, INC.</t>
  </si>
  <si>
    <t>Pawa, Manito Albay</t>
  </si>
  <si>
    <t>Honorato B. Poche</t>
  </si>
  <si>
    <t>09051820144</t>
  </si>
  <si>
    <t>005-437-022-000</t>
  </si>
  <si>
    <t>KIMAHAT CIS</t>
  </si>
  <si>
    <t>BANBAN KIMAHAT IRRIGATORS ASSOCIATION(BAKIA), INC.</t>
  </si>
  <si>
    <t>Banban, Manito, Albay</t>
  </si>
  <si>
    <t>09173328762</t>
  </si>
  <si>
    <t>009-896-110</t>
  </si>
  <si>
    <t>LA PURISIMA PIP</t>
  </si>
  <si>
    <t>UNITED IA OF LA PURISIMA, POLANGUI, ALBAY Inc.</t>
  </si>
  <si>
    <t>La Purisima, Polangui, Albay</t>
  </si>
  <si>
    <t>Victor Periabras</t>
  </si>
  <si>
    <t>CN202070227</t>
  </si>
  <si>
    <t>10/21/2020</t>
  </si>
  <si>
    <t>LANGATON CIS</t>
  </si>
  <si>
    <t>LANGATON SAN RAFAEL FARMERS IRRIGATORS ASSOCIATION, INC.</t>
  </si>
  <si>
    <t>Langaton, Bacacay</t>
  </si>
  <si>
    <t>09301347161</t>
  </si>
  <si>
    <t>Feb, 2012</t>
  </si>
  <si>
    <t>475-777206-000</t>
  </si>
  <si>
    <t>201539473CN</t>
  </si>
  <si>
    <t>LIBJO CIS</t>
  </si>
  <si>
    <t>TIGBI BOLO LIBJO (TIBOLI) IRRIGATORS ASSOCIATION, INC,</t>
  </si>
  <si>
    <t>Libjo, Tiwi, Albay</t>
  </si>
  <si>
    <t>Gilberto C. Climacosa</t>
  </si>
  <si>
    <t>09150078575</t>
  </si>
  <si>
    <t>May 27,2012</t>
  </si>
  <si>
    <t>439-927-161-000</t>
  </si>
  <si>
    <t>CN201232689</t>
  </si>
  <si>
    <t>LIBOD-BARIW CIS</t>
  </si>
  <si>
    <t>LIBOD-BARIW-MINTO IRRIGATORS' ASSOCIATION, INC.</t>
  </si>
  <si>
    <t>Libod, Camalig</t>
  </si>
  <si>
    <t>Adan V. Sabdao</t>
  </si>
  <si>
    <t>09086306592</t>
  </si>
  <si>
    <t>004-199-151</t>
  </si>
  <si>
    <t>LIDONG-MAYNAGA CIS</t>
  </si>
  <si>
    <t>LIDONG-MAYNAGA IRRIGATORS' ASSOCIATION, INC.</t>
  </si>
  <si>
    <t>Lidong, Polangui</t>
  </si>
  <si>
    <t>09261746718</t>
  </si>
  <si>
    <t>004-980-048-000</t>
  </si>
  <si>
    <t>LIGBAN CIS</t>
  </si>
  <si>
    <t>LIGBAN FARMERS IRRIGATORS ASSOCIATION, INC.</t>
  </si>
  <si>
    <t>Ligban, Camalig</t>
  </si>
  <si>
    <t>Frumencio M. Nieva</t>
  </si>
  <si>
    <t>09953995133</t>
  </si>
  <si>
    <t>284-036-899</t>
  </si>
  <si>
    <t>LOURDES CIS</t>
  </si>
  <si>
    <t>FARMERS IRRIGATORS ASSOCIATION OF LOURDES, POLANGUI, ALBAY, INC.</t>
  </si>
  <si>
    <t>Lourdes, Polangui, Albay</t>
  </si>
  <si>
    <t>284-033-424</t>
  </si>
  <si>
    <t>CN201030058</t>
  </si>
  <si>
    <t>01/05/2016</t>
  </si>
  <si>
    <t>LOWER TALISAY CIS</t>
  </si>
  <si>
    <t>FARMERS IRRIGATORS ASSOCIATION OF LOWER TALISAY (FIALOTA)LIBON ALBAY, INC.</t>
  </si>
  <si>
    <t>Grecincio r. Llarena</t>
  </si>
  <si>
    <t>09086305948</t>
  </si>
  <si>
    <t>427-671-751</t>
  </si>
  <si>
    <t>024279</t>
  </si>
  <si>
    <t>MABALOD TANDARURA CIS</t>
  </si>
  <si>
    <t>TANDARURA MABALOD IRRIGATORS ASSOCIATION INC.</t>
  </si>
  <si>
    <t>Tandarora, Guinobatan, Albay</t>
  </si>
  <si>
    <t>Ruben L. Nate</t>
  </si>
  <si>
    <t>09126774507</t>
  </si>
  <si>
    <t>010-028-106</t>
  </si>
  <si>
    <t>CN2018809211</t>
  </si>
  <si>
    <t>MABINI CIS</t>
  </si>
  <si>
    <t>MABINI PINAGLABAN IRRIGATORS ASSOCIATION, INC.</t>
  </si>
  <si>
    <t>Mabini, Daraga, Albay</t>
  </si>
  <si>
    <t>Rolando Ll. Miraflor</t>
  </si>
  <si>
    <t>09995106283</t>
  </si>
  <si>
    <t>009-638-111-000</t>
  </si>
  <si>
    <t>CN201712923</t>
  </si>
  <si>
    <t>MABINIT CIS</t>
  </si>
  <si>
    <t>MABONGA IRRIGATORS ASSOCIATION  INC.</t>
  </si>
  <si>
    <t>Mabinit, Legazpi</t>
  </si>
  <si>
    <t>Romeo A. Nuñez</t>
  </si>
  <si>
    <t>2010-299570</t>
  </si>
  <si>
    <t>MAGPANAMBO PIP</t>
  </si>
  <si>
    <t>MAGPANAMBO IRRIGATORS ASSOCIATION, INC.</t>
  </si>
  <si>
    <t>Magpanambo, Polangui, Albay</t>
  </si>
  <si>
    <t>Lorenzo D. Romualdo</t>
  </si>
  <si>
    <t>09197361389</t>
  </si>
  <si>
    <t>010-369-130</t>
  </si>
  <si>
    <t>CN201912424</t>
  </si>
  <si>
    <t>MALIDONG CIS</t>
  </si>
  <si>
    <t>MALIDONG SAGPAN IRRIGATORS' ASSOCIATION Inc.</t>
  </si>
  <si>
    <t>Malidong, Pioduran, Albay</t>
  </si>
  <si>
    <t>09284769201</t>
  </si>
  <si>
    <t>010-369-251</t>
  </si>
  <si>
    <t>CN2019912430</t>
  </si>
  <si>
    <t>MALIPO MALOBAGO CIS</t>
  </si>
  <si>
    <t>MALOBAGO-MALIPO IRRIGATORS ASSOCIATION, INC.</t>
  </si>
  <si>
    <t>Malipo, Guinobatan Albay</t>
  </si>
  <si>
    <t>Conching Morante</t>
  </si>
  <si>
    <t>448-932-674</t>
  </si>
  <si>
    <t>06/30/2017</t>
  </si>
  <si>
    <t>MALOBAGO CIS</t>
  </si>
  <si>
    <t>MD IRRIGATORS ASSOCIATION, Inc.</t>
  </si>
  <si>
    <t>Malobago, Daraga, Albay</t>
  </si>
  <si>
    <t>Danilo A. Miranda</t>
  </si>
  <si>
    <t>09634110698</t>
  </si>
  <si>
    <t>010-230-810</t>
  </si>
  <si>
    <t>CN201849013</t>
  </si>
  <si>
    <t>MALOBAGO IRRIGATORS ASSOCIATION, INC.</t>
  </si>
  <si>
    <t>Malobago,Guinobatan</t>
  </si>
  <si>
    <t>Jerry O. Miranda</t>
  </si>
  <si>
    <t>09095424722</t>
  </si>
  <si>
    <t>004-980-208</t>
  </si>
  <si>
    <t>01-192352</t>
  </si>
  <si>
    <t>MANAET CIS</t>
  </si>
  <si>
    <t>MANAET SMALL FARMERS IRRIGATORS ASSOCIATION, INC.</t>
  </si>
  <si>
    <t>Manaet, Bacacay</t>
  </si>
  <si>
    <t>Efren B. Bongadillo</t>
  </si>
  <si>
    <t>09103478424</t>
  </si>
  <si>
    <t>440-249-000</t>
  </si>
  <si>
    <t>CN201329390</t>
  </si>
  <si>
    <t>MANAWAN QUINARTILAN CIS</t>
  </si>
  <si>
    <t>MANAWAN CAMALIG SMALL FARMERS ASSOCIATION (MCSFA), INC.</t>
  </si>
  <si>
    <t>Manawan, Camalig Albay</t>
  </si>
  <si>
    <t>Dante O. Nuñez, Jr.</t>
  </si>
  <si>
    <t>09079943088</t>
  </si>
  <si>
    <t>447-987-041</t>
  </si>
  <si>
    <t>10/22/2021</t>
  </si>
  <si>
    <t>MANCAO CIS</t>
  </si>
  <si>
    <t>MANCAO RAPU-RAPU IRRIGATORS ASSOCIATION (MARIA), INC.</t>
  </si>
  <si>
    <t>Mancao, Rapu-rapu, Albay</t>
  </si>
  <si>
    <t>Felipe B. Bombales, Jr.</t>
  </si>
  <si>
    <t>09286577566</t>
  </si>
  <si>
    <t>009-657-437</t>
  </si>
  <si>
    <t>CN201714855</t>
  </si>
  <si>
    <t>MAPACO BANBAN CIS</t>
  </si>
  <si>
    <t>MAPACO BANBAN MAURARO (MBM) IRRIGATORS ASSOCIATION, INC.</t>
  </si>
  <si>
    <t>Maoaco, Guinobatan, Albay</t>
  </si>
  <si>
    <t>Alberto N. Palermo</t>
  </si>
  <si>
    <t>09102315755</t>
  </si>
  <si>
    <t>009-638-129-000</t>
  </si>
  <si>
    <t>CN201712924</t>
  </si>
  <si>
    <t>MARIGONDON CIS</t>
  </si>
  <si>
    <t>ASENSO MARIGONDON IRRIGATORS ASSOCIATION, INC.</t>
  </si>
  <si>
    <t>Marigondon, Pioduran</t>
  </si>
  <si>
    <t>Reyan P. Sto. Tomas</t>
  </si>
  <si>
    <t>09186781280</t>
  </si>
  <si>
    <t>435-644-750</t>
  </si>
  <si>
    <t>CN201329392</t>
  </si>
  <si>
    <t>MARIROC CIS</t>
  </si>
  <si>
    <t>TABACO IRRIGATORS' ASSOCIATION, INC.</t>
  </si>
  <si>
    <t>Matagbac, Tabaco</t>
  </si>
  <si>
    <t>Domingo B. Serrano</t>
  </si>
  <si>
    <t>09306930864</t>
  </si>
  <si>
    <t>005-434-463</t>
  </si>
  <si>
    <t>MASARAWAG CIS</t>
  </si>
  <si>
    <t>MASAGANANG - MASARAWAG IRRIGATORS ASSOCIATION, INC.</t>
  </si>
  <si>
    <t>Masarawag Guinobatan</t>
  </si>
  <si>
    <t>Romulo N. Llona</t>
  </si>
  <si>
    <t>424-695-246</t>
  </si>
  <si>
    <t>MATALIPNI CIS</t>
  </si>
  <si>
    <t>MATALIPNI MALOLOS IRRIGATORS ASSOCIATION (MAMAIA), INC.</t>
  </si>
  <si>
    <t>Matalipni, Malinao, Albay</t>
  </si>
  <si>
    <t>Bernardo C. Canesa</t>
  </si>
  <si>
    <t>09289579874</t>
  </si>
  <si>
    <t>486-007-444</t>
  </si>
  <si>
    <t>CN201639195</t>
  </si>
  <si>
    <t>MATANAG CIS</t>
  </si>
  <si>
    <t>MAGAYON MAYA IRRIGATORS ASSOCIATION, INC.</t>
  </si>
  <si>
    <t>Matanag, Legazpi City</t>
  </si>
  <si>
    <t>Emerenciana B. Barcelona</t>
  </si>
  <si>
    <t>09066814939</t>
  </si>
  <si>
    <t>2023050098792-06</t>
  </si>
  <si>
    <t>8/20/2015</t>
  </si>
  <si>
    <t>MATANGLAD CIS</t>
  </si>
  <si>
    <t>BINATAGAN CALZADA GUILD IRRIGATORS ASSOCIATION, INC.</t>
  </si>
  <si>
    <t>Ligao City-Oas, Albay</t>
  </si>
  <si>
    <t>Jasper Ivan P. Guanzon</t>
  </si>
  <si>
    <t>446-488-967-000</t>
  </si>
  <si>
    <t>MAYAO PANONOWAN CIS</t>
  </si>
  <si>
    <t>MAGIPAN IRRIGATORS ASSOCIATION, INC.</t>
  </si>
  <si>
    <t>Mayao, Oas</t>
  </si>
  <si>
    <t>Marlon R.Seranilla</t>
  </si>
  <si>
    <t>459-989-476</t>
  </si>
  <si>
    <t>CN201129682</t>
  </si>
  <si>
    <t>MULADBUCAD-GRANDE CIS</t>
  </si>
  <si>
    <t>MULADBUCAD GRANDE, BINANOWAN, NABONTON (MULBINA) IRRIGATORS' ASSOCIATION, INC.</t>
  </si>
  <si>
    <t>Muladbucad-Grande, Guinobatan</t>
  </si>
  <si>
    <t>Gene N. Pauyo</t>
  </si>
  <si>
    <t>09065632306</t>
  </si>
  <si>
    <t>005-716-486</t>
  </si>
  <si>
    <t>MULADBUCAD-PEQUENO CIS</t>
  </si>
  <si>
    <t>MULADBUCAD PEQUENO BINANOWAN IRRIGATORS ASSN. INC.</t>
  </si>
  <si>
    <t>Muladbucad Pequeño, Guinobatan</t>
  </si>
  <si>
    <t>Rolando Ollorga</t>
  </si>
  <si>
    <t>09089993668</t>
  </si>
  <si>
    <t>005-715-563</t>
  </si>
  <si>
    <t>01-00112</t>
  </si>
  <si>
    <t>NAGAS-MARAMBA CIS</t>
  </si>
  <si>
    <t>Maramba, Oas</t>
  </si>
  <si>
    <t>Rodolfo S. Roco</t>
  </si>
  <si>
    <t>004-981-731</t>
  </si>
  <si>
    <t>NAMANTAO CIS</t>
  </si>
  <si>
    <t>NAMANTAO DARAGA IRRIGATORS ASSOCIATION, INC.</t>
  </si>
  <si>
    <t>Namantao, Daraga, Albay</t>
  </si>
  <si>
    <t>Henry M. Majadillas</t>
  </si>
  <si>
    <t>09673617549</t>
  </si>
  <si>
    <t>449-081-684</t>
  </si>
  <si>
    <t>10/4/2016</t>
  </si>
  <si>
    <t>OMINIPUS-MAGUIRON CIS</t>
  </si>
  <si>
    <t>OMINIPUS-MAGUIRON IRRIGATORS' ASSOCIATION, INC.</t>
  </si>
  <si>
    <t>Maguiron, Guinobatan</t>
  </si>
  <si>
    <t>Jonathan M. Salting</t>
  </si>
  <si>
    <t>09274964510</t>
  </si>
  <si>
    <t>004-980-007</t>
  </si>
  <si>
    <t>ORAS - TABIGUIAN CIS</t>
  </si>
  <si>
    <t>RAS-GUIAN TABACO IRRIGATORS ASSOCIATION Inc.</t>
  </si>
  <si>
    <t>Purok 5, Tabiguian, Tabaco City</t>
  </si>
  <si>
    <t>Clarito T. Bilardo</t>
  </si>
  <si>
    <t>01-16-2020</t>
  </si>
  <si>
    <t>767-273-189-000</t>
  </si>
  <si>
    <t>CN202070067</t>
  </si>
  <si>
    <t>02-21-2020</t>
  </si>
  <si>
    <t>PADANG CIS</t>
  </si>
  <si>
    <t>PADANG LEGAZPI IRRIGATORS ASSOCIATION, INC.</t>
  </si>
  <si>
    <t>Padang, Legazpi City</t>
  </si>
  <si>
    <t>Manuel Alagaban</t>
  </si>
  <si>
    <t>09478526728</t>
  </si>
  <si>
    <t>009-649-726</t>
  </si>
  <si>
    <t>CN201714084</t>
  </si>
  <si>
    <t>PANDAN-BONGALON CIS</t>
  </si>
  <si>
    <t>PANBONG IRRIGATORS' ASSOCIATION, INC.</t>
  </si>
  <si>
    <t>Pandan, Daraga</t>
  </si>
  <si>
    <t>Simeon L. de Luna</t>
  </si>
  <si>
    <t>09481395790</t>
  </si>
  <si>
    <t>004-979-932</t>
  </si>
  <si>
    <t>PAWA-RAWIS I CIS</t>
  </si>
  <si>
    <t>PAWA RAWIS FARMERS IRRIGATORS ASSN, INC.</t>
  </si>
  <si>
    <t>Pawa, Legazpi</t>
  </si>
  <si>
    <t>Edson A. Ador</t>
  </si>
  <si>
    <t>09703067655</t>
  </si>
  <si>
    <t>421-606-296-000</t>
  </si>
  <si>
    <t>CN201133506</t>
  </si>
  <si>
    <t>PINAMANQUIHAN CIS</t>
  </si>
  <si>
    <t>PINAMANIQUIAN IRRIGATORS ASSOCIATION, INC.</t>
  </si>
  <si>
    <t>Pinamaniquian, Ligao City</t>
  </si>
  <si>
    <t>Oscar P. Balonzo</t>
  </si>
  <si>
    <t>09478447959</t>
  </si>
  <si>
    <t>298-756-367</t>
  </si>
  <si>
    <t>CN201430157</t>
  </si>
  <si>
    <t>PRISA-LEFT QUINALE CIS</t>
  </si>
  <si>
    <t>Busac, Oas, Albay</t>
  </si>
  <si>
    <t>Maximiniano Joanillas</t>
  </si>
  <si>
    <t>09308011886</t>
  </si>
  <si>
    <t>004-981-693</t>
  </si>
  <si>
    <t>QUINARTILAN CIS</t>
  </si>
  <si>
    <t>QUINUARTILAN CAMALIG FARMERS &amp; IRRIGATORS ASSOCIATION, INC.</t>
  </si>
  <si>
    <t>Quinartilan, Camalig, Albay</t>
  </si>
  <si>
    <t>Zaldy M. Nocomora</t>
  </si>
  <si>
    <t>09089204866</t>
  </si>
  <si>
    <t>009-665-033</t>
  </si>
  <si>
    <t>CN201715615</t>
  </si>
  <si>
    <t>03/09/2000</t>
  </si>
  <si>
    <t>QUIRANGAY CIP</t>
  </si>
  <si>
    <t>BASUD-QUIRANGAY IRRIGATORS ASSOCIATION, INC.</t>
  </si>
  <si>
    <t>Quirangay, Camalig Albay</t>
  </si>
  <si>
    <t>Jessie G. Moyo</t>
  </si>
  <si>
    <t>09073178668</t>
  </si>
  <si>
    <t>451-185-479</t>
  </si>
  <si>
    <t>non-Operational as per inventory due to absent of water source</t>
  </si>
  <si>
    <t>RAPU-RAPU CIS</t>
  </si>
  <si>
    <t>STA. FLORENTINA FARMERS IRRIGATORS ASSOCIATION, INC.</t>
  </si>
  <si>
    <t>Poblacion, Rapu-Rapu</t>
  </si>
  <si>
    <t>Erasmo G. de la Cruz</t>
  </si>
  <si>
    <t>09633396706</t>
  </si>
  <si>
    <t>429-303-684</t>
  </si>
  <si>
    <t>RIGHT QUINALE CIS</t>
  </si>
  <si>
    <t>KINALE-BALANGIBANG-CARISAC IRRIGATORS ASSOCIATION, INC.</t>
  </si>
  <si>
    <t>Kinale, Polangui</t>
  </si>
  <si>
    <t>Nestor S. Cañada</t>
  </si>
  <si>
    <t>09204769977</t>
  </si>
  <si>
    <t>004-982-757</t>
  </si>
  <si>
    <t>SAGPAN KAN BANWA CIS</t>
  </si>
  <si>
    <t>SAGPAN KAN BANWA IRRIGATORS ASSOCIATION INC.</t>
  </si>
  <si>
    <t>Awang, Malinao, Albay</t>
  </si>
  <si>
    <t>Henry B. Cervantes</t>
  </si>
  <si>
    <t>09186572921</t>
  </si>
  <si>
    <t>IRC0001130215</t>
  </si>
  <si>
    <t>CN201809763</t>
  </si>
  <si>
    <t>SAN AGUSTIN CIS</t>
  </si>
  <si>
    <t>DEL ROSARIO-CARISAC-SAN AGUSTIN IRRIGATORS' ASSOCIATION INC.</t>
  </si>
  <si>
    <t>San Agustin, Libon</t>
  </si>
  <si>
    <t>09089197400</t>
  </si>
  <si>
    <t>004-983-121</t>
  </si>
  <si>
    <t>SAN ANTONIO CIS</t>
  </si>
  <si>
    <t>SAN ANTONIO TABACO IRRIGATORS' ASSOCIATION, INC.</t>
  </si>
  <si>
    <t>San Antonio, Tabaco City</t>
  </si>
  <si>
    <t>Guillermo Sardana</t>
  </si>
  <si>
    <t>09204199352</t>
  </si>
  <si>
    <t>297-328-299</t>
  </si>
  <si>
    <t>CN201029956</t>
  </si>
  <si>
    <t>SAN FRANCISCO CIS</t>
  </si>
  <si>
    <t>SAN FRANCISCO KASAKALIKASAN IRRIGATOR'S ASSOCIATION (SAFKIA), INC.</t>
  </si>
  <si>
    <t>San Francisco, Legazpi City</t>
  </si>
  <si>
    <t>Ronaldo P. Aringo</t>
  </si>
  <si>
    <t>09283603109</t>
  </si>
  <si>
    <t>SAN FRANCISCO GABON CIS</t>
  </si>
  <si>
    <t>GASULABIDA IRRIGATORS' ASSOCIATION, INC. </t>
  </si>
  <si>
    <t>Sugcad, Polangui,Albay</t>
  </si>
  <si>
    <t>Orlando C. Vibar</t>
  </si>
  <si>
    <t>09630468455</t>
  </si>
  <si>
    <t>000-980-249</t>
  </si>
  <si>
    <t>SAN FRANCISCO RIS</t>
  </si>
  <si>
    <t>Tabaco/Malinao</t>
  </si>
  <si>
    <t>09636521170</t>
  </si>
  <si>
    <t>406-583-897-000</t>
  </si>
  <si>
    <t>CN201032353</t>
  </si>
  <si>
    <t>SAN JOAQUIN BIGAA CIS</t>
  </si>
  <si>
    <t>Ricefield Irrigators Agricultural Inc.</t>
  </si>
  <si>
    <t>Bigaa, Legazpi City</t>
  </si>
  <si>
    <t>Emelene A. Abiera</t>
  </si>
  <si>
    <t>09701169196</t>
  </si>
  <si>
    <t>438-808-534-000</t>
  </si>
  <si>
    <t>SAN JOSE MASLOG CIS</t>
  </si>
  <si>
    <t>MASLOG-SAN JOSE FARMERS IRRIGATORS' ASSOCIATION INC.</t>
  </si>
  <si>
    <t>Maslog, Legazpi City</t>
  </si>
  <si>
    <t>Roy B. Alamil</t>
  </si>
  <si>
    <t>CN201330061</t>
  </si>
  <si>
    <t>SAN RAFAEL CIS</t>
  </si>
  <si>
    <t>SAN RAFAEL-QUIQUIBANG  IRRIGATORS ASSOCIATION, INC.</t>
  </si>
  <si>
    <t>San Rafael, Guinobatan</t>
  </si>
  <si>
    <t>Ricardo P. Nocos</t>
  </si>
  <si>
    <t>09/24/2018</t>
  </si>
  <si>
    <t>010-371-746</t>
  </si>
  <si>
    <t>CN201912764</t>
  </si>
  <si>
    <t>03/21/2021</t>
  </si>
  <si>
    <t>03/21/2022</t>
  </si>
  <si>
    <t>SOA CIS</t>
  </si>
  <si>
    <t>SOA IRRIGATORS ASSOCIATION, INC.</t>
  </si>
  <si>
    <t>Soa, Malinao</t>
  </si>
  <si>
    <t>Crisanto Bon</t>
  </si>
  <si>
    <t>005-714-898</t>
  </si>
  <si>
    <t>97-00141</t>
  </si>
  <si>
    <t>SSMISAN CIS</t>
  </si>
  <si>
    <t>SAN FERNANDO STA. MISERICORDIA IRRIGATORS ASSOCIATION, INC.</t>
  </si>
  <si>
    <t>Misericordia, Sto. Domingo</t>
  </si>
  <si>
    <t>Nelson M. Balinquit</t>
  </si>
  <si>
    <t>09097715309</t>
  </si>
  <si>
    <t>290-794-624</t>
  </si>
  <si>
    <t>CN200931683</t>
  </si>
  <si>
    <t>2010</t>
  </si>
  <si>
    <t>STA TERESITA CIS</t>
  </si>
  <si>
    <t>STA TERESITA-POLANGUI IRRIGATORS ASSOCIATION, INC.</t>
  </si>
  <si>
    <t>Sta Tersita, Polangui, Albay</t>
  </si>
  <si>
    <t>Pelagio A. Ibias, Jr.</t>
  </si>
  <si>
    <t>09460804426</t>
  </si>
  <si>
    <t>010-371-804</t>
  </si>
  <si>
    <t>CN201912765</t>
  </si>
  <si>
    <t>STA. TERESA CIS</t>
  </si>
  <si>
    <t>STA. TERESA-SAN FRANCISCO IRRIGATORS ASSOCIATION, INC.</t>
  </si>
  <si>
    <t>San Francisco, Malilipot</t>
  </si>
  <si>
    <t>Deogracias P. Binalla, Jr.</t>
  </si>
  <si>
    <t>09076554531</t>
  </si>
  <si>
    <t>067-004-982-708</t>
  </si>
  <si>
    <t>SUA CIS</t>
  </si>
  <si>
    <t>SUA CAMALIG COMMUNAL IRRIGATORS ASSOCIATION INC.</t>
  </si>
  <si>
    <t>Sua, Camalig Albay</t>
  </si>
  <si>
    <t>Romualdo Solano</t>
  </si>
  <si>
    <t>09089127575</t>
  </si>
  <si>
    <t>CN201428537</t>
  </si>
  <si>
    <t>TAGAS ALCALA KILICAO CIS</t>
  </si>
  <si>
    <t>ALCALA KILICAO TAGAS IRRIGATORS ASSOCIATION (ALKITAG IA),INC.</t>
  </si>
  <si>
    <t>Kilicao, Daraga, Albay</t>
  </si>
  <si>
    <t>Zaldy Mayor</t>
  </si>
  <si>
    <t>09396526144</t>
  </si>
  <si>
    <t>009-624-955</t>
  </si>
  <si>
    <t>CN201711606</t>
  </si>
  <si>
    <t>TAGOYTOY CIS</t>
  </si>
  <si>
    <t>TAGOYTOY IRRIGATORS ASSN, INC.</t>
  </si>
  <si>
    <t>Tagoytoy, Malinao</t>
  </si>
  <si>
    <t>Ariel C. Bonaobra</t>
  </si>
  <si>
    <t>09706253513</t>
  </si>
  <si>
    <t>005-716-171-00</t>
  </si>
  <si>
    <t>98-00252</t>
  </si>
  <si>
    <t>TAGPO CIS</t>
  </si>
  <si>
    <t>TAGPO SAN LUCAS IRRIGATORS ASSOCIATION, INC.</t>
  </si>
  <si>
    <t>Tagpo, Ligao City</t>
  </si>
  <si>
    <t>Rodolfo C. Nario</t>
  </si>
  <si>
    <t>460-413-920</t>
  </si>
  <si>
    <t>CN2014433287</t>
  </si>
  <si>
    <t>TAMAOYAN CIS</t>
  </si>
  <si>
    <t>TAMAOYAN IRRIGATORS ASSOCIATION, INC.</t>
  </si>
  <si>
    <t>Tamaoyan, Legazpi City</t>
  </si>
  <si>
    <t>Jose P. Baria</t>
  </si>
  <si>
    <t>438-667-446-000</t>
  </si>
  <si>
    <t>CN20133080308</t>
  </si>
  <si>
    <t>TAMBILAGAO CIS</t>
  </si>
  <si>
    <t>TAMBILAGAO FARMERS IRRIGATORS ASSOCIATION, INC.</t>
  </si>
  <si>
    <t>Tambilagao, Bacacay</t>
  </si>
  <si>
    <t>Efren V. Rasonabe</t>
  </si>
  <si>
    <t>TAMBO CIS</t>
  </si>
  <si>
    <t>TAMBO BALIGANG FARMERS  IRRIGATORS ASSOCIATION, INC.</t>
  </si>
  <si>
    <t>Tambo, Ligao City</t>
  </si>
  <si>
    <t>Edwin O. Beren</t>
  </si>
  <si>
    <t>09993716669</t>
  </si>
  <si>
    <t>450-804-165-000</t>
  </si>
  <si>
    <t>CN201430159</t>
  </si>
  <si>
    <t>TANABEGA CIS</t>
  </si>
  <si>
    <t>FARMERS TANABEGA IRRIGATORS ASSOCIATION INC.</t>
  </si>
  <si>
    <t>Nagas, Tiwi, Albay</t>
  </si>
  <si>
    <t>Rommel C. Cirujales</t>
  </si>
  <si>
    <t>09202552129</t>
  </si>
  <si>
    <t>010-075-395</t>
  </si>
  <si>
    <t>CN201814154</t>
  </si>
  <si>
    <t>TANAGAN CIS</t>
  </si>
  <si>
    <t>TANAGAN PALALI FARMERS IRRIGATORS ASSOCIATION, INC.</t>
  </si>
  <si>
    <t>Tanagan, Bacacay</t>
  </si>
  <si>
    <t>Arnulfo B. Balana</t>
  </si>
  <si>
    <t>09816630331</t>
  </si>
  <si>
    <t>TANAWAN CIS</t>
  </si>
  <si>
    <t>LAGBANOG COMMUNAL  IRRIGATORS ASSOCIATION, INC.</t>
  </si>
  <si>
    <t>Balsa, Malinao</t>
  </si>
  <si>
    <t>Leon R. Bufete</t>
  </si>
  <si>
    <t>09294788155</t>
  </si>
  <si>
    <t>004-981-032-000</t>
  </si>
  <si>
    <t>TUGAWE CIS</t>
  </si>
  <si>
    <t>TUWOD3 IRRIGATORS ASSOCIATION, INC.</t>
  </si>
  <si>
    <t>Ilawod, Malilipot, Albay</t>
  </si>
  <si>
    <t>Edita B. Benavente</t>
  </si>
  <si>
    <t>09478042014</t>
  </si>
  <si>
    <t>009-681-865</t>
  </si>
  <si>
    <t>CN201717303</t>
  </si>
  <si>
    <t>TULIW-PAWA CIS</t>
  </si>
  <si>
    <t>TULIW-PAWA IRRIGATORS' ASSOCIATION, INC.</t>
  </si>
  <si>
    <t>Tuliw, Malinao</t>
  </si>
  <si>
    <t>MARIA C. JEBULAN</t>
  </si>
  <si>
    <t>09153982225</t>
  </si>
  <si>
    <t>004-981-032</t>
  </si>
  <si>
    <t>UPPER LIBOD CIS</t>
  </si>
  <si>
    <t>USWAG MILIBAS IRRIGATORS ASSOCIATION, INC.</t>
  </si>
  <si>
    <t>Rogelio M. Pardinas</t>
  </si>
  <si>
    <t>09192805209</t>
  </si>
  <si>
    <t>435-769-421</t>
  </si>
  <si>
    <t>No data</t>
  </si>
  <si>
    <t>UPPER-HINDI CIS</t>
  </si>
  <si>
    <t>UPPER HINDI IRRIGATORS' ASSOCIATION, INC.</t>
  </si>
  <si>
    <t>Wenifredo Barcelona</t>
  </si>
  <si>
    <t>09156901854</t>
  </si>
  <si>
    <t>407-688-721-000</t>
  </si>
  <si>
    <t>CN200726041</t>
  </si>
  <si>
    <t>Sub-total D 3</t>
  </si>
  <si>
    <t>NOT INCLUDED IN INVENTORY</t>
  </si>
  <si>
    <t>DANAO</t>
  </si>
  <si>
    <t>Deleted/ Permanently Non Restorable</t>
  </si>
  <si>
    <t>CULLAT</t>
  </si>
  <si>
    <t>ONGOING PROJECT</t>
  </si>
  <si>
    <t>NEWLY COMPLETED</t>
  </si>
  <si>
    <t>DEVOLVED TO LGU</t>
  </si>
  <si>
    <t>CIS IA PROFILE as of : DECEMBER 31, 2024</t>
  </si>
  <si>
    <t>06/17/2022</t>
  </si>
  <si>
    <t>08/14/2020</t>
  </si>
  <si>
    <t>8/14/2020</t>
  </si>
  <si>
    <t>JOEL C. CEPEREZ JR.</t>
  </si>
  <si>
    <t>EDWIN B. BISTA</t>
  </si>
  <si>
    <t>04/16/2018</t>
  </si>
  <si>
    <t>11/19/2021</t>
  </si>
  <si>
    <t>3/15/2024</t>
  </si>
  <si>
    <t>3/30/2015</t>
  </si>
  <si>
    <t>BENITA P. APILLADA</t>
  </si>
  <si>
    <t>no more project implemented</t>
  </si>
  <si>
    <t>2/28/2017</t>
  </si>
  <si>
    <t>11/25/2021</t>
  </si>
  <si>
    <t>COLANOS TANGKALAO IA, INC.</t>
  </si>
  <si>
    <t>SALVADOR B. CASIN</t>
  </si>
  <si>
    <t>12/15/1978</t>
  </si>
  <si>
    <t>09/18/2015</t>
  </si>
  <si>
    <t>Congressional District: 2</t>
  </si>
  <si>
    <t>1/28/2021</t>
  </si>
  <si>
    <t>1/27/2023</t>
  </si>
  <si>
    <t>REYNALDO A. MABELIN</t>
  </si>
  <si>
    <t>NOT yet accepted by farmers (for approval)</t>
  </si>
  <si>
    <t>1/19/2019</t>
  </si>
  <si>
    <t>8/20/2020</t>
  </si>
  <si>
    <t>2/15/2012</t>
  </si>
  <si>
    <t>not accepted by farmers due to no source of water</t>
  </si>
  <si>
    <t>ANTONIO D. LORENZANA</t>
  </si>
  <si>
    <t>5/16/2021</t>
  </si>
  <si>
    <t>4/18/2014</t>
  </si>
  <si>
    <t>Congressional District: 3</t>
  </si>
  <si>
    <t xml:space="preserve">v </t>
  </si>
  <si>
    <t>3/15/2016</t>
  </si>
  <si>
    <t>6/22/2017</t>
  </si>
  <si>
    <t>REY RAQUID</t>
  </si>
  <si>
    <t>11/22/2024</t>
  </si>
  <si>
    <t>5/30/2019</t>
  </si>
  <si>
    <t xml:space="preserve"> 11/26/2019</t>
  </si>
  <si>
    <t>11/26/2019</t>
  </si>
  <si>
    <t>01/19/2024</t>
  </si>
  <si>
    <t>ESTELITO C. CANARIA, JR.</t>
  </si>
  <si>
    <t>ERNESTO TUAZON, JR.</t>
  </si>
  <si>
    <t>9/8/2019</t>
  </si>
  <si>
    <t>09/15/2023</t>
  </si>
  <si>
    <t>NOEL N. MORTA</t>
  </si>
  <si>
    <t>no document on file</t>
  </si>
  <si>
    <t>no turnover data</t>
  </si>
  <si>
    <t>6/30/2024</t>
  </si>
  <si>
    <t>7/21/2016</t>
  </si>
  <si>
    <t>PRISA LEFT QUINALE IRRIGATORS ASSOCIATION, INC.</t>
  </si>
  <si>
    <t>09/20/2024</t>
  </si>
  <si>
    <t>7/26/2022</t>
  </si>
  <si>
    <t>Grand Total</t>
  </si>
  <si>
    <t>HILARIO S. MALAGUEÑO</t>
  </si>
  <si>
    <t>Congressional District: I</t>
  </si>
  <si>
    <t>NIS IA PROFILE as of : (Month &amp; Year)</t>
  </si>
  <si>
    <t xml:space="preserve">NIS: </t>
  </si>
  <si>
    <t>IMO: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</si>
</sst>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0.000_)"/>
    <numFmt numFmtId="166" formatCode="_-* #,##0_-;\-* #,##0_-;_-* &quot;-&quot;??_-;_-@_-"/>
    <numFmt numFmtId="167" formatCode="mm/dd/yy;@"/>
    <numFmt numFmtId="168" formatCode="m/d/yyyy;@"/>
    <numFmt numFmtId="169" formatCode="#,##0.000"/>
    <numFmt numFmtId="172" formatCode="0.00_)"/>
  </numFmts>
  <fonts count="18">
    <font>
      <sz val="11"/>
      <color theme="1"/>
      <name val="Calibri"/>
      <charset val="134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10"/>
      <color theme="1"/>
      <name val="Calibri Light"/>
      <family val="2"/>
      <scheme val="major"/>
    </font>
    <font>
      <sz val="11"/>
      <color rgb="FFFF0000"/>
      <name val="Cambria"/>
      <family val="1"/>
    </font>
    <font>
      <sz val="10"/>
      <color rgb="FFFF0000"/>
      <name val="Calibri Light"/>
      <family val="2"/>
      <scheme val="major"/>
    </font>
    <font>
      <sz val="8"/>
      <color theme="1"/>
      <name val="Cambria"/>
      <family val="1"/>
    </font>
    <font>
      <b/>
      <sz val="10"/>
      <color theme="1"/>
      <name val="Tahoma"/>
      <family val="2"/>
    </font>
    <font>
      <sz val="10"/>
      <name val="Courier"/>
      <charset val="134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FF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9">
    <xf numFmtId="0" fontId="0" fillId="0" borderId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9" fillId="0" borderId="0"/>
    <xf numFmtId="0" fontId="10" fillId="0" borderId="0"/>
    <xf numFmtId="0" fontId="11" fillId="0" borderId="0"/>
    <xf numFmtId="0" fontId="16" fillId="0" borderId="0"/>
  </cellStyleXfs>
  <cellXfs count="249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14" xfId="0" applyFont="1" applyBorder="1"/>
    <xf numFmtId="0" fontId="1" fillId="0" borderId="14" xfId="0" applyFont="1" applyBorder="1"/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/>
    <xf numFmtId="0" fontId="1" fillId="0" borderId="24" xfId="0" applyFont="1" applyBorder="1"/>
    <xf numFmtId="0" fontId="1" fillId="0" borderId="27" xfId="0" applyFont="1" applyBorder="1"/>
    <xf numFmtId="0" fontId="1" fillId="0" borderId="19" xfId="0" applyFont="1" applyBorder="1"/>
    <xf numFmtId="0" fontId="2" fillId="0" borderId="0" xfId="0" applyFont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34" xfId="0" applyFont="1" applyBorder="1"/>
    <xf numFmtId="0" fontId="2" fillId="0" borderId="0" xfId="0" applyFont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vertical="center"/>
    </xf>
    <xf numFmtId="49" fontId="2" fillId="0" borderId="13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2" fillId="5" borderId="0" xfId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0" borderId="12" xfId="0" applyFont="1" applyBorder="1" applyAlignment="1">
      <alignment horizontal="right" vertical="center" wrapText="1"/>
    </xf>
    <xf numFmtId="0" fontId="2" fillId="6" borderId="13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vertical="center" wrapText="1"/>
    </xf>
    <xf numFmtId="0" fontId="2" fillId="6" borderId="13" xfId="0" applyFont="1" applyFill="1" applyBorder="1" applyAlignment="1">
      <alignment vertical="center"/>
    </xf>
    <xf numFmtId="0" fontId="2" fillId="5" borderId="13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 wrapText="1"/>
    </xf>
    <xf numFmtId="0" fontId="3" fillId="5" borderId="13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3" fillId="5" borderId="0" xfId="0" applyFont="1" applyFill="1" applyAlignment="1">
      <alignment vertical="center" wrapText="1"/>
    </xf>
    <xf numFmtId="14" fontId="2" fillId="0" borderId="17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/>
    </xf>
    <xf numFmtId="14" fontId="1" fillId="0" borderId="14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1" fillId="5" borderId="0" xfId="0" applyFont="1" applyFill="1"/>
    <xf numFmtId="164" fontId="2" fillId="5" borderId="11" xfId="1" applyFont="1" applyFill="1" applyBorder="1" applyAlignment="1">
      <alignment horizontal="right" vertical="center" wrapText="1"/>
    </xf>
    <xf numFmtId="0" fontId="2" fillId="5" borderId="11" xfId="0" applyFont="1" applyFill="1" applyBorder="1" applyAlignment="1">
      <alignment horizontal="right" vertical="center" wrapText="1"/>
    </xf>
    <xf numFmtId="168" fontId="2" fillId="0" borderId="13" xfId="0" applyNumberFormat="1" applyFont="1" applyBorder="1" applyAlignment="1">
      <alignment horizontal="center" vertical="center"/>
    </xf>
    <xf numFmtId="4" fontId="2" fillId="5" borderId="13" xfId="1" applyNumberFormat="1" applyFont="1" applyFill="1" applyBorder="1" applyAlignment="1">
      <alignment horizontal="center" vertical="center"/>
    </xf>
    <xf numFmtId="3" fontId="4" fillId="5" borderId="13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8" fontId="2" fillId="0" borderId="18" xfId="0" applyNumberFormat="1" applyFont="1" applyBorder="1" applyAlignment="1">
      <alignment horizontal="center" vertical="center"/>
    </xf>
    <xf numFmtId="4" fontId="2" fillId="5" borderId="13" xfId="1" applyNumberFormat="1" applyFont="1" applyFill="1" applyBorder="1" applyAlignment="1">
      <alignment horizontal="center" vertical="center" wrapText="1"/>
    </xf>
    <xf numFmtId="3" fontId="4" fillId="5" borderId="13" xfId="0" applyNumberFormat="1" applyFont="1" applyFill="1" applyBorder="1" applyAlignment="1">
      <alignment horizontal="center" vertical="center" wrapText="1"/>
    </xf>
    <xf numFmtId="168" fontId="5" fillId="0" borderId="13" xfId="0" applyNumberFormat="1" applyFont="1" applyBorder="1" applyAlignment="1">
      <alignment horizontal="center" vertical="center"/>
    </xf>
    <xf numFmtId="4" fontId="5" fillId="5" borderId="13" xfId="0" applyNumberFormat="1" applyFont="1" applyFill="1" applyBorder="1" applyAlignment="1">
      <alignment horizontal="center" vertical="center"/>
    </xf>
    <xf numFmtId="3" fontId="6" fillId="5" borderId="13" xfId="0" applyNumberFormat="1" applyFont="1" applyFill="1" applyBorder="1" applyAlignment="1">
      <alignment horizontal="center" vertical="center"/>
    </xf>
    <xf numFmtId="4" fontId="2" fillId="5" borderId="13" xfId="0" applyNumberFormat="1" applyFont="1" applyFill="1" applyBorder="1" applyAlignment="1">
      <alignment horizontal="center" vertical="center"/>
    </xf>
    <xf numFmtId="4" fontId="5" fillId="5" borderId="13" xfId="1" applyNumberFormat="1" applyFont="1" applyFill="1" applyBorder="1" applyAlignment="1">
      <alignment horizontal="center" vertical="center"/>
    </xf>
    <xf numFmtId="168" fontId="2" fillId="0" borderId="17" xfId="0" applyNumberFormat="1" applyFont="1" applyBorder="1" applyAlignment="1">
      <alignment horizontal="center" vertical="center"/>
    </xf>
    <xf numFmtId="4" fontId="2" fillId="5" borderId="17" xfId="1" applyNumberFormat="1" applyFont="1" applyFill="1" applyBorder="1" applyAlignment="1">
      <alignment horizontal="center" vertical="center"/>
    </xf>
    <xf numFmtId="3" fontId="4" fillId="5" borderId="17" xfId="0" applyNumberFormat="1" applyFont="1" applyFill="1" applyBorder="1" applyAlignment="1">
      <alignment horizontal="center" vertical="center"/>
    </xf>
    <xf numFmtId="168" fontId="1" fillId="0" borderId="14" xfId="0" applyNumberFormat="1" applyFont="1" applyBorder="1" applyAlignment="1">
      <alignment horizontal="center" vertical="center"/>
    </xf>
    <xf numFmtId="4" fontId="1" fillId="5" borderId="14" xfId="1" applyNumberFormat="1" applyFont="1" applyFill="1" applyBorder="1" applyAlignment="1">
      <alignment horizontal="center" vertical="center"/>
    </xf>
    <xf numFmtId="4" fontId="2" fillId="5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4" fontId="2" fillId="5" borderId="11" xfId="1" applyNumberFormat="1" applyFont="1" applyFill="1" applyBorder="1" applyAlignment="1">
      <alignment horizontal="center" vertical="center" wrapText="1"/>
    </xf>
    <xf numFmtId="3" fontId="4" fillId="5" borderId="1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2" fillId="0" borderId="35" xfId="0" applyFont="1" applyBorder="1" applyAlignment="1">
      <alignment horizontal="center" vertical="center" wrapText="1"/>
    </xf>
    <xf numFmtId="3" fontId="2" fillId="5" borderId="13" xfId="0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9" fontId="2" fillId="0" borderId="13" xfId="0" applyNumberFormat="1" applyFont="1" applyBorder="1" applyAlignment="1">
      <alignment horizontal="center" vertical="center"/>
    </xf>
    <xf numFmtId="169" fontId="2" fillId="5" borderId="13" xfId="0" applyNumberFormat="1" applyFont="1" applyFill="1" applyBorder="1" applyAlignment="1">
      <alignment horizontal="center" vertical="center"/>
    </xf>
    <xf numFmtId="14" fontId="2" fillId="5" borderId="13" xfId="0" applyNumberFormat="1" applyFont="1" applyFill="1" applyBorder="1" applyAlignment="1">
      <alignment horizontal="center" vertical="center"/>
    </xf>
    <xf numFmtId="169" fontId="2" fillId="0" borderId="13" xfId="1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3" fontId="2" fillId="5" borderId="13" xfId="0" applyNumberFormat="1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14" fontId="2" fillId="5" borderId="13" xfId="0" applyNumberFormat="1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3" fontId="5" fillId="5" borderId="13" xfId="0" applyNumberFormat="1" applyFont="1" applyFill="1" applyBorder="1" applyAlignment="1">
      <alignment horizontal="center" vertical="center"/>
    </xf>
    <xf numFmtId="14" fontId="5" fillId="5" borderId="13" xfId="0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69" fontId="5" fillId="0" borderId="13" xfId="1" applyNumberFormat="1" applyFont="1" applyFill="1" applyBorder="1" applyAlignment="1">
      <alignment horizontal="center" vertical="center"/>
    </xf>
    <xf numFmtId="169" fontId="5" fillId="5" borderId="13" xfId="0" applyNumberFormat="1" applyFont="1" applyFill="1" applyBorder="1" applyAlignment="1">
      <alignment horizontal="center" vertical="center"/>
    </xf>
    <xf numFmtId="3" fontId="2" fillId="5" borderId="17" xfId="0" applyNumberFormat="1" applyFont="1" applyFill="1" applyBorder="1" applyAlignment="1">
      <alignment horizontal="center" vertical="center"/>
    </xf>
    <xf numFmtId="14" fontId="2" fillId="5" borderId="17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69" fontId="2" fillId="0" borderId="17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9" fontId="1" fillId="0" borderId="27" xfId="1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9" fontId="2" fillId="0" borderId="11" xfId="0" applyNumberFormat="1" applyFont="1" applyBorder="1" applyAlignment="1">
      <alignment horizontal="center" vertical="center"/>
    </xf>
    <xf numFmtId="3" fontId="2" fillId="5" borderId="11" xfId="0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9" fontId="5" fillId="0" borderId="1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1" fillId="0" borderId="27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vertical="center" wrapText="1"/>
    </xf>
    <xf numFmtId="0" fontId="1" fillId="0" borderId="25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3" fillId="5" borderId="13" xfId="0" applyFont="1" applyFill="1" applyBorder="1" applyAlignment="1">
      <alignment horizontal="left" vertical="center" wrapText="1"/>
    </xf>
    <xf numFmtId="4" fontId="1" fillId="5" borderId="14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4" fontId="7" fillId="5" borderId="13" xfId="0" applyNumberFormat="1" applyFont="1" applyFill="1" applyBorder="1" applyAlignment="1">
      <alignment horizontal="center" vertical="center" wrapText="1"/>
    </xf>
    <xf numFmtId="169" fontId="2" fillId="0" borderId="17" xfId="1" applyNumberFormat="1" applyFont="1" applyFill="1" applyBorder="1" applyAlignment="1">
      <alignment horizontal="center" vertical="center"/>
    </xf>
    <xf numFmtId="169" fontId="1" fillId="0" borderId="27" xfId="0" applyNumberFormat="1" applyFont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right"/>
    </xf>
    <xf numFmtId="0" fontId="1" fillId="0" borderId="14" xfId="0" applyFont="1" applyBorder="1" applyAlignment="1">
      <alignment horizontal="left"/>
    </xf>
    <xf numFmtId="0" fontId="2" fillId="0" borderId="0" xfId="0" applyFont="1" applyAlignment="1">
      <alignment horizontal="right" vertical="center" wrapText="1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164" fontId="1" fillId="5" borderId="14" xfId="1" applyFont="1" applyFill="1" applyBorder="1" applyAlignment="1">
      <alignment horizontal="right"/>
    </xf>
    <xf numFmtId="43" fontId="1" fillId="5" borderId="14" xfId="1" applyNumberFormat="1" applyFont="1" applyFill="1" applyBorder="1" applyAlignment="1">
      <alignment horizontal="right"/>
    </xf>
    <xf numFmtId="43" fontId="2" fillId="5" borderId="0" xfId="0" applyNumberFormat="1" applyFont="1" applyFill="1"/>
    <xf numFmtId="0" fontId="2" fillId="5" borderId="0" xfId="0" applyFont="1" applyFill="1"/>
    <xf numFmtId="49" fontId="2" fillId="5" borderId="0" xfId="0" applyNumberFormat="1" applyFont="1" applyFill="1" applyAlignment="1">
      <alignment horizontal="right"/>
    </xf>
    <xf numFmtId="166" fontId="2" fillId="5" borderId="0" xfId="1" applyNumberFormat="1" applyFont="1" applyFill="1" applyAlignment="1">
      <alignment horizontal="right"/>
    </xf>
    <xf numFmtId="164" fontId="2" fillId="5" borderId="0" xfId="1" applyFont="1" applyFill="1" applyBorder="1" applyAlignment="1"/>
    <xf numFmtId="164" fontId="2" fillId="5" borderId="0" xfId="1" applyFont="1" applyFill="1" applyAlignment="1">
      <alignment horizontal="left"/>
    </xf>
    <xf numFmtId="4" fontId="2" fillId="5" borderId="0" xfId="1" applyNumberFormat="1" applyFont="1" applyFill="1" applyBorder="1" applyAlignment="1">
      <alignment vertical="center"/>
    </xf>
    <xf numFmtId="164" fontId="2" fillId="5" borderId="0" xfId="0" applyNumberFormat="1" applyFont="1" applyFill="1" applyAlignment="1">
      <alignment horizontal="right"/>
    </xf>
    <xf numFmtId="14" fontId="3" fillId="5" borderId="13" xfId="0" applyNumberFormat="1" applyFont="1" applyFill="1" applyBorder="1" applyAlignment="1">
      <alignment horizontal="center" vertical="center"/>
    </xf>
    <xf numFmtId="0" fontId="1" fillId="0" borderId="28" xfId="0" applyFont="1" applyBorder="1"/>
    <xf numFmtId="164" fontId="1" fillId="5" borderId="0" xfId="1" applyFont="1" applyFill="1" applyBorder="1" applyAlignment="1">
      <alignment horizontal="right"/>
    </xf>
    <xf numFmtId="43" fontId="2" fillId="5" borderId="0" xfId="0" applyNumberFormat="1" applyFont="1" applyFill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29" xfId="0" applyFont="1" applyBorder="1"/>
    <xf numFmtId="14" fontId="2" fillId="0" borderId="13" xfId="0" applyNumberFormat="1" applyFont="1" applyBorder="1"/>
    <xf numFmtId="14" fontId="2" fillId="0" borderId="0" xfId="0" applyNumberFormat="1" applyFont="1"/>
    <xf numFmtId="0" fontId="2" fillId="0" borderId="12" xfId="0" applyFont="1" applyBorder="1"/>
    <xf numFmtId="0" fontId="2" fillId="0" borderId="13" xfId="0" applyFont="1" applyBorder="1" applyAlignment="1">
      <alignment horizontal="left" vertical="center" indent="2"/>
    </xf>
    <xf numFmtId="14" fontId="2" fillId="0" borderId="14" xfId="0" applyNumberFormat="1" applyFont="1" applyBorder="1"/>
    <xf numFmtId="0" fontId="1" fillId="0" borderId="6" xfId="0" applyFont="1" applyBorder="1" applyAlignment="1">
      <alignment horizontal="center" vertical="center" wrapText="1"/>
    </xf>
    <xf numFmtId="172" fontId="2" fillId="0" borderId="23" xfId="0" applyNumberFormat="1" applyFont="1" applyBorder="1"/>
    <xf numFmtId="165" fontId="1" fillId="0" borderId="14" xfId="0" applyNumberFormat="1" applyFont="1" applyBorder="1"/>
    <xf numFmtId="0" fontId="2" fillId="0" borderId="13" xfId="0" quotePrefix="1" applyFont="1" applyBorder="1" applyAlignment="1">
      <alignment horizontal="left" vertical="center" indent="2"/>
    </xf>
    <xf numFmtId="14" fontId="2" fillId="0" borderId="13" xfId="0" quotePrefix="1" applyNumberFormat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 wrapText="1"/>
    </xf>
    <xf numFmtId="0" fontId="2" fillId="0" borderId="17" xfId="0" quotePrefix="1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 wrapText="1"/>
    </xf>
    <xf numFmtId="0" fontId="17" fillId="0" borderId="13" xfId="0" quotePrefix="1" applyFont="1" applyBorder="1" applyAlignment="1">
      <alignment horizontal="center" vertical="center"/>
    </xf>
    <xf numFmtId="4" fontId="2" fillId="2" borderId="13" xfId="1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164" fontId="1" fillId="2" borderId="14" xfId="1" applyFont="1" applyFill="1" applyBorder="1" applyAlignment="1">
      <alignment horizontal="center" vertical="center"/>
    </xf>
    <xf numFmtId="166" fontId="1" fillId="2" borderId="14" xfId="1" applyNumberFormat="1" applyFont="1" applyFill="1" applyBorder="1" applyAlignment="1">
      <alignment horizontal="center" vertical="center"/>
    </xf>
    <xf numFmtId="164" fontId="2" fillId="2" borderId="0" xfId="1" applyFont="1" applyFill="1"/>
    <xf numFmtId="164" fontId="8" fillId="2" borderId="0" xfId="1" applyFont="1" applyFill="1" applyBorder="1" applyAlignment="1">
      <alignment vertical="top" wrapText="1" readingOrder="1"/>
    </xf>
    <xf numFmtId="164" fontId="2" fillId="2" borderId="0" xfId="0" applyNumberFormat="1" applyFont="1" applyFill="1"/>
    <xf numFmtId="0" fontId="1" fillId="0" borderId="0" xfId="0" applyFont="1" applyAlignment="1">
      <alignment horizontal="left"/>
    </xf>
    <xf numFmtId="0" fontId="1" fillId="0" borderId="42" xfId="0" applyFont="1" applyBorder="1" applyAlignment="1">
      <alignment horizontal="left"/>
    </xf>
    <xf numFmtId="0" fontId="2" fillId="0" borderId="3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49" fontId="2" fillId="5" borderId="31" xfId="0" applyNumberFormat="1" applyFont="1" applyFill="1" applyBorder="1" applyAlignment="1">
      <alignment horizontal="center" vertical="center"/>
    </xf>
    <xf numFmtId="49" fontId="2" fillId="5" borderId="37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right" vertical="center" wrapText="1"/>
    </xf>
    <xf numFmtId="0" fontId="2" fillId="0" borderId="25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164" fontId="1" fillId="5" borderId="2" xfId="1" applyFont="1" applyFill="1" applyBorder="1" applyAlignment="1">
      <alignment horizontal="center" vertical="center" wrapText="1"/>
    </xf>
    <xf numFmtId="164" fontId="1" fillId="5" borderId="5" xfId="1" applyFont="1" applyFill="1" applyBorder="1" applyAlignment="1">
      <alignment horizontal="center" vertical="center" wrapText="1"/>
    </xf>
    <xf numFmtId="4" fontId="2" fillId="5" borderId="13" xfId="1" applyNumberFormat="1" applyFont="1" applyFill="1" applyBorder="1" applyAlignment="1">
      <alignment horizontal="center" vertical="center"/>
    </xf>
  </cellXfs>
  <cellStyles count="9">
    <cellStyle name="Comma" xfId="1" builtinId="3"/>
    <cellStyle name="Comma 2 2 2" xfId="2" xr:uid="{00000000-0005-0000-0000-000031000000}"/>
    <cellStyle name="Comma 2 2 2 2" xfId="3" xr:uid="{00000000-0005-0000-0000-000032000000}"/>
    <cellStyle name="Comma 4" xfId="4" xr:uid="{00000000-0005-0000-0000-000033000000}"/>
    <cellStyle name="Normal" xfId="0" builtinId="0"/>
    <cellStyle name="Normal 2" xfId="5" xr:uid="{00000000-0005-0000-0000-000034000000}"/>
    <cellStyle name="Normal 2 2" xfId="6" xr:uid="{00000000-0005-0000-0000-000035000000}"/>
    <cellStyle name="Normal 2 3" xfId="7" xr:uid="{00000000-0005-0000-0000-000036000000}"/>
    <cellStyle name="Normal 4" xfId="8" xr:uid="{00000000-0005-0000-0000-000037000000}"/>
  </cellStyles>
  <dxfs count="0"/>
  <tableStyles count="0" defaultTableStyle="TableStyleMedium2" defaultPivotStyle="PivotStyleLight16"/>
  <colors>
    <mruColors>
      <color rgb="FFCCCC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V17"/>
  <sheetViews>
    <sheetView tabSelected="1" zoomScale="85" zoomScaleNormal="85" zoomScaleSheetLayoutView="100" workbookViewId="0">
      <pane xSplit="2" ySplit="7" topLeftCell="C8" activePane="bottomRight" state="frozen"/>
      <selection pane="topRight"/>
      <selection pane="bottomLeft"/>
      <selection pane="bottomRight" activeCell="J22" sqref="J22"/>
    </sheetView>
  </sheetViews>
  <sheetFormatPr defaultColWidth="8.7109375" defaultRowHeight="14.25"/>
  <cols>
    <col min="1" max="1" width="2.85546875" style="6" customWidth="1"/>
    <col min="2" max="2" width="39.42578125" style="6" customWidth="1"/>
    <col min="3" max="3" width="22.7109375" style="6" customWidth="1"/>
    <col min="4" max="4" width="24.140625" style="6" customWidth="1"/>
    <col min="5" max="5" width="17.7109375" style="6" customWidth="1"/>
    <col min="6" max="6" width="20.7109375" style="6" customWidth="1"/>
    <col min="7" max="7" width="15.5703125" style="6" customWidth="1"/>
    <col min="8" max="9" width="19.140625" style="6" customWidth="1"/>
    <col min="10" max="10" width="14.5703125" style="1" customWidth="1"/>
    <col min="11" max="11" width="14.42578125" style="1" customWidth="1"/>
    <col min="12" max="12" width="14.7109375" style="1" customWidth="1"/>
    <col min="13" max="13" width="11.5703125" style="1" customWidth="1"/>
    <col min="14" max="14" width="10.85546875" style="1" customWidth="1"/>
    <col min="15" max="15" width="16.42578125" style="6" customWidth="1"/>
    <col min="16" max="16" width="19.42578125" style="6" customWidth="1"/>
    <col min="17" max="17" width="10.5703125" style="6" customWidth="1"/>
    <col min="18" max="18" width="8.7109375" style="6"/>
    <col min="19" max="19" width="10" style="6" customWidth="1"/>
    <col min="20" max="16384" width="8.7109375" style="6"/>
  </cols>
  <sheetData>
    <row r="1" spans="1:22">
      <c r="A1" s="201" t="s">
        <v>959</v>
      </c>
      <c r="B1" s="201"/>
      <c r="C1" s="5"/>
      <c r="D1" s="5"/>
      <c r="E1" s="5"/>
      <c r="F1" s="5"/>
      <c r="G1" s="5"/>
      <c r="H1" s="17"/>
      <c r="I1" s="17"/>
      <c r="S1" s="5"/>
      <c r="T1" s="5"/>
    </row>
    <row r="2" spans="1:22">
      <c r="A2" s="201" t="s">
        <v>0</v>
      </c>
      <c r="B2" s="201"/>
      <c r="C2" s="5"/>
      <c r="D2" s="5"/>
      <c r="E2" s="5"/>
      <c r="F2" s="5"/>
      <c r="G2" s="5"/>
      <c r="H2" s="8"/>
      <c r="I2" s="8"/>
      <c r="S2" s="5"/>
      <c r="T2" s="5"/>
    </row>
    <row r="3" spans="1:22">
      <c r="A3" s="201" t="s">
        <v>961</v>
      </c>
      <c r="B3" s="201"/>
      <c r="C3" s="5"/>
      <c r="D3" s="5"/>
      <c r="E3" s="5"/>
      <c r="F3" s="5"/>
      <c r="G3" s="5"/>
      <c r="H3" s="8"/>
      <c r="I3" s="8"/>
      <c r="P3" s="178"/>
      <c r="S3" s="5"/>
      <c r="T3" s="5"/>
    </row>
    <row r="4" spans="1:22" ht="15" thickBot="1">
      <c r="A4" s="202" t="s">
        <v>960</v>
      </c>
      <c r="B4" s="202"/>
      <c r="C4" s="5"/>
      <c r="D4" s="5"/>
      <c r="E4" s="5"/>
      <c r="F4" s="5"/>
      <c r="G4" s="5"/>
      <c r="H4" s="5"/>
      <c r="I4" s="5"/>
      <c r="J4" s="2"/>
      <c r="K4" s="2"/>
      <c r="L4" s="2"/>
      <c r="M4" s="2"/>
      <c r="N4" s="2"/>
      <c r="O4" s="5"/>
      <c r="P4" s="5"/>
      <c r="S4" s="5"/>
      <c r="T4" s="5"/>
    </row>
    <row r="5" spans="1:22">
      <c r="A5" s="210" t="s">
        <v>2</v>
      </c>
      <c r="B5" s="211"/>
      <c r="C5" s="206" t="s">
        <v>3</v>
      </c>
      <c r="D5" s="206" t="s">
        <v>4</v>
      </c>
      <c r="E5" s="206" t="s">
        <v>5</v>
      </c>
      <c r="F5" s="206" t="s">
        <v>6</v>
      </c>
      <c r="G5" s="206" t="s">
        <v>7</v>
      </c>
      <c r="H5" s="206" t="s">
        <v>8</v>
      </c>
      <c r="I5" s="206" t="s">
        <v>9</v>
      </c>
      <c r="J5" s="216" t="s">
        <v>10</v>
      </c>
      <c r="K5" s="216" t="s">
        <v>11</v>
      </c>
      <c r="L5" s="216" t="s">
        <v>12</v>
      </c>
      <c r="M5" s="216" t="s">
        <v>13</v>
      </c>
      <c r="N5" s="216" t="s">
        <v>14</v>
      </c>
      <c r="O5" s="206" t="s">
        <v>15</v>
      </c>
      <c r="P5" s="206" t="s">
        <v>16</v>
      </c>
      <c r="Q5" s="208" t="s">
        <v>17</v>
      </c>
      <c r="S5" s="214" t="s">
        <v>18</v>
      </c>
      <c r="T5" s="215"/>
    </row>
    <row r="6" spans="1:22" ht="15" thickBot="1">
      <c r="A6" s="212"/>
      <c r="B6" s="213"/>
      <c r="C6" s="207"/>
      <c r="D6" s="207"/>
      <c r="E6" s="207"/>
      <c r="F6" s="207"/>
      <c r="G6" s="207"/>
      <c r="H6" s="207"/>
      <c r="I6" s="207"/>
      <c r="J6" s="217"/>
      <c r="K6" s="217"/>
      <c r="L6" s="217"/>
      <c r="M6" s="217"/>
      <c r="N6" s="217"/>
      <c r="O6" s="207"/>
      <c r="P6" s="207" t="s">
        <v>19</v>
      </c>
      <c r="Q6" s="209" t="s">
        <v>20</v>
      </c>
      <c r="S6" s="182" t="s">
        <v>21</v>
      </c>
      <c r="T6" s="54" t="s">
        <v>22</v>
      </c>
    </row>
    <row r="7" spans="1:22" s="205" customFormat="1" ht="14.25" customHeight="1">
      <c r="A7" s="203" t="s">
        <v>958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</row>
    <row r="8" spans="1:22" ht="15" thickBot="1">
      <c r="A8" s="179"/>
      <c r="B8" s="11"/>
      <c r="C8" s="24"/>
      <c r="D8" s="24"/>
      <c r="E8" s="185"/>
      <c r="F8" s="180"/>
      <c r="G8" s="180"/>
      <c r="H8" s="180"/>
      <c r="I8" s="32"/>
      <c r="J8" s="194"/>
      <c r="K8" s="194"/>
      <c r="L8" s="195"/>
      <c r="M8" s="195"/>
      <c r="N8" s="195"/>
      <c r="O8" s="32"/>
      <c r="P8" s="177"/>
      <c r="Q8" s="183"/>
      <c r="S8" s="24"/>
      <c r="T8" s="24"/>
    </row>
    <row r="9" spans="1:22" ht="27" customHeight="1" thickBot="1">
      <c r="A9" s="9"/>
      <c r="B9" s="10" t="s">
        <v>23</v>
      </c>
      <c r="C9" s="9"/>
      <c r="D9" s="9"/>
      <c r="E9" s="9"/>
      <c r="F9" s="9"/>
      <c r="G9" s="9"/>
      <c r="H9" s="9"/>
      <c r="I9" s="9"/>
      <c r="J9" s="196">
        <f>SUM(J8:J8)</f>
        <v>0</v>
      </c>
      <c r="K9" s="196">
        <f>SUM(K8:K8)</f>
        <v>0</v>
      </c>
      <c r="L9" s="197">
        <f>SUM(L8:L8)</f>
        <v>0</v>
      </c>
      <c r="M9" s="197">
        <f>SUM(M8:M8)</f>
        <v>0</v>
      </c>
      <c r="N9" s="196">
        <f>SUM(N8:N8)</f>
        <v>0</v>
      </c>
      <c r="O9" s="47">
        <f>COUNT(O8)</f>
        <v>0</v>
      </c>
      <c r="P9" s="181"/>
      <c r="Q9" s="184">
        <f>SUM(Q8:Q8)</f>
        <v>0</v>
      </c>
      <c r="S9" s="10">
        <f>SUM(S8:S8)</f>
        <v>0</v>
      </c>
      <c r="T9" s="10">
        <f>SUM(T8:T8)</f>
        <v>0</v>
      </c>
    </row>
    <row r="10" spans="1:22">
      <c r="J10" s="198"/>
      <c r="K10" s="198"/>
    </row>
    <row r="11" spans="1:22" hidden="1">
      <c r="I11" s="6" t="s">
        <v>24</v>
      </c>
      <c r="J11" s="199">
        <v>3641.2867000000001</v>
      </c>
      <c r="K11" s="199">
        <v>3636.4349999999999</v>
      </c>
      <c r="L11" s="199">
        <v>4441</v>
      </c>
      <c r="M11" s="1">
        <v>3976</v>
      </c>
      <c r="N11" s="1">
        <v>106</v>
      </c>
    </row>
    <row r="12" spans="1:22" hidden="1">
      <c r="J12" s="200">
        <f>J9-J11</f>
        <v>-3641.2867000000001</v>
      </c>
      <c r="K12" s="200">
        <f t="shared" ref="K12:N12" si="0">K9-K11</f>
        <v>-3636.4349999999999</v>
      </c>
      <c r="L12" s="200">
        <f t="shared" si="0"/>
        <v>-4441</v>
      </c>
      <c r="M12" s="200">
        <f t="shared" si="0"/>
        <v>-3976</v>
      </c>
      <c r="N12" s="200">
        <f t="shared" si="0"/>
        <v>-106</v>
      </c>
    </row>
    <row r="13" spans="1:22" hidden="1"/>
    <row r="14" spans="1:22" hidden="1"/>
    <row r="15" spans="1:22" hidden="1"/>
    <row r="16" spans="1:22" hidden="1"/>
    <row r="17" hidden="1"/>
  </sheetData>
  <mergeCells count="22">
    <mergeCell ref="M5:M6"/>
    <mergeCell ref="N5:N6"/>
    <mergeCell ref="C5:C6"/>
    <mergeCell ref="D5:D6"/>
    <mergeCell ref="E5:E6"/>
    <mergeCell ref="F5:F6"/>
    <mergeCell ref="A1:B1"/>
    <mergeCell ref="A2:B2"/>
    <mergeCell ref="A3:B3"/>
    <mergeCell ref="A4:B4"/>
    <mergeCell ref="A7:XFD7"/>
    <mergeCell ref="O5:O6"/>
    <mergeCell ref="P5:P6"/>
    <mergeCell ref="Q5:Q6"/>
    <mergeCell ref="A5:B6"/>
    <mergeCell ref="S5:T5"/>
    <mergeCell ref="G5:G6"/>
    <mergeCell ref="H5:H6"/>
    <mergeCell ref="I5:I6"/>
    <mergeCell ref="J5:J6"/>
    <mergeCell ref="K5:K6"/>
    <mergeCell ref="L5:L6"/>
  </mergeCells>
  <pageMargins left="0.25" right="0.25" top="0.75" bottom="0.75" header="0.3" footer="0.3"/>
  <pageSetup paperSize="5" scale="53" orientation="landscape" r:id="rId1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00B0F0"/>
  </sheetPr>
  <dimension ref="A1:AL159"/>
  <sheetViews>
    <sheetView zoomScale="89" zoomScaleNormal="89" workbookViewId="0">
      <pane xSplit="3" ySplit="7" topLeftCell="D32" activePane="bottomRight" state="frozen"/>
      <selection pane="topRight"/>
      <selection pane="bottomLeft"/>
      <selection pane="bottomRight" activeCell="B33" sqref="B33"/>
    </sheetView>
  </sheetViews>
  <sheetFormatPr defaultColWidth="9.42578125" defaultRowHeight="14.25"/>
  <cols>
    <col min="1" max="1" width="5.42578125" style="7" customWidth="1"/>
    <col min="2" max="2" width="37.42578125" style="6" customWidth="1"/>
    <col min="3" max="3" width="6.85546875" style="4" customWidth="1"/>
    <col min="4" max="4" width="50.85546875" style="51" customWidth="1"/>
    <col min="5" max="5" width="25.42578125" style="6" customWidth="1"/>
    <col min="6" max="6" width="32.7109375" style="6" customWidth="1"/>
    <col min="7" max="7" width="15.42578125" style="17" customWidth="1"/>
    <col min="8" max="8" width="15.5703125" style="6" customWidth="1"/>
    <col min="9" max="9" width="14.42578125" style="6" customWidth="1"/>
    <col min="10" max="10" width="24.42578125" style="6" customWidth="1"/>
    <col min="11" max="11" width="19.42578125" style="6" customWidth="1"/>
    <col min="12" max="13" width="16.28515625" style="6" customWidth="1"/>
    <col min="14" max="14" width="18.140625" style="60" customWidth="1"/>
    <col min="15" max="15" width="17.42578125" style="60" customWidth="1"/>
    <col min="16" max="16" width="14" style="61" customWidth="1"/>
    <col min="17" max="17" width="15.7109375" style="61" customWidth="1"/>
    <col min="18" max="18" width="15.85546875" style="61" customWidth="1"/>
    <col min="19" max="19" width="14.5703125" style="6" customWidth="1"/>
    <col min="20" max="20" width="17.5703125" style="6" customWidth="1"/>
    <col min="21" max="21" width="15.42578125" style="6" customWidth="1"/>
    <col min="22" max="22" width="14.85546875" style="6" customWidth="1"/>
    <col min="23" max="25" width="11.5703125" style="6" customWidth="1"/>
    <col min="26" max="26" width="23" style="6" customWidth="1"/>
    <col min="27" max="27" width="12.42578125" style="6" customWidth="1"/>
    <col min="28" max="28" width="7.28515625" style="6" customWidth="1"/>
    <col min="29" max="29" width="11.140625" style="4" customWidth="1"/>
    <col min="30" max="30" width="11" style="4" customWidth="1"/>
    <col min="31" max="16384" width="9.42578125" style="6"/>
  </cols>
  <sheetData>
    <row r="1" spans="1:36">
      <c r="A1" s="5" t="s">
        <v>904</v>
      </c>
      <c r="B1" s="5"/>
      <c r="C1" s="5"/>
      <c r="D1" s="48"/>
      <c r="E1" s="5"/>
      <c r="F1" s="5"/>
      <c r="G1" s="5"/>
      <c r="H1" s="5"/>
      <c r="I1" s="5"/>
      <c r="J1" s="5"/>
      <c r="K1" s="5"/>
      <c r="L1" s="17"/>
      <c r="M1" s="17"/>
      <c r="AC1" s="5"/>
      <c r="AD1" s="5"/>
    </row>
    <row r="2" spans="1:36">
      <c r="A2" s="5" t="s">
        <v>0</v>
      </c>
      <c r="B2" s="5"/>
      <c r="C2" s="5"/>
      <c r="D2" s="48"/>
      <c r="E2" s="5"/>
      <c r="F2" s="5"/>
      <c r="G2" s="5">
        <f>900*12</f>
        <v>10800</v>
      </c>
      <c r="H2" s="5"/>
      <c r="I2" s="5"/>
      <c r="J2" s="5"/>
      <c r="K2" s="5"/>
      <c r="L2" s="8"/>
      <c r="M2" s="8"/>
      <c r="AC2" s="5"/>
      <c r="AD2" s="5"/>
    </row>
    <row r="3" spans="1:36" ht="20.25" customHeight="1">
      <c r="A3" s="5" t="s">
        <v>25</v>
      </c>
      <c r="B3" s="5"/>
      <c r="C3" s="5"/>
      <c r="D3" s="48"/>
      <c r="E3" s="5"/>
      <c r="F3" s="5"/>
      <c r="G3" s="5"/>
      <c r="H3" s="5"/>
      <c r="I3" s="5"/>
      <c r="J3" s="5"/>
      <c r="K3" s="5"/>
      <c r="L3" s="8"/>
      <c r="M3" s="8"/>
      <c r="AC3" s="5"/>
      <c r="AD3" s="5"/>
    </row>
    <row r="4" spans="1:36">
      <c r="A4" s="5" t="s">
        <v>26</v>
      </c>
      <c r="B4" s="5"/>
      <c r="C4" s="5"/>
      <c r="D4" s="48"/>
      <c r="E4" s="5"/>
      <c r="F4" s="5"/>
      <c r="G4" s="5"/>
      <c r="H4" s="5"/>
      <c r="I4" s="5"/>
      <c r="J4" s="5"/>
      <c r="K4" s="5"/>
      <c r="L4" s="5"/>
      <c r="M4" s="5"/>
      <c r="N4" s="83"/>
      <c r="O4" s="83"/>
      <c r="P4" s="83"/>
      <c r="Q4" s="83"/>
      <c r="R4" s="83"/>
      <c r="S4" s="5"/>
      <c r="T4" s="5"/>
      <c r="U4" s="5"/>
      <c r="V4" s="5"/>
      <c r="AA4" s="5"/>
      <c r="AB4" s="5"/>
      <c r="AC4" s="5"/>
      <c r="AD4" s="5"/>
    </row>
    <row r="5" spans="1:36" s="5" customFormat="1" ht="38.25" customHeight="1">
      <c r="A5" s="221" t="s">
        <v>27</v>
      </c>
      <c r="B5" s="218"/>
      <c r="C5" s="230"/>
      <c r="D5" s="242" t="s">
        <v>28</v>
      </c>
      <c r="E5" s="218" t="s">
        <v>3</v>
      </c>
      <c r="F5" s="218" t="s">
        <v>4</v>
      </c>
      <c r="G5" s="244" t="s">
        <v>5</v>
      </c>
      <c r="H5" s="218" t="s">
        <v>6</v>
      </c>
      <c r="I5" s="218" t="s">
        <v>29</v>
      </c>
      <c r="J5" s="218" t="s">
        <v>30</v>
      </c>
      <c r="K5" s="218"/>
      <c r="L5" s="219" t="s">
        <v>31</v>
      </c>
      <c r="M5" s="219"/>
      <c r="N5" s="246" t="s">
        <v>10</v>
      </c>
      <c r="O5" s="246" t="s">
        <v>1</v>
      </c>
      <c r="P5" s="226" t="s">
        <v>32</v>
      </c>
      <c r="Q5" s="226" t="s">
        <v>33</v>
      </c>
      <c r="R5" s="226" t="s">
        <v>34</v>
      </c>
      <c r="S5" s="218" t="s">
        <v>35</v>
      </c>
      <c r="T5" s="218" t="s">
        <v>36</v>
      </c>
      <c r="U5" s="218" t="s">
        <v>37</v>
      </c>
      <c r="V5" s="214" t="s">
        <v>38</v>
      </c>
      <c r="W5" s="220" t="s">
        <v>17</v>
      </c>
      <c r="X5" s="220"/>
      <c r="Y5" s="220"/>
      <c r="Z5" s="230" t="s">
        <v>39</v>
      </c>
      <c r="AA5" s="222" t="s">
        <v>40</v>
      </c>
      <c r="AB5" s="58"/>
      <c r="AC5" s="221" t="s">
        <v>18</v>
      </c>
      <c r="AD5" s="222"/>
    </row>
    <row r="6" spans="1:36" s="5" customFormat="1" ht="42.75" customHeight="1">
      <c r="A6" s="233"/>
      <c r="B6" s="228"/>
      <c r="C6" s="231"/>
      <c r="D6" s="243"/>
      <c r="E6" s="228"/>
      <c r="F6" s="228"/>
      <c r="G6" s="245"/>
      <c r="H6" s="228"/>
      <c r="I6" s="228"/>
      <c r="J6" s="53" t="s">
        <v>7</v>
      </c>
      <c r="K6" s="53" t="s">
        <v>8</v>
      </c>
      <c r="L6" s="53" t="s">
        <v>41</v>
      </c>
      <c r="M6" s="53" t="s">
        <v>42</v>
      </c>
      <c r="N6" s="247"/>
      <c r="O6" s="247"/>
      <c r="P6" s="227"/>
      <c r="Q6" s="227"/>
      <c r="R6" s="227"/>
      <c r="S6" s="228"/>
      <c r="T6" s="228"/>
      <c r="U6" s="228" t="s">
        <v>19</v>
      </c>
      <c r="V6" s="229"/>
      <c r="W6" s="107" t="s">
        <v>43</v>
      </c>
      <c r="X6" s="107" t="s">
        <v>44</v>
      </c>
      <c r="Y6" s="107" t="s">
        <v>45</v>
      </c>
      <c r="Z6" s="231"/>
      <c r="AA6" s="232" t="s">
        <v>20</v>
      </c>
      <c r="AB6" s="58"/>
      <c r="AC6" s="52" t="s">
        <v>21</v>
      </c>
      <c r="AD6" s="135" t="s">
        <v>22</v>
      </c>
    </row>
    <row r="7" spans="1:36" ht="22.5" customHeight="1">
      <c r="A7" s="223" t="s">
        <v>46</v>
      </c>
      <c r="B7" s="224"/>
      <c r="C7" s="224"/>
      <c r="D7" s="224"/>
      <c r="E7" s="225"/>
      <c r="F7" s="22"/>
      <c r="G7" s="57"/>
      <c r="H7" s="22"/>
      <c r="I7" s="22"/>
      <c r="J7" s="22"/>
      <c r="K7" s="22"/>
      <c r="L7" s="22"/>
      <c r="M7" s="22"/>
      <c r="N7" s="84"/>
      <c r="O7" s="84"/>
      <c r="P7" s="85"/>
      <c r="Q7" s="85"/>
      <c r="R7" s="85"/>
      <c r="S7" s="23"/>
      <c r="T7" s="23"/>
      <c r="U7" s="22" t="s">
        <v>47</v>
      </c>
      <c r="V7" s="108"/>
      <c r="W7" s="13"/>
      <c r="X7" s="13"/>
      <c r="Y7" s="13"/>
      <c r="Z7" s="13"/>
      <c r="AA7" s="39"/>
      <c r="AB7" s="136"/>
      <c r="AC7" s="22"/>
      <c r="AD7" s="22"/>
    </row>
    <row r="8" spans="1:36" s="55" customFormat="1" ht="24.95" customHeight="1">
      <c r="A8" s="62">
        <v>1</v>
      </c>
      <c r="B8" s="24" t="s">
        <v>107</v>
      </c>
      <c r="C8" s="24">
        <v>1</v>
      </c>
      <c r="D8" s="51" t="s">
        <v>108</v>
      </c>
      <c r="E8" s="26" t="s">
        <v>109</v>
      </c>
      <c r="F8" s="24" t="s">
        <v>110</v>
      </c>
      <c r="G8" s="187" t="s">
        <v>111</v>
      </c>
      <c r="H8" s="32">
        <v>2000</v>
      </c>
      <c r="I8" s="32" t="s">
        <v>112</v>
      </c>
      <c r="J8" s="32" t="s">
        <v>113</v>
      </c>
      <c r="K8" s="86">
        <v>36662</v>
      </c>
      <c r="L8" s="32" t="s">
        <v>63</v>
      </c>
      <c r="M8" s="32" t="s">
        <v>63</v>
      </c>
      <c r="N8" s="87">
        <v>74.718599999999995</v>
      </c>
      <c r="O8" s="87">
        <v>74.718599999999995</v>
      </c>
      <c r="P8" s="88">
        <v>105</v>
      </c>
      <c r="Q8" s="88">
        <v>45</v>
      </c>
      <c r="R8" s="109">
        <v>2</v>
      </c>
      <c r="S8" s="37">
        <v>36664</v>
      </c>
      <c r="T8" s="37">
        <v>40735</v>
      </c>
      <c r="U8" s="32" t="s">
        <v>54</v>
      </c>
      <c r="V8" s="110" t="s">
        <v>55</v>
      </c>
      <c r="W8" s="111">
        <v>1.79</v>
      </c>
      <c r="X8" s="112"/>
      <c r="Y8" s="111">
        <f>SUM(W8:X8)</f>
        <v>1.79</v>
      </c>
      <c r="Z8" s="32" t="s">
        <v>56</v>
      </c>
      <c r="AA8" s="41"/>
      <c r="AB8" s="20"/>
      <c r="AC8" s="32">
        <v>36</v>
      </c>
      <c r="AD8" s="32">
        <v>9</v>
      </c>
      <c r="AE8" s="20"/>
      <c r="AF8" s="20"/>
      <c r="AG8" s="20"/>
      <c r="AH8" s="20"/>
      <c r="AI8" s="20"/>
      <c r="AJ8" s="20"/>
    </row>
    <row r="9" spans="1:36" s="55" customFormat="1" ht="28.35" customHeight="1">
      <c r="A9" s="62">
        <f>A8+1</f>
        <v>2</v>
      </c>
      <c r="B9" s="24" t="s">
        <v>133</v>
      </c>
      <c r="C9" s="24">
        <f>C8+1</f>
        <v>2</v>
      </c>
      <c r="D9" s="11" t="s">
        <v>134</v>
      </c>
      <c r="E9" s="55" t="s">
        <v>135</v>
      </c>
      <c r="F9" s="24" t="s">
        <v>136</v>
      </c>
      <c r="G9" s="188" t="s">
        <v>137</v>
      </c>
      <c r="H9" s="32">
        <v>2009</v>
      </c>
      <c r="I9" s="32" t="s">
        <v>138</v>
      </c>
      <c r="J9" s="32" t="s">
        <v>139</v>
      </c>
      <c r="K9" s="86">
        <v>43837</v>
      </c>
      <c r="L9" s="32">
        <v>11727</v>
      </c>
      <c r="M9" s="37">
        <v>32714</v>
      </c>
      <c r="N9" s="87">
        <v>109.62779999999999</v>
      </c>
      <c r="O9" s="87">
        <v>109.62779999999999</v>
      </c>
      <c r="P9" s="88">
        <v>177</v>
      </c>
      <c r="Q9" s="88">
        <v>112</v>
      </c>
      <c r="R9" s="109">
        <v>2</v>
      </c>
      <c r="S9" s="37">
        <v>40992</v>
      </c>
      <c r="T9" s="37">
        <v>40992</v>
      </c>
      <c r="U9" s="32" t="s">
        <v>54</v>
      </c>
      <c r="V9" s="110" t="s">
        <v>55</v>
      </c>
      <c r="W9" s="112"/>
      <c r="X9" s="112"/>
      <c r="Y9" s="111">
        <f t="shared" ref="Y9:Y49" si="0">SUM(W9:X9)</f>
        <v>0</v>
      </c>
      <c r="Z9" s="32" t="s">
        <v>98</v>
      </c>
      <c r="AA9" s="41"/>
      <c r="AB9" s="20"/>
      <c r="AC9" s="32">
        <v>89</v>
      </c>
      <c r="AD9" s="32">
        <v>23</v>
      </c>
      <c r="AE9" s="20"/>
      <c r="AF9" s="20"/>
      <c r="AG9" s="20"/>
      <c r="AH9" s="20"/>
      <c r="AI9" s="20"/>
      <c r="AJ9" s="20"/>
    </row>
    <row r="10" spans="1:36" s="55" customFormat="1" ht="37.5" customHeight="1">
      <c r="A10" s="62">
        <f>A9+1</f>
        <v>3</v>
      </c>
      <c r="B10" s="63" t="s">
        <v>140</v>
      </c>
      <c r="C10" s="24">
        <f t="shared" ref="C10:C49" si="1">C9+1</f>
        <v>3</v>
      </c>
      <c r="D10" s="64" t="s">
        <v>141</v>
      </c>
      <c r="E10" s="26" t="s">
        <v>142</v>
      </c>
      <c r="F10" s="24" t="s">
        <v>143</v>
      </c>
      <c r="G10" s="187" t="s">
        <v>144</v>
      </c>
      <c r="H10" s="37">
        <v>42265</v>
      </c>
      <c r="I10" s="32" t="s">
        <v>145</v>
      </c>
      <c r="J10" s="32" t="s">
        <v>146</v>
      </c>
      <c r="K10" s="86">
        <v>42516</v>
      </c>
      <c r="L10" s="32" t="s">
        <v>63</v>
      </c>
      <c r="M10" s="32" t="s">
        <v>63</v>
      </c>
      <c r="N10" s="87">
        <v>9.1286000000000005</v>
      </c>
      <c r="O10" s="87">
        <v>9.1286000000000005</v>
      </c>
      <c r="P10" s="88">
        <v>28</v>
      </c>
      <c r="Q10" s="88">
        <v>20</v>
      </c>
      <c r="R10" s="109">
        <v>2</v>
      </c>
      <c r="S10" s="113">
        <v>43139</v>
      </c>
      <c r="T10" s="113" t="s">
        <v>905</v>
      </c>
      <c r="U10" s="32" t="s">
        <v>54</v>
      </c>
      <c r="V10" s="110" t="s">
        <v>55</v>
      </c>
      <c r="W10" s="114">
        <v>0.45300000000000001</v>
      </c>
      <c r="X10" s="114">
        <v>1.7370000000000001</v>
      </c>
      <c r="Y10" s="111">
        <f t="shared" si="0"/>
        <v>2.19</v>
      </c>
      <c r="Z10" s="32" t="s">
        <v>56</v>
      </c>
      <c r="AA10" s="41"/>
      <c r="AB10" s="20"/>
      <c r="AC10" s="32">
        <v>16</v>
      </c>
      <c r="AD10" s="32">
        <v>4</v>
      </c>
      <c r="AE10" s="20"/>
      <c r="AF10" s="20"/>
      <c r="AG10" s="20"/>
      <c r="AH10" s="20"/>
      <c r="AI10" s="20"/>
      <c r="AJ10" s="20"/>
    </row>
    <row r="11" spans="1:36" s="55" customFormat="1" ht="24.95" customHeight="1">
      <c r="A11" s="62">
        <f t="shared" ref="A11:A23" si="2">A10+1</f>
        <v>4</v>
      </c>
      <c r="B11" s="24" t="s">
        <v>156</v>
      </c>
      <c r="C11" s="24">
        <f t="shared" si="1"/>
        <v>4</v>
      </c>
      <c r="D11" s="11" t="s">
        <v>157</v>
      </c>
      <c r="E11" s="26" t="s">
        <v>158</v>
      </c>
      <c r="F11" s="24" t="s">
        <v>159</v>
      </c>
      <c r="G11" s="187" t="s">
        <v>160</v>
      </c>
      <c r="H11" s="32">
        <v>2004</v>
      </c>
      <c r="I11" s="32" t="s">
        <v>161</v>
      </c>
      <c r="J11" s="32" t="s">
        <v>162</v>
      </c>
      <c r="K11" s="86">
        <v>38104</v>
      </c>
      <c r="L11" s="32" t="s">
        <v>63</v>
      </c>
      <c r="M11" s="32" t="s">
        <v>63</v>
      </c>
      <c r="N11" s="87">
        <v>89.511200000000002</v>
      </c>
      <c r="O11" s="87">
        <v>89.511200000000002</v>
      </c>
      <c r="P11" s="88">
        <v>103</v>
      </c>
      <c r="Q11" s="88">
        <v>87</v>
      </c>
      <c r="R11" s="109">
        <v>3</v>
      </c>
      <c r="S11" s="37">
        <v>39017</v>
      </c>
      <c r="T11" s="37">
        <v>41312</v>
      </c>
      <c r="U11" s="32" t="s">
        <v>163</v>
      </c>
      <c r="V11" s="110" t="s">
        <v>55</v>
      </c>
      <c r="W11" s="114">
        <v>4.6100000000000003</v>
      </c>
      <c r="X11" s="112"/>
      <c r="Y11" s="111">
        <f t="shared" si="0"/>
        <v>4.6100000000000003</v>
      </c>
      <c r="Z11" s="32" t="s">
        <v>56</v>
      </c>
      <c r="AA11" s="41"/>
      <c r="AB11" s="20"/>
      <c r="AC11" s="32">
        <v>54</v>
      </c>
      <c r="AD11" s="32">
        <v>33</v>
      </c>
      <c r="AE11" s="20"/>
      <c r="AF11" s="20"/>
      <c r="AG11" s="20"/>
      <c r="AH11" s="20"/>
      <c r="AI11" s="20"/>
      <c r="AJ11" s="20"/>
    </row>
    <row r="12" spans="1:36" s="55" customFormat="1" ht="33.75" customHeight="1">
      <c r="A12" s="62">
        <f t="shared" si="2"/>
        <v>5</v>
      </c>
      <c r="B12" s="65" t="s">
        <v>164</v>
      </c>
      <c r="C12" s="24">
        <f t="shared" si="1"/>
        <v>5</v>
      </c>
      <c r="D12" s="64" t="s">
        <v>165</v>
      </c>
      <c r="E12" s="26" t="s">
        <v>166</v>
      </c>
      <c r="F12" s="24" t="s">
        <v>167</v>
      </c>
      <c r="G12" s="187" t="s">
        <v>168</v>
      </c>
      <c r="H12" s="32">
        <v>2011</v>
      </c>
      <c r="I12" s="32" t="s">
        <v>169</v>
      </c>
      <c r="J12" s="45" t="s">
        <v>170</v>
      </c>
      <c r="K12" s="86">
        <v>40577</v>
      </c>
      <c r="L12" s="32" t="s">
        <v>63</v>
      </c>
      <c r="M12" s="32" t="s">
        <v>63</v>
      </c>
      <c r="N12" s="87">
        <v>156.36170000000001</v>
      </c>
      <c r="O12" s="87">
        <v>156.36170000000001</v>
      </c>
      <c r="P12" s="88">
        <v>75</v>
      </c>
      <c r="Q12" s="88">
        <v>50</v>
      </c>
      <c r="R12" s="109">
        <v>4</v>
      </c>
      <c r="S12" s="113" t="s">
        <v>906</v>
      </c>
      <c r="T12" s="115" t="s">
        <v>907</v>
      </c>
      <c r="U12" s="32" t="s">
        <v>54</v>
      </c>
      <c r="V12" s="110" t="s">
        <v>55</v>
      </c>
      <c r="W12" s="114">
        <v>4.3925000000000001</v>
      </c>
      <c r="X12" s="114">
        <v>2.8420000000000001</v>
      </c>
      <c r="Y12" s="111">
        <f t="shared" si="0"/>
        <v>7.2344999999999997</v>
      </c>
      <c r="Z12" s="32" t="s">
        <v>56</v>
      </c>
      <c r="AA12" s="41"/>
      <c r="AB12" s="20"/>
      <c r="AC12" s="32">
        <v>40</v>
      </c>
      <c r="AD12" s="32">
        <v>10</v>
      </c>
      <c r="AE12" s="20"/>
      <c r="AF12" s="20"/>
      <c r="AG12" s="20"/>
      <c r="AH12" s="20"/>
      <c r="AI12" s="20"/>
      <c r="AJ12" s="20"/>
    </row>
    <row r="13" spans="1:36" s="55" customFormat="1" ht="37.5" customHeight="1">
      <c r="A13" s="62">
        <f t="shared" si="2"/>
        <v>6</v>
      </c>
      <c r="B13" s="26" t="s">
        <v>177</v>
      </c>
      <c r="C13" s="24">
        <f t="shared" si="1"/>
        <v>6</v>
      </c>
      <c r="D13" s="51" t="s">
        <v>178</v>
      </c>
      <c r="E13" s="26" t="s">
        <v>179</v>
      </c>
      <c r="F13" s="24" t="s">
        <v>180</v>
      </c>
      <c r="G13" s="187" t="s">
        <v>181</v>
      </c>
      <c r="H13" s="37">
        <v>41326</v>
      </c>
      <c r="I13" s="32" t="s">
        <v>182</v>
      </c>
      <c r="J13" s="32" t="s">
        <v>183</v>
      </c>
      <c r="K13" s="37">
        <v>41462</v>
      </c>
      <c r="L13" s="32" t="s">
        <v>63</v>
      </c>
      <c r="M13" s="32" t="s">
        <v>63</v>
      </c>
      <c r="N13" s="87">
        <v>99.3249</v>
      </c>
      <c r="O13" s="87">
        <v>99.001599999999996</v>
      </c>
      <c r="P13" s="88">
        <v>69</v>
      </c>
      <c r="Q13" s="88">
        <v>15</v>
      </c>
      <c r="R13" s="109">
        <v>2</v>
      </c>
      <c r="S13" s="45">
        <v>2013</v>
      </c>
      <c r="T13" s="32">
        <v>2014</v>
      </c>
      <c r="U13" s="32" t="s">
        <v>54</v>
      </c>
      <c r="V13" s="110" t="s">
        <v>55</v>
      </c>
      <c r="W13" s="114">
        <v>2.3290000000000002</v>
      </c>
      <c r="X13" s="114">
        <v>0.80700000000000005</v>
      </c>
      <c r="Y13" s="111">
        <f t="shared" si="0"/>
        <v>3.1360000000000001</v>
      </c>
      <c r="Z13" s="32" t="s">
        <v>56</v>
      </c>
      <c r="AA13" s="41"/>
      <c r="AB13" s="20"/>
      <c r="AC13" s="32">
        <v>10</v>
      </c>
      <c r="AD13" s="32">
        <v>5</v>
      </c>
      <c r="AE13" s="20"/>
      <c r="AF13" s="20"/>
      <c r="AG13" s="20"/>
      <c r="AH13" s="20"/>
      <c r="AI13" s="20"/>
      <c r="AJ13" s="20"/>
    </row>
    <row r="14" spans="1:36" s="55" customFormat="1" ht="24.95" customHeight="1">
      <c r="A14" s="62">
        <f t="shared" si="2"/>
        <v>7</v>
      </c>
      <c r="B14" s="24" t="s">
        <v>219</v>
      </c>
      <c r="C14" s="24">
        <f t="shared" si="1"/>
        <v>7</v>
      </c>
      <c r="D14" s="11" t="s">
        <v>220</v>
      </c>
      <c r="E14" s="26" t="s">
        <v>221</v>
      </c>
      <c r="F14" s="66" t="s">
        <v>908</v>
      </c>
      <c r="G14" s="187" t="s">
        <v>222</v>
      </c>
      <c r="H14" s="32">
        <v>1991</v>
      </c>
      <c r="I14" s="32" t="s">
        <v>199</v>
      </c>
      <c r="J14" s="89" t="s">
        <v>223</v>
      </c>
      <c r="K14" s="90">
        <v>33781</v>
      </c>
      <c r="L14" s="32">
        <v>14098</v>
      </c>
      <c r="M14" s="37">
        <v>34299</v>
      </c>
      <c r="N14" s="87">
        <v>327.3648</v>
      </c>
      <c r="O14" s="87">
        <v>327.3648</v>
      </c>
      <c r="P14" s="88">
        <v>333</v>
      </c>
      <c r="Q14" s="88">
        <v>151</v>
      </c>
      <c r="R14" s="109">
        <v>5</v>
      </c>
      <c r="S14" s="37">
        <v>34205</v>
      </c>
      <c r="T14" s="37">
        <v>40471</v>
      </c>
      <c r="U14" s="32" t="s">
        <v>54</v>
      </c>
      <c r="V14" s="110" t="s">
        <v>55</v>
      </c>
      <c r="W14" s="112"/>
      <c r="X14" s="112"/>
      <c r="Y14" s="111">
        <f t="shared" si="0"/>
        <v>0</v>
      </c>
      <c r="Z14" s="32" t="s">
        <v>98</v>
      </c>
      <c r="AA14" s="41"/>
      <c r="AB14" s="20"/>
      <c r="AC14" s="32">
        <v>120</v>
      </c>
      <c r="AD14" s="32">
        <v>31</v>
      </c>
      <c r="AE14" s="20"/>
      <c r="AF14" s="20"/>
      <c r="AG14" s="20"/>
      <c r="AH14" s="20"/>
      <c r="AI14" s="20"/>
      <c r="AJ14" s="20"/>
    </row>
    <row r="15" spans="1:36" s="55" customFormat="1" ht="24.95" customHeight="1">
      <c r="A15" s="62">
        <f t="shared" si="2"/>
        <v>8</v>
      </c>
      <c r="B15" s="26" t="s">
        <v>240</v>
      </c>
      <c r="C15" s="24">
        <f t="shared" si="1"/>
        <v>8</v>
      </c>
      <c r="D15" s="11" t="s">
        <v>241</v>
      </c>
      <c r="E15" s="26" t="s">
        <v>242</v>
      </c>
      <c r="F15" s="24" t="s">
        <v>243</v>
      </c>
      <c r="G15" s="187" t="s">
        <v>244</v>
      </c>
      <c r="H15" s="37">
        <v>41380</v>
      </c>
      <c r="I15" s="32" t="s">
        <v>199</v>
      </c>
      <c r="J15" s="32" t="s">
        <v>245</v>
      </c>
      <c r="K15" s="86">
        <v>41435</v>
      </c>
      <c r="L15" s="32" t="s">
        <v>63</v>
      </c>
      <c r="M15" s="32" t="s">
        <v>63</v>
      </c>
      <c r="N15" s="87">
        <v>16.508700000000001</v>
      </c>
      <c r="O15" s="87">
        <v>16.508700000000001</v>
      </c>
      <c r="P15" s="88">
        <v>20</v>
      </c>
      <c r="Q15" s="88">
        <v>20</v>
      </c>
      <c r="R15" s="109">
        <v>1</v>
      </c>
      <c r="S15" s="37">
        <v>42314</v>
      </c>
      <c r="T15" s="37">
        <v>42929</v>
      </c>
      <c r="U15" s="32" t="s">
        <v>54</v>
      </c>
      <c r="V15" s="110" t="s">
        <v>55</v>
      </c>
      <c r="W15" s="112"/>
      <c r="X15" s="112"/>
      <c r="Y15" s="111">
        <f t="shared" si="0"/>
        <v>0</v>
      </c>
      <c r="Z15" s="32" t="s">
        <v>98</v>
      </c>
      <c r="AA15" s="41"/>
      <c r="AB15" s="20"/>
      <c r="AC15" s="32">
        <v>20</v>
      </c>
      <c r="AD15" s="32">
        <v>5</v>
      </c>
      <c r="AE15" s="20"/>
      <c r="AF15" s="20"/>
      <c r="AG15" s="20"/>
      <c r="AH15" s="20"/>
      <c r="AI15" s="20"/>
      <c r="AJ15" s="20"/>
    </row>
    <row r="16" spans="1:36" s="55" customFormat="1" ht="24.95" customHeight="1">
      <c r="A16" s="62">
        <f t="shared" si="2"/>
        <v>9</v>
      </c>
      <c r="B16" s="26" t="s">
        <v>254</v>
      </c>
      <c r="C16" s="24">
        <f t="shared" si="1"/>
        <v>9</v>
      </c>
      <c r="D16" s="11" t="s">
        <v>255</v>
      </c>
      <c r="E16" s="26" t="s">
        <v>256</v>
      </c>
      <c r="F16" s="66" t="s">
        <v>909</v>
      </c>
      <c r="G16" s="187" t="s">
        <v>257</v>
      </c>
      <c r="H16" s="37">
        <v>41331</v>
      </c>
      <c r="I16" s="32" t="s">
        <v>199</v>
      </c>
      <c r="J16" s="32" t="s">
        <v>258</v>
      </c>
      <c r="K16" s="86">
        <v>41460</v>
      </c>
      <c r="L16" s="32" t="s">
        <v>63</v>
      </c>
      <c r="M16" s="32" t="s">
        <v>63</v>
      </c>
      <c r="N16" s="87">
        <v>8.9716000000000005</v>
      </c>
      <c r="O16" s="87">
        <v>7.1456999999999997</v>
      </c>
      <c r="P16" s="88">
        <v>12</v>
      </c>
      <c r="Q16" s="88">
        <v>12</v>
      </c>
      <c r="R16" s="109">
        <v>1</v>
      </c>
      <c r="S16" s="45">
        <v>2015</v>
      </c>
      <c r="T16" s="37">
        <v>42934</v>
      </c>
      <c r="U16" s="32" t="s">
        <v>54</v>
      </c>
      <c r="V16" s="110" t="s">
        <v>55</v>
      </c>
      <c r="W16" s="112"/>
      <c r="X16" s="112"/>
      <c r="Y16" s="111">
        <f t="shared" si="0"/>
        <v>0</v>
      </c>
      <c r="Z16" s="32" t="s">
        <v>98</v>
      </c>
      <c r="AA16" s="41"/>
      <c r="AB16" s="20"/>
      <c r="AC16" s="32">
        <v>8</v>
      </c>
      <c r="AD16" s="32">
        <v>7</v>
      </c>
      <c r="AE16" s="20"/>
      <c r="AF16" s="20"/>
      <c r="AG16" s="20"/>
      <c r="AH16" s="20"/>
      <c r="AI16" s="20"/>
      <c r="AJ16" s="20"/>
    </row>
    <row r="17" spans="1:38" s="55" customFormat="1" ht="24.95" customHeight="1">
      <c r="A17" s="62">
        <f t="shared" si="2"/>
        <v>10</v>
      </c>
      <c r="B17" s="26" t="s">
        <v>264</v>
      </c>
      <c r="C17" s="24">
        <f t="shared" si="1"/>
        <v>10</v>
      </c>
      <c r="D17" s="11" t="s">
        <v>265</v>
      </c>
      <c r="E17" s="26" t="s">
        <v>266</v>
      </c>
      <c r="F17" s="24" t="s">
        <v>267</v>
      </c>
      <c r="G17" s="32" t="s">
        <v>199</v>
      </c>
      <c r="H17" s="37">
        <v>41338</v>
      </c>
      <c r="I17" s="32" t="s">
        <v>199</v>
      </c>
      <c r="J17" s="32" t="s">
        <v>268</v>
      </c>
      <c r="K17" s="86">
        <v>41460</v>
      </c>
      <c r="L17" s="32" t="s">
        <v>63</v>
      </c>
      <c r="M17" s="32" t="s">
        <v>63</v>
      </c>
      <c r="N17" s="87">
        <v>14.9689</v>
      </c>
      <c r="O17" s="87">
        <v>14.9689</v>
      </c>
      <c r="P17" s="88">
        <v>20</v>
      </c>
      <c r="Q17" s="88">
        <v>20</v>
      </c>
      <c r="R17" s="109">
        <v>1</v>
      </c>
      <c r="S17" s="45" t="s">
        <v>269</v>
      </c>
      <c r="T17" s="37" t="s">
        <v>910</v>
      </c>
      <c r="U17" s="32" t="s">
        <v>54</v>
      </c>
      <c r="V17" s="110" t="s">
        <v>55</v>
      </c>
      <c r="W17" s="112"/>
      <c r="X17" s="112"/>
      <c r="Y17" s="111">
        <f t="shared" si="0"/>
        <v>0</v>
      </c>
      <c r="Z17" s="32" t="s">
        <v>98</v>
      </c>
      <c r="AA17" s="41"/>
      <c r="AB17" s="20"/>
      <c r="AC17" s="32">
        <v>15</v>
      </c>
      <c r="AD17" s="32">
        <v>5</v>
      </c>
      <c r="AE17" s="20"/>
      <c r="AF17" s="20"/>
      <c r="AG17" s="20"/>
      <c r="AH17" s="20"/>
      <c r="AI17" s="20"/>
      <c r="AJ17" s="20"/>
    </row>
    <row r="18" spans="1:38" s="55" customFormat="1" ht="24.95" customHeight="1">
      <c r="A18" s="62">
        <f t="shared" si="2"/>
        <v>11</v>
      </c>
      <c r="B18" s="24" t="s">
        <v>279</v>
      </c>
      <c r="C18" s="24">
        <f t="shared" si="1"/>
        <v>11</v>
      </c>
      <c r="D18" s="51" t="s">
        <v>280</v>
      </c>
      <c r="E18" s="26" t="s">
        <v>281</v>
      </c>
      <c r="F18" s="24" t="s">
        <v>282</v>
      </c>
      <c r="G18" s="187" t="s">
        <v>283</v>
      </c>
      <c r="H18" s="32">
        <v>1998</v>
      </c>
      <c r="I18" s="32" t="s">
        <v>284</v>
      </c>
      <c r="J18" s="45">
        <v>200827757</v>
      </c>
      <c r="K18" s="86">
        <v>39544</v>
      </c>
      <c r="L18" s="32" t="s">
        <v>63</v>
      </c>
      <c r="M18" s="32" t="s">
        <v>63</v>
      </c>
      <c r="N18" s="87">
        <v>127.72620000000001</v>
      </c>
      <c r="O18" s="87">
        <v>127.72620000000001</v>
      </c>
      <c r="P18" s="88">
        <v>200</v>
      </c>
      <c r="Q18" s="88">
        <v>184</v>
      </c>
      <c r="R18" s="109">
        <v>4</v>
      </c>
      <c r="S18" s="37">
        <v>36056</v>
      </c>
      <c r="T18" s="37">
        <v>40651</v>
      </c>
      <c r="U18" s="32" t="s">
        <v>54</v>
      </c>
      <c r="V18" s="110" t="s">
        <v>55</v>
      </c>
      <c r="W18" s="114">
        <v>3.8</v>
      </c>
      <c r="X18" s="112"/>
      <c r="Y18" s="111">
        <f t="shared" si="0"/>
        <v>3.8</v>
      </c>
      <c r="Z18" s="32" t="s">
        <v>56</v>
      </c>
      <c r="AA18" s="41"/>
      <c r="AB18" s="20"/>
      <c r="AC18" s="32">
        <v>150</v>
      </c>
      <c r="AD18" s="32">
        <v>34</v>
      </c>
      <c r="AE18" s="20"/>
      <c r="AF18" s="20"/>
      <c r="AG18" s="20"/>
      <c r="AH18" s="20"/>
      <c r="AI18" s="20"/>
      <c r="AJ18" s="20"/>
    </row>
    <row r="19" spans="1:38" s="55" customFormat="1" ht="24.95" customHeight="1">
      <c r="A19" s="62">
        <f t="shared" si="2"/>
        <v>12</v>
      </c>
      <c r="B19" s="63" t="s">
        <v>285</v>
      </c>
      <c r="C19" s="24">
        <f t="shared" si="1"/>
        <v>12</v>
      </c>
      <c r="D19" s="64" t="s">
        <v>286</v>
      </c>
      <c r="E19" s="26" t="s">
        <v>287</v>
      </c>
      <c r="F19" s="24" t="s">
        <v>288</v>
      </c>
      <c r="G19" s="187" t="s">
        <v>289</v>
      </c>
      <c r="H19" s="37">
        <v>40349</v>
      </c>
      <c r="I19" s="32" t="s">
        <v>290</v>
      </c>
      <c r="J19" s="32" t="s">
        <v>291</v>
      </c>
      <c r="K19" s="86">
        <v>40216</v>
      </c>
      <c r="L19" s="32" t="s">
        <v>63</v>
      </c>
      <c r="M19" s="32" t="s">
        <v>63</v>
      </c>
      <c r="N19" s="87">
        <v>74.552800000000005</v>
      </c>
      <c r="O19" s="87">
        <v>74.552800000000005</v>
      </c>
      <c r="P19" s="88">
        <v>115</v>
      </c>
      <c r="Q19" s="88">
        <v>104</v>
      </c>
      <c r="R19" s="109">
        <v>3</v>
      </c>
      <c r="S19" s="113">
        <v>40640</v>
      </c>
      <c r="T19" s="113">
        <v>41310</v>
      </c>
      <c r="U19" s="32" t="s">
        <v>163</v>
      </c>
      <c r="V19" s="110" t="s">
        <v>55</v>
      </c>
      <c r="W19" s="114">
        <v>5.41</v>
      </c>
      <c r="X19" s="112"/>
      <c r="Y19" s="111">
        <f t="shared" si="0"/>
        <v>5.41</v>
      </c>
      <c r="Z19" s="32" t="s">
        <v>56</v>
      </c>
      <c r="AA19" s="41"/>
      <c r="AB19" s="20"/>
      <c r="AC19" s="32">
        <v>84</v>
      </c>
      <c r="AD19" s="32">
        <v>20</v>
      </c>
      <c r="AE19" s="20"/>
      <c r="AF19" s="20"/>
      <c r="AG19" s="20"/>
      <c r="AH19" s="20"/>
      <c r="AI19" s="20"/>
      <c r="AJ19" s="20"/>
    </row>
    <row r="20" spans="1:38" s="55" customFormat="1" ht="24.95" customHeight="1">
      <c r="A20" s="62">
        <f t="shared" si="2"/>
        <v>13</v>
      </c>
      <c r="B20" s="64" t="s">
        <v>298</v>
      </c>
      <c r="C20" s="24">
        <f t="shared" si="1"/>
        <v>13</v>
      </c>
      <c r="D20" s="11" t="s">
        <v>299</v>
      </c>
      <c r="E20" s="11" t="s">
        <v>300</v>
      </c>
      <c r="F20" s="25" t="s">
        <v>301</v>
      </c>
      <c r="G20" s="12" t="s">
        <v>302</v>
      </c>
      <c r="H20" s="189" t="s">
        <v>303</v>
      </c>
      <c r="I20" s="12" t="s">
        <v>304</v>
      </c>
      <c r="J20" s="12" t="s">
        <v>305</v>
      </c>
      <c r="K20" s="189" t="s">
        <v>306</v>
      </c>
      <c r="L20" s="12" t="s">
        <v>63</v>
      </c>
      <c r="M20" s="12" t="s">
        <v>63</v>
      </c>
      <c r="N20" s="91">
        <v>11.9954</v>
      </c>
      <c r="O20" s="91">
        <v>11.9954</v>
      </c>
      <c r="P20" s="92">
        <v>17</v>
      </c>
      <c r="Q20" s="92">
        <v>17</v>
      </c>
      <c r="R20" s="116">
        <v>1</v>
      </c>
      <c r="S20" s="117" t="s">
        <v>911</v>
      </c>
      <c r="T20" s="117" t="s">
        <v>911</v>
      </c>
      <c r="U20" s="32" t="s">
        <v>54</v>
      </c>
      <c r="V20" s="110" t="s">
        <v>55</v>
      </c>
      <c r="W20" s="112"/>
      <c r="X20" s="112"/>
      <c r="Y20" s="111">
        <f t="shared" si="0"/>
        <v>0</v>
      </c>
      <c r="Z20" s="32" t="s">
        <v>98</v>
      </c>
      <c r="AA20" s="41"/>
      <c r="AB20" s="20"/>
      <c r="AC20" s="32">
        <v>8</v>
      </c>
      <c r="AD20" s="32">
        <v>2</v>
      </c>
      <c r="AE20" s="20"/>
      <c r="AF20" s="20"/>
      <c r="AG20" s="20"/>
      <c r="AH20" s="20"/>
      <c r="AI20" s="20"/>
      <c r="AJ20" s="20"/>
    </row>
    <row r="21" spans="1:38" s="55" customFormat="1" ht="24.95" customHeight="1">
      <c r="A21" s="62">
        <f t="shared" si="2"/>
        <v>14</v>
      </c>
      <c r="B21" s="24" t="s">
        <v>320</v>
      </c>
      <c r="C21" s="24">
        <f t="shared" si="1"/>
        <v>14</v>
      </c>
      <c r="D21" s="11" t="s">
        <v>321</v>
      </c>
      <c r="E21" s="26" t="s">
        <v>322</v>
      </c>
      <c r="F21" s="24" t="s">
        <v>323</v>
      </c>
      <c r="G21" s="187" t="s">
        <v>324</v>
      </c>
      <c r="H21" s="37">
        <v>42410</v>
      </c>
      <c r="I21" s="32" t="s">
        <v>325</v>
      </c>
      <c r="J21" s="32" t="s">
        <v>326</v>
      </c>
      <c r="K21" s="86">
        <v>42514</v>
      </c>
      <c r="L21" s="32" t="s">
        <v>63</v>
      </c>
      <c r="M21" s="32" t="s">
        <v>63</v>
      </c>
      <c r="N21" s="87">
        <v>77.900499999999994</v>
      </c>
      <c r="O21" s="87">
        <v>77.900499999999994</v>
      </c>
      <c r="P21" s="88">
        <v>35</v>
      </c>
      <c r="Q21" s="88">
        <v>22</v>
      </c>
      <c r="R21" s="109">
        <v>1</v>
      </c>
      <c r="S21" s="37">
        <v>43137</v>
      </c>
      <c r="T21" s="113"/>
      <c r="U21" s="32" t="s">
        <v>54</v>
      </c>
      <c r="V21" s="110" t="s">
        <v>55</v>
      </c>
      <c r="W21" s="114">
        <v>2.3929999999999998</v>
      </c>
      <c r="X21" s="114">
        <v>1.2470000000000001</v>
      </c>
      <c r="Y21" s="111">
        <f t="shared" si="0"/>
        <v>3.64</v>
      </c>
      <c r="Z21" s="32" t="s">
        <v>56</v>
      </c>
      <c r="AA21" s="41"/>
      <c r="AB21" s="20"/>
      <c r="AC21" s="32">
        <v>15</v>
      </c>
      <c r="AD21" s="32">
        <v>7</v>
      </c>
      <c r="AE21" s="20"/>
      <c r="AF21" s="20"/>
      <c r="AG21" s="20"/>
      <c r="AH21" s="20"/>
      <c r="AI21" s="20"/>
      <c r="AJ21" s="20"/>
    </row>
    <row r="22" spans="1:38" s="55" customFormat="1" ht="24.95" customHeight="1">
      <c r="A22" s="62">
        <f t="shared" si="2"/>
        <v>15</v>
      </c>
      <c r="B22" s="63" t="s">
        <v>333</v>
      </c>
      <c r="C22" s="24">
        <f t="shared" si="1"/>
        <v>15</v>
      </c>
      <c r="D22" s="67" t="s">
        <v>334</v>
      </c>
      <c r="E22" s="26" t="s">
        <v>335</v>
      </c>
      <c r="F22" s="24" t="s">
        <v>336</v>
      </c>
      <c r="G22" s="187" t="s">
        <v>337</v>
      </c>
      <c r="H22" s="37">
        <v>31701</v>
      </c>
      <c r="I22" s="32" t="s">
        <v>338</v>
      </c>
      <c r="J22" s="32">
        <v>142714</v>
      </c>
      <c r="K22" s="86">
        <v>31980</v>
      </c>
      <c r="L22" s="32">
        <v>11247</v>
      </c>
      <c r="M22" s="37">
        <v>32379</v>
      </c>
      <c r="N22" s="87">
        <v>85.615200000000002</v>
      </c>
      <c r="O22" s="87">
        <v>75.788899999999998</v>
      </c>
      <c r="P22" s="88">
        <v>82</v>
      </c>
      <c r="Q22" s="88">
        <v>66</v>
      </c>
      <c r="R22" s="109">
        <v>3</v>
      </c>
      <c r="S22" s="113">
        <v>29589</v>
      </c>
      <c r="T22" s="113">
        <v>40837</v>
      </c>
      <c r="U22" s="32" t="s">
        <v>54</v>
      </c>
      <c r="V22" s="110" t="s">
        <v>55</v>
      </c>
      <c r="W22" s="114">
        <v>2.4900000000000002</v>
      </c>
      <c r="X22" s="112"/>
      <c r="Y22" s="111">
        <f t="shared" si="0"/>
        <v>2.4900000000000002</v>
      </c>
      <c r="Z22" s="32" t="s">
        <v>56</v>
      </c>
      <c r="AA22" s="41"/>
      <c r="AB22" s="20"/>
      <c r="AC22" s="32">
        <v>53</v>
      </c>
      <c r="AD22" s="32">
        <v>13</v>
      </c>
      <c r="AE22" s="20"/>
      <c r="AF22" s="20"/>
      <c r="AG22" s="20"/>
      <c r="AH22" s="20"/>
      <c r="AI22" s="20"/>
      <c r="AJ22" s="20"/>
    </row>
    <row r="23" spans="1:38" s="55" customFormat="1" ht="24.95" customHeight="1">
      <c r="A23" s="238">
        <f t="shared" si="2"/>
        <v>16</v>
      </c>
      <c r="B23" s="240" t="s">
        <v>353</v>
      </c>
      <c r="C23" s="24">
        <f t="shared" si="1"/>
        <v>16</v>
      </c>
      <c r="D23" s="11" t="s">
        <v>354</v>
      </c>
      <c r="E23" s="24" t="s">
        <v>355</v>
      </c>
      <c r="F23" s="24" t="s">
        <v>356</v>
      </c>
      <c r="G23" s="32"/>
      <c r="H23" s="32">
        <v>1991</v>
      </c>
      <c r="I23" s="32" t="s">
        <v>357</v>
      </c>
      <c r="J23" s="32">
        <v>192362</v>
      </c>
      <c r="K23" s="86">
        <v>33413</v>
      </c>
      <c r="L23" s="32">
        <v>14126</v>
      </c>
      <c r="M23" s="37">
        <v>34320</v>
      </c>
      <c r="N23" s="248">
        <v>153.85079999999999</v>
      </c>
      <c r="O23" s="248">
        <v>153.85079999999999</v>
      </c>
      <c r="P23" s="88">
        <v>130</v>
      </c>
      <c r="Q23" s="88">
        <v>80</v>
      </c>
      <c r="R23" s="109">
        <v>2</v>
      </c>
      <c r="S23" s="37">
        <v>34815</v>
      </c>
      <c r="T23" s="37">
        <v>40494</v>
      </c>
      <c r="U23" s="32" t="s">
        <v>54</v>
      </c>
      <c r="V23" s="110" t="s">
        <v>55</v>
      </c>
      <c r="W23" s="114">
        <v>2.1749999999999998</v>
      </c>
      <c r="X23" s="114">
        <v>1.244</v>
      </c>
      <c r="Y23" s="111">
        <f t="shared" si="0"/>
        <v>3.419</v>
      </c>
      <c r="Z23" s="32" t="s">
        <v>56</v>
      </c>
      <c r="AA23" s="41"/>
      <c r="AB23" s="20"/>
      <c r="AC23" s="32">
        <v>64</v>
      </c>
      <c r="AD23" s="32">
        <v>16</v>
      </c>
      <c r="AE23" s="20"/>
      <c r="AF23" s="20"/>
      <c r="AG23" s="20"/>
      <c r="AH23" s="20"/>
      <c r="AI23" s="20"/>
      <c r="AJ23" s="20"/>
    </row>
    <row r="24" spans="1:38" s="55" customFormat="1" ht="24.95" customHeight="1">
      <c r="A24" s="239"/>
      <c r="B24" s="241"/>
      <c r="C24" s="24">
        <f t="shared" si="1"/>
        <v>17</v>
      </c>
      <c r="D24" s="11" t="s">
        <v>358</v>
      </c>
      <c r="E24" s="24" t="s">
        <v>359</v>
      </c>
      <c r="F24" s="24" t="s">
        <v>360</v>
      </c>
      <c r="G24" s="187" t="s">
        <v>361</v>
      </c>
      <c r="H24" s="32">
        <v>2002</v>
      </c>
      <c r="I24" s="32" t="s">
        <v>362</v>
      </c>
      <c r="J24" s="32" t="s">
        <v>363</v>
      </c>
      <c r="K24" s="86">
        <v>37505</v>
      </c>
      <c r="L24" s="32">
        <v>14125</v>
      </c>
      <c r="M24" s="37">
        <v>34320</v>
      </c>
      <c r="N24" s="248"/>
      <c r="O24" s="248"/>
      <c r="P24" s="88">
        <v>109</v>
      </c>
      <c r="Q24" s="88">
        <v>60</v>
      </c>
      <c r="R24" s="109">
        <v>2</v>
      </c>
      <c r="S24" s="186" t="s">
        <v>364</v>
      </c>
      <c r="T24" s="37">
        <v>40494</v>
      </c>
      <c r="U24" s="32" t="s">
        <v>54</v>
      </c>
      <c r="V24" s="110" t="s">
        <v>55</v>
      </c>
      <c r="W24" s="111">
        <v>4.7530000000000001</v>
      </c>
      <c r="X24" s="112"/>
      <c r="Y24" s="111">
        <f t="shared" si="0"/>
        <v>4.7530000000000001</v>
      </c>
      <c r="Z24" s="32" t="s">
        <v>56</v>
      </c>
      <c r="AA24" s="41"/>
      <c r="AB24" s="20"/>
      <c r="AC24" s="32">
        <v>48</v>
      </c>
      <c r="AD24" s="32">
        <v>12</v>
      </c>
      <c r="AE24" s="20"/>
      <c r="AF24" s="20"/>
      <c r="AG24" s="20"/>
      <c r="AH24" s="20"/>
      <c r="AI24" s="20"/>
      <c r="AJ24" s="20"/>
    </row>
    <row r="25" spans="1:38" s="55" customFormat="1" ht="24.95" customHeight="1">
      <c r="A25" s="62">
        <f>A23+1</f>
        <v>17</v>
      </c>
      <c r="B25" s="24" t="s">
        <v>365</v>
      </c>
      <c r="C25" s="24">
        <f t="shared" si="1"/>
        <v>18</v>
      </c>
      <c r="D25" s="11" t="s">
        <v>366</v>
      </c>
      <c r="E25" s="26" t="s">
        <v>367</v>
      </c>
      <c r="F25" s="24" t="s">
        <v>368</v>
      </c>
      <c r="G25" s="187" t="s">
        <v>369</v>
      </c>
      <c r="H25" s="32">
        <v>1998</v>
      </c>
      <c r="I25" s="32" t="s">
        <v>370</v>
      </c>
      <c r="J25" s="32" t="s">
        <v>371</v>
      </c>
      <c r="K25" s="86">
        <v>40933</v>
      </c>
      <c r="L25" s="32" t="s">
        <v>63</v>
      </c>
      <c r="M25" s="32" t="s">
        <v>63</v>
      </c>
      <c r="N25" s="87">
        <v>100.0244</v>
      </c>
      <c r="O25" s="87">
        <v>100.0244</v>
      </c>
      <c r="P25" s="88">
        <v>117</v>
      </c>
      <c r="Q25" s="88">
        <v>97</v>
      </c>
      <c r="R25" s="109">
        <v>3</v>
      </c>
      <c r="S25" s="37">
        <v>30497</v>
      </c>
      <c r="T25" s="186" t="s">
        <v>372</v>
      </c>
      <c r="U25" s="32" t="s">
        <v>163</v>
      </c>
      <c r="V25" s="110" t="s">
        <v>55</v>
      </c>
      <c r="W25" s="112"/>
      <c r="X25" s="112"/>
      <c r="Y25" s="111">
        <f t="shared" si="0"/>
        <v>0</v>
      </c>
      <c r="Z25" s="32" t="s">
        <v>98</v>
      </c>
      <c r="AA25" s="41"/>
      <c r="AB25" s="20"/>
      <c r="AC25" s="32">
        <v>99</v>
      </c>
      <c r="AD25" s="32">
        <v>24</v>
      </c>
      <c r="AE25" s="20"/>
      <c r="AF25" s="20"/>
      <c r="AG25" s="20"/>
      <c r="AH25" s="20"/>
      <c r="AI25" s="20"/>
      <c r="AJ25" s="20"/>
    </row>
    <row r="26" spans="1:38" s="55" customFormat="1" ht="24.95" customHeight="1">
      <c r="A26" s="62">
        <f>A25+1</f>
        <v>18</v>
      </c>
      <c r="B26" s="24" t="s">
        <v>384</v>
      </c>
      <c r="C26" s="24">
        <f t="shared" si="1"/>
        <v>19</v>
      </c>
      <c r="D26" s="51" t="s">
        <v>385</v>
      </c>
      <c r="E26" s="26" t="s">
        <v>386</v>
      </c>
      <c r="F26" s="24" t="s">
        <v>387</v>
      </c>
      <c r="G26" s="32"/>
      <c r="H26" s="32">
        <v>1980</v>
      </c>
      <c r="I26" s="32" t="s">
        <v>388</v>
      </c>
      <c r="J26" s="32">
        <v>156740</v>
      </c>
      <c r="K26" s="86">
        <v>32444</v>
      </c>
      <c r="L26" s="32">
        <v>11423</v>
      </c>
      <c r="M26" s="37">
        <v>32503</v>
      </c>
      <c r="N26" s="87">
        <v>152.71950000000001</v>
      </c>
      <c r="O26" s="87">
        <v>152.71950000000001</v>
      </c>
      <c r="P26" s="88">
        <v>150</v>
      </c>
      <c r="Q26" s="88">
        <v>143</v>
      </c>
      <c r="R26" s="109">
        <v>4</v>
      </c>
      <c r="S26" s="37">
        <v>29731</v>
      </c>
      <c r="T26" s="37">
        <v>41313</v>
      </c>
      <c r="U26" s="32" t="s">
        <v>54</v>
      </c>
      <c r="V26" s="110" t="s">
        <v>55</v>
      </c>
      <c r="W26" s="114">
        <v>6.69</v>
      </c>
      <c r="X26" s="114">
        <v>0.8</v>
      </c>
      <c r="Y26" s="111">
        <f t="shared" si="0"/>
        <v>7.49</v>
      </c>
      <c r="Z26" s="32" t="s">
        <v>56</v>
      </c>
      <c r="AA26" s="41"/>
      <c r="AB26" s="20"/>
      <c r="AC26" s="32">
        <v>118</v>
      </c>
      <c r="AD26" s="32">
        <v>30</v>
      </c>
      <c r="AE26" s="20"/>
      <c r="AF26" s="20"/>
      <c r="AG26" s="20"/>
      <c r="AH26" s="20"/>
      <c r="AI26" s="20"/>
      <c r="AJ26" s="20"/>
    </row>
    <row r="27" spans="1:38" s="55" customFormat="1" ht="24.95" customHeight="1">
      <c r="A27" s="62">
        <f t="shared" ref="A27:A34" si="3">A26+1</f>
        <v>19</v>
      </c>
      <c r="B27" s="24" t="s">
        <v>389</v>
      </c>
      <c r="C27" s="24">
        <f t="shared" si="1"/>
        <v>20</v>
      </c>
      <c r="D27" s="11" t="s">
        <v>390</v>
      </c>
      <c r="E27" s="26" t="s">
        <v>391</v>
      </c>
      <c r="F27" s="24" t="s">
        <v>392</v>
      </c>
      <c r="G27" s="187" t="s">
        <v>393</v>
      </c>
      <c r="H27" s="32">
        <v>2000</v>
      </c>
      <c r="I27" s="32" t="s">
        <v>394</v>
      </c>
      <c r="J27" s="32" t="s">
        <v>395</v>
      </c>
      <c r="K27" s="86">
        <v>35550</v>
      </c>
      <c r="L27" s="32" t="s">
        <v>63</v>
      </c>
      <c r="M27" s="32" t="s">
        <v>63</v>
      </c>
      <c r="N27" s="87">
        <v>43.811199999999999</v>
      </c>
      <c r="O27" s="87">
        <v>43.811199999999999</v>
      </c>
      <c r="P27" s="88">
        <v>99</v>
      </c>
      <c r="Q27" s="88">
        <v>93</v>
      </c>
      <c r="R27" s="109">
        <v>5</v>
      </c>
      <c r="S27" s="37">
        <v>37321</v>
      </c>
      <c r="T27" s="37">
        <v>41313</v>
      </c>
      <c r="U27" s="32" t="s">
        <v>54</v>
      </c>
      <c r="V27" s="110" t="s">
        <v>55</v>
      </c>
      <c r="W27" s="114">
        <v>3.206</v>
      </c>
      <c r="X27" s="114">
        <v>0.89400000000000002</v>
      </c>
      <c r="Y27" s="111">
        <f t="shared" si="0"/>
        <v>4.0999999999999996</v>
      </c>
      <c r="Z27" s="32" t="s">
        <v>56</v>
      </c>
      <c r="AA27" s="41"/>
      <c r="AB27" s="20"/>
      <c r="AC27" s="32">
        <v>85</v>
      </c>
      <c r="AD27" s="32">
        <v>8</v>
      </c>
      <c r="AE27" s="20"/>
      <c r="AF27" s="20"/>
      <c r="AG27" s="20"/>
      <c r="AH27" s="20"/>
      <c r="AI27" s="20"/>
      <c r="AJ27" s="20"/>
    </row>
    <row r="28" spans="1:38" s="55" customFormat="1" ht="24.95" customHeight="1">
      <c r="A28" s="62">
        <f t="shared" si="3"/>
        <v>20</v>
      </c>
      <c r="B28" s="24" t="s">
        <v>396</v>
      </c>
      <c r="C28" s="24">
        <f t="shared" si="1"/>
        <v>21</v>
      </c>
      <c r="D28" s="11" t="s">
        <v>397</v>
      </c>
      <c r="E28" s="26" t="s">
        <v>398</v>
      </c>
      <c r="F28" s="24" t="s">
        <v>399</v>
      </c>
      <c r="G28" s="187" t="s">
        <v>400</v>
      </c>
      <c r="H28" s="37">
        <v>43116</v>
      </c>
      <c r="I28" s="37" t="s">
        <v>401</v>
      </c>
      <c r="J28" s="32">
        <v>201539189</v>
      </c>
      <c r="K28" s="37">
        <v>43233</v>
      </c>
      <c r="L28" s="32" t="s">
        <v>63</v>
      </c>
      <c r="M28" s="32" t="s">
        <v>63</v>
      </c>
      <c r="N28" s="87">
        <v>25.948499999999999</v>
      </c>
      <c r="O28" s="87">
        <v>25.948499999999999</v>
      </c>
      <c r="P28" s="88">
        <v>23</v>
      </c>
      <c r="Q28" s="88">
        <v>23</v>
      </c>
      <c r="R28" s="109">
        <v>2</v>
      </c>
      <c r="S28" s="113">
        <v>44418</v>
      </c>
      <c r="T28" s="113" t="s">
        <v>912</v>
      </c>
      <c r="U28" s="32" t="s">
        <v>54</v>
      </c>
      <c r="V28" s="110" t="s">
        <v>402</v>
      </c>
      <c r="W28" s="112"/>
      <c r="X28" s="112"/>
      <c r="Y28" s="111">
        <f t="shared" si="0"/>
        <v>0</v>
      </c>
      <c r="Z28" s="32" t="s">
        <v>98</v>
      </c>
      <c r="AA28" s="41"/>
      <c r="AB28" s="20"/>
      <c r="AC28" s="32">
        <v>18</v>
      </c>
      <c r="AD28" s="32">
        <v>5</v>
      </c>
      <c r="AE28" s="20"/>
      <c r="AF28" s="20"/>
      <c r="AG28" s="20"/>
      <c r="AH28" s="20"/>
      <c r="AI28" s="20"/>
      <c r="AJ28" s="20"/>
    </row>
    <row r="29" spans="1:38" s="55" customFormat="1" ht="36.75" customHeight="1">
      <c r="A29" s="62">
        <f t="shared" si="3"/>
        <v>21</v>
      </c>
      <c r="B29" s="24" t="s">
        <v>403</v>
      </c>
      <c r="C29" s="24">
        <f t="shared" si="1"/>
        <v>22</v>
      </c>
      <c r="D29" s="11" t="s">
        <v>404</v>
      </c>
      <c r="E29" s="26" t="s">
        <v>405</v>
      </c>
      <c r="F29" s="24" t="s">
        <v>406</v>
      </c>
      <c r="G29" s="187" t="s">
        <v>407</v>
      </c>
      <c r="H29" s="37">
        <v>36722</v>
      </c>
      <c r="I29" s="32" t="s">
        <v>408</v>
      </c>
      <c r="J29" s="32">
        <v>1200100167</v>
      </c>
      <c r="K29" s="86">
        <v>37069</v>
      </c>
      <c r="L29" s="32" t="s">
        <v>63</v>
      </c>
      <c r="M29" s="32" t="s">
        <v>63</v>
      </c>
      <c r="N29" s="87">
        <v>89.642300000000006</v>
      </c>
      <c r="O29" s="87">
        <v>89.642300000000006</v>
      </c>
      <c r="P29" s="88">
        <v>102</v>
      </c>
      <c r="Q29" s="88">
        <v>73</v>
      </c>
      <c r="R29" s="109">
        <v>2</v>
      </c>
      <c r="S29" s="37">
        <v>40317</v>
      </c>
      <c r="T29" s="118" t="s">
        <v>913</v>
      </c>
      <c r="U29" s="32" t="s">
        <v>54</v>
      </c>
      <c r="V29" s="110" t="s">
        <v>55</v>
      </c>
      <c r="W29" s="114">
        <v>2.7690000000000001</v>
      </c>
      <c r="X29" s="112"/>
      <c r="Y29" s="111">
        <f t="shared" si="0"/>
        <v>2.7690000000000001</v>
      </c>
      <c r="Z29" s="32" t="s">
        <v>56</v>
      </c>
      <c r="AA29" s="41"/>
      <c r="AB29" s="20"/>
      <c r="AC29" s="32">
        <v>72</v>
      </c>
      <c r="AD29" s="32">
        <v>8</v>
      </c>
      <c r="AE29" s="20"/>
      <c r="AF29" s="20"/>
      <c r="AG29" s="20"/>
      <c r="AH29" s="20"/>
      <c r="AI29" s="20"/>
      <c r="AJ29" s="20"/>
      <c r="AK29" s="143"/>
      <c r="AL29" s="55" t="s">
        <v>201</v>
      </c>
    </row>
    <row r="30" spans="1:38" s="55" customFormat="1" ht="36.75" customHeight="1">
      <c r="A30" s="62">
        <f t="shared" si="3"/>
        <v>22</v>
      </c>
      <c r="B30" s="26" t="s">
        <v>465</v>
      </c>
      <c r="C30" s="24">
        <f t="shared" si="1"/>
        <v>23</v>
      </c>
      <c r="D30" s="11" t="s">
        <v>466</v>
      </c>
      <c r="E30" s="26" t="s">
        <v>467</v>
      </c>
      <c r="F30" s="68" t="s">
        <v>914</v>
      </c>
      <c r="G30" s="187" t="s">
        <v>468</v>
      </c>
      <c r="H30" s="32" t="s">
        <v>469</v>
      </c>
      <c r="I30" s="32" t="s">
        <v>470</v>
      </c>
      <c r="J30" s="32" t="s">
        <v>471</v>
      </c>
      <c r="K30" s="86">
        <v>42276</v>
      </c>
      <c r="L30" s="32" t="s">
        <v>63</v>
      </c>
      <c r="M30" s="32" t="s">
        <v>63</v>
      </c>
      <c r="N30" s="87">
        <v>17.938400000000001</v>
      </c>
      <c r="O30" s="87">
        <v>17.938400000000001</v>
      </c>
      <c r="P30" s="88">
        <v>35</v>
      </c>
      <c r="Q30" s="88">
        <v>12</v>
      </c>
      <c r="R30" s="109">
        <v>2</v>
      </c>
      <c r="S30" s="37">
        <v>41317</v>
      </c>
      <c r="T30" s="37">
        <v>41317</v>
      </c>
      <c r="U30" s="32" t="s">
        <v>54</v>
      </c>
      <c r="V30" s="110" t="s">
        <v>55</v>
      </c>
      <c r="W30" s="112"/>
      <c r="X30" s="112"/>
      <c r="Y30" s="111">
        <f t="shared" si="0"/>
        <v>0</v>
      </c>
      <c r="Z30" s="32" t="s">
        <v>98</v>
      </c>
      <c r="AA30" s="41"/>
      <c r="AB30" s="20"/>
      <c r="AC30" s="32">
        <v>24</v>
      </c>
      <c r="AD30" s="32">
        <v>6</v>
      </c>
      <c r="AE30" s="20"/>
      <c r="AF30" s="20"/>
      <c r="AG30" s="20"/>
      <c r="AH30" s="20"/>
      <c r="AI30" s="20"/>
      <c r="AJ30" s="20"/>
      <c r="AL30" s="55" t="s">
        <v>209</v>
      </c>
    </row>
    <row r="31" spans="1:38" s="55" customFormat="1" ht="36.75" customHeight="1">
      <c r="A31" s="62">
        <f t="shared" si="3"/>
        <v>23</v>
      </c>
      <c r="B31" s="26" t="s">
        <v>472</v>
      </c>
      <c r="C31" s="24">
        <f t="shared" si="1"/>
        <v>24</v>
      </c>
      <c r="D31" s="11" t="s">
        <v>473</v>
      </c>
      <c r="E31" s="26" t="s">
        <v>474</v>
      </c>
      <c r="F31" s="24" t="s">
        <v>475</v>
      </c>
      <c r="G31" s="187" t="s">
        <v>476</v>
      </c>
      <c r="H31" s="32" t="s">
        <v>477</v>
      </c>
      <c r="I31" s="32" t="s">
        <v>478</v>
      </c>
      <c r="J31" s="32" t="s">
        <v>479</v>
      </c>
      <c r="K31" s="86">
        <v>41205</v>
      </c>
      <c r="L31" s="32" t="s">
        <v>63</v>
      </c>
      <c r="M31" s="32" t="s">
        <v>63</v>
      </c>
      <c r="N31" s="87">
        <v>69.963700000000003</v>
      </c>
      <c r="O31" s="87">
        <v>69.963700000000003</v>
      </c>
      <c r="P31" s="88">
        <v>100</v>
      </c>
      <c r="Q31" s="88">
        <v>34</v>
      </c>
      <c r="R31" s="109">
        <v>3</v>
      </c>
      <c r="S31" s="37">
        <v>41788</v>
      </c>
      <c r="T31" s="118" t="s">
        <v>915</v>
      </c>
      <c r="U31" s="32" t="s">
        <v>54</v>
      </c>
      <c r="V31" s="110" t="s">
        <v>55</v>
      </c>
      <c r="W31" s="114">
        <v>4.1689999999999996</v>
      </c>
      <c r="X31" s="114">
        <v>0.14299999999999999</v>
      </c>
      <c r="Y31" s="111">
        <f t="shared" si="0"/>
        <v>4.3120000000000003</v>
      </c>
      <c r="Z31" s="32" t="s">
        <v>56</v>
      </c>
      <c r="AA31" s="41"/>
      <c r="AB31" s="20"/>
      <c r="AC31" s="32">
        <v>29</v>
      </c>
      <c r="AD31" s="32">
        <v>5</v>
      </c>
      <c r="AE31" s="20"/>
      <c r="AF31" s="20"/>
      <c r="AG31" s="20"/>
      <c r="AH31" s="20"/>
      <c r="AI31" s="20"/>
      <c r="AJ31" s="20"/>
    </row>
    <row r="32" spans="1:38" s="55" customFormat="1" ht="36.75" customHeight="1">
      <c r="A32" s="62">
        <f t="shared" si="3"/>
        <v>24</v>
      </c>
      <c r="B32" s="26" t="s">
        <v>560</v>
      </c>
      <c r="C32" s="24">
        <f t="shared" si="1"/>
        <v>25</v>
      </c>
      <c r="D32" s="11" t="s">
        <v>561</v>
      </c>
      <c r="E32" s="26" t="s">
        <v>562</v>
      </c>
      <c r="F32" s="24" t="s">
        <v>563</v>
      </c>
      <c r="G32" s="187" t="s">
        <v>564</v>
      </c>
      <c r="H32" s="37">
        <v>41343</v>
      </c>
      <c r="I32" s="32" t="s">
        <v>565</v>
      </c>
      <c r="J32" s="32" t="s">
        <v>566</v>
      </c>
      <c r="K32" s="86">
        <v>41381</v>
      </c>
      <c r="L32" s="32" t="s">
        <v>63</v>
      </c>
      <c r="M32" s="32" t="s">
        <v>63</v>
      </c>
      <c r="N32" s="87">
        <v>8.5101999999999993</v>
      </c>
      <c r="O32" s="87">
        <v>7.8140000000000001</v>
      </c>
      <c r="P32" s="88">
        <v>18</v>
      </c>
      <c r="Q32" s="88">
        <v>18</v>
      </c>
      <c r="R32" s="109">
        <v>1</v>
      </c>
      <c r="S32" s="37">
        <v>42130</v>
      </c>
      <c r="T32" s="37">
        <v>43201</v>
      </c>
      <c r="U32" s="32" t="s">
        <v>54</v>
      </c>
      <c r="V32" s="110" t="s">
        <v>55</v>
      </c>
      <c r="W32" s="112"/>
      <c r="X32" s="112"/>
      <c r="Y32" s="111">
        <f t="shared" si="0"/>
        <v>0</v>
      </c>
      <c r="Z32" s="32" t="s">
        <v>98</v>
      </c>
      <c r="AA32" s="41"/>
      <c r="AB32" s="20"/>
      <c r="AC32" s="32">
        <v>10</v>
      </c>
      <c r="AD32" s="32">
        <v>8</v>
      </c>
      <c r="AE32" s="20"/>
      <c r="AF32" s="20"/>
      <c r="AG32" s="20"/>
      <c r="AH32" s="20"/>
      <c r="AI32" s="20"/>
      <c r="AJ32" s="20"/>
    </row>
    <row r="33" spans="1:36" s="55" customFormat="1" ht="24.95" customHeight="1">
      <c r="A33" s="62">
        <f t="shared" si="3"/>
        <v>25</v>
      </c>
      <c r="B33" s="24" t="s">
        <v>595</v>
      </c>
      <c r="C33" s="24">
        <f t="shared" si="1"/>
        <v>26</v>
      </c>
      <c r="D33" s="11" t="s">
        <v>596</v>
      </c>
      <c r="E33" s="26" t="s">
        <v>597</v>
      </c>
      <c r="F33" s="24" t="s">
        <v>598</v>
      </c>
      <c r="G33" s="187" t="s">
        <v>599</v>
      </c>
      <c r="H33" s="32">
        <v>1980</v>
      </c>
      <c r="I33" s="32" t="s">
        <v>600</v>
      </c>
      <c r="J33" s="32">
        <v>158917</v>
      </c>
      <c r="K33" s="86">
        <v>32913</v>
      </c>
      <c r="L33" s="32">
        <v>11336</v>
      </c>
      <c r="M33" s="32" t="s">
        <v>63</v>
      </c>
      <c r="N33" s="87">
        <v>189.38829999999999</v>
      </c>
      <c r="O33" s="87">
        <v>177.19479999999999</v>
      </c>
      <c r="P33" s="88">
        <v>222</v>
      </c>
      <c r="Q33" s="88">
        <v>117</v>
      </c>
      <c r="R33" s="109">
        <v>4</v>
      </c>
      <c r="S33" s="37">
        <v>30632</v>
      </c>
      <c r="T33" s="37">
        <v>41320</v>
      </c>
      <c r="U33" s="32" t="s">
        <v>54</v>
      </c>
      <c r="V33" s="110" t="s">
        <v>55</v>
      </c>
      <c r="W33" s="114">
        <v>8.25</v>
      </c>
      <c r="X33" s="111"/>
      <c r="Y33" s="111">
        <f t="shared" si="0"/>
        <v>8.25</v>
      </c>
      <c r="Z33" s="32" t="s">
        <v>56</v>
      </c>
      <c r="AA33" s="41"/>
      <c r="AB33" s="20"/>
      <c r="AC33" s="32">
        <v>80</v>
      </c>
      <c r="AD33" s="32">
        <v>37</v>
      </c>
      <c r="AE33" s="20"/>
      <c r="AF33" s="20"/>
      <c r="AG33" s="20"/>
      <c r="AH33" s="20"/>
      <c r="AI33" s="20"/>
      <c r="AJ33" s="20"/>
    </row>
    <row r="34" spans="1:36" s="55" customFormat="1" ht="24.95" customHeight="1">
      <c r="A34" s="62">
        <f t="shared" si="3"/>
        <v>26</v>
      </c>
      <c r="B34" s="24" t="s">
        <v>606</v>
      </c>
      <c r="C34" s="24">
        <f t="shared" si="1"/>
        <v>27</v>
      </c>
      <c r="D34" s="25" t="s">
        <v>607</v>
      </c>
      <c r="E34" s="26" t="s">
        <v>608</v>
      </c>
      <c r="F34" s="24" t="s">
        <v>609</v>
      </c>
      <c r="G34" s="187" t="s">
        <v>610</v>
      </c>
      <c r="H34" s="37">
        <v>42359</v>
      </c>
      <c r="I34" s="32" t="s">
        <v>611</v>
      </c>
      <c r="J34" s="32" t="s">
        <v>612</v>
      </c>
      <c r="K34" s="86">
        <v>42514</v>
      </c>
      <c r="L34" s="32" t="s">
        <v>63</v>
      </c>
      <c r="M34" s="32" t="s">
        <v>63</v>
      </c>
      <c r="N34" s="87">
        <v>39.886200000000002</v>
      </c>
      <c r="O34" s="87">
        <v>39.886200000000002</v>
      </c>
      <c r="P34" s="88">
        <v>62</v>
      </c>
      <c r="Q34" s="88">
        <v>62</v>
      </c>
      <c r="R34" s="109">
        <v>2</v>
      </c>
      <c r="S34" s="113" t="s">
        <v>916</v>
      </c>
      <c r="T34" s="113" t="s">
        <v>916</v>
      </c>
      <c r="U34" s="32" t="s">
        <v>54</v>
      </c>
      <c r="V34" s="110" t="s">
        <v>55</v>
      </c>
      <c r="W34" s="114">
        <v>0.99299999999999999</v>
      </c>
      <c r="X34" s="114">
        <v>2.3E-2</v>
      </c>
      <c r="Y34" s="111">
        <f t="shared" si="0"/>
        <v>1.016</v>
      </c>
      <c r="Z34" s="32" t="s">
        <v>56</v>
      </c>
      <c r="AA34" s="41"/>
      <c r="AB34" s="20"/>
      <c r="AC34" s="32">
        <v>55</v>
      </c>
      <c r="AD34" s="32">
        <v>7</v>
      </c>
      <c r="AE34" s="20"/>
      <c r="AF34" s="20"/>
      <c r="AG34" s="20"/>
      <c r="AH34" s="20"/>
      <c r="AI34" s="20"/>
      <c r="AJ34" s="20"/>
    </row>
    <row r="35" spans="1:36" s="55" customFormat="1" ht="24.95" customHeight="1">
      <c r="A35" s="62"/>
      <c r="B35" s="69" t="s">
        <v>661</v>
      </c>
      <c r="C35" s="24">
        <f t="shared" si="1"/>
        <v>28</v>
      </c>
      <c r="D35" s="25" t="s">
        <v>662</v>
      </c>
      <c r="E35" s="25" t="s">
        <v>663</v>
      </c>
      <c r="F35" s="25" t="s">
        <v>664</v>
      </c>
      <c r="G35" s="12" t="s">
        <v>302</v>
      </c>
      <c r="H35" s="189" t="s">
        <v>665</v>
      </c>
      <c r="I35" s="12" t="s">
        <v>666</v>
      </c>
      <c r="J35" s="12" t="s">
        <v>667</v>
      </c>
      <c r="K35" s="189" t="s">
        <v>668</v>
      </c>
      <c r="L35" s="12" t="s">
        <v>63</v>
      </c>
      <c r="M35" s="12" t="s">
        <v>63</v>
      </c>
      <c r="N35" s="91">
        <v>15</v>
      </c>
      <c r="O35" s="91">
        <v>15</v>
      </c>
      <c r="P35" s="92">
        <v>20</v>
      </c>
      <c r="Q35" s="92">
        <v>60</v>
      </c>
      <c r="R35" s="116">
        <v>1</v>
      </c>
      <c r="S35" s="117" t="s">
        <v>917</v>
      </c>
      <c r="T35" s="117" t="s">
        <v>917</v>
      </c>
      <c r="U35" s="12"/>
      <c r="V35" s="119" t="s">
        <v>402</v>
      </c>
      <c r="W35" s="112"/>
      <c r="X35" s="112"/>
      <c r="Y35" s="111">
        <f t="shared" si="0"/>
        <v>0</v>
      </c>
      <c r="Z35" s="32" t="s">
        <v>98</v>
      </c>
      <c r="AA35" s="40"/>
      <c r="AB35" s="136"/>
      <c r="AC35" s="12">
        <v>24</v>
      </c>
      <c r="AD35" s="12">
        <v>6</v>
      </c>
      <c r="AE35" s="20"/>
      <c r="AF35" s="20"/>
      <c r="AG35" s="20"/>
      <c r="AH35" s="20"/>
      <c r="AI35" s="20"/>
      <c r="AJ35" s="20"/>
    </row>
    <row r="36" spans="1:36" s="59" customFormat="1" ht="24.95" customHeight="1">
      <c r="A36" s="70">
        <f>A34+1</f>
        <v>27</v>
      </c>
      <c r="B36" s="71" t="s">
        <v>728</v>
      </c>
      <c r="C36" s="71">
        <f t="shared" si="1"/>
        <v>29</v>
      </c>
      <c r="D36" s="72" t="s">
        <v>729</v>
      </c>
      <c r="E36" s="73" t="s">
        <v>730</v>
      </c>
      <c r="F36" s="71" t="s">
        <v>731</v>
      </c>
      <c r="G36" s="191" t="s">
        <v>732</v>
      </c>
      <c r="H36" s="75">
        <v>43172</v>
      </c>
      <c r="I36" s="74" t="s">
        <v>733</v>
      </c>
      <c r="J36" s="74" t="s">
        <v>734</v>
      </c>
      <c r="K36" s="93">
        <v>43259</v>
      </c>
      <c r="L36" s="74" t="s">
        <v>63</v>
      </c>
      <c r="M36" s="74" t="s">
        <v>63</v>
      </c>
      <c r="N36" s="94">
        <v>146.05590000000001</v>
      </c>
      <c r="O36" s="94">
        <v>146.05590000000001</v>
      </c>
      <c r="P36" s="95">
        <v>91</v>
      </c>
      <c r="Q36" s="95">
        <v>52</v>
      </c>
      <c r="R36" s="120">
        <v>3</v>
      </c>
      <c r="S36" s="121">
        <v>44418</v>
      </c>
      <c r="T36" s="121">
        <v>44418</v>
      </c>
      <c r="U36" s="74" t="s">
        <v>54</v>
      </c>
      <c r="V36" s="122" t="s">
        <v>55</v>
      </c>
      <c r="W36" s="123">
        <v>2.0339999999999998</v>
      </c>
      <c r="X36" s="123">
        <v>4.202</v>
      </c>
      <c r="Y36" s="137">
        <f t="shared" si="0"/>
        <v>6.2359999999999998</v>
      </c>
      <c r="Z36" s="74" t="s">
        <v>56</v>
      </c>
      <c r="AA36" s="138"/>
      <c r="AB36" s="139"/>
      <c r="AC36" s="74">
        <v>42</v>
      </c>
      <c r="AD36" s="74">
        <v>10</v>
      </c>
      <c r="AE36" s="139"/>
      <c r="AF36" s="139"/>
      <c r="AG36" s="139"/>
      <c r="AH36" s="139"/>
      <c r="AI36" s="139"/>
      <c r="AJ36" s="139"/>
    </row>
    <row r="37" spans="1:36" s="55" customFormat="1" ht="24.95" customHeight="1">
      <c r="A37" s="62">
        <f t="shared" ref="A37:A49" si="4">A36+1</f>
        <v>28</v>
      </c>
      <c r="B37" s="24" t="s">
        <v>740</v>
      </c>
      <c r="C37" s="24">
        <f t="shared" si="1"/>
        <v>30</v>
      </c>
      <c r="D37" s="64" t="s">
        <v>741</v>
      </c>
      <c r="E37" s="26" t="s">
        <v>742</v>
      </c>
      <c r="F37" s="24" t="s">
        <v>743</v>
      </c>
      <c r="G37" s="187" t="s">
        <v>744</v>
      </c>
      <c r="H37" s="37">
        <v>39975</v>
      </c>
      <c r="I37" s="32" t="s">
        <v>745</v>
      </c>
      <c r="J37" s="32" t="s">
        <v>746</v>
      </c>
      <c r="K37" s="86">
        <v>40381</v>
      </c>
      <c r="L37" s="32" t="s">
        <v>63</v>
      </c>
      <c r="M37" s="32" t="s">
        <v>63</v>
      </c>
      <c r="N37" s="96">
        <v>39.201599999999999</v>
      </c>
      <c r="O37" s="96">
        <v>39.201599999999999</v>
      </c>
      <c r="P37" s="88">
        <v>148</v>
      </c>
      <c r="Q37" s="88">
        <v>48</v>
      </c>
      <c r="R37" s="109">
        <v>1</v>
      </c>
      <c r="S37" s="37">
        <v>40470</v>
      </c>
      <c r="T37" s="37">
        <v>40484</v>
      </c>
      <c r="U37" s="32" t="s">
        <v>163</v>
      </c>
      <c r="V37" s="110" t="s">
        <v>55</v>
      </c>
      <c r="W37" s="114">
        <v>2.2530000000000001</v>
      </c>
      <c r="X37" s="111"/>
      <c r="Y37" s="111">
        <f t="shared" si="0"/>
        <v>2.2530000000000001</v>
      </c>
      <c r="Z37" s="32" t="s">
        <v>56</v>
      </c>
      <c r="AA37" s="41"/>
      <c r="AB37" s="20"/>
      <c r="AC37" s="32">
        <v>37</v>
      </c>
      <c r="AD37" s="32">
        <v>11</v>
      </c>
      <c r="AE37" s="20"/>
      <c r="AF37" s="20"/>
      <c r="AG37" s="20"/>
      <c r="AH37" s="20"/>
      <c r="AI37" s="20"/>
      <c r="AJ37" s="20"/>
    </row>
    <row r="38" spans="1:36" s="59" customFormat="1" ht="24.95" customHeight="1">
      <c r="A38" s="70">
        <f t="shared" si="4"/>
        <v>29</v>
      </c>
      <c r="B38" s="76" t="s">
        <v>758</v>
      </c>
      <c r="C38" s="71">
        <f t="shared" si="1"/>
        <v>31</v>
      </c>
      <c r="D38" s="77" t="s">
        <v>918</v>
      </c>
      <c r="E38" s="73" t="s">
        <v>759</v>
      </c>
      <c r="F38" s="68" t="s">
        <v>919</v>
      </c>
      <c r="G38" s="191" t="s">
        <v>760</v>
      </c>
      <c r="H38" s="75">
        <v>40448</v>
      </c>
      <c r="I38" s="74" t="s">
        <v>761</v>
      </c>
      <c r="J38" s="74" t="s">
        <v>762</v>
      </c>
      <c r="K38" s="93">
        <v>40519</v>
      </c>
      <c r="L38" s="74" t="s">
        <v>63</v>
      </c>
      <c r="M38" s="74" t="s">
        <v>63</v>
      </c>
      <c r="N38" s="94">
        <v>661.03869999999995</v>
      </c>
      <c r="O38" s="97">
        <v>609.34829999999999</v>
      </c>
      <c r="P38" s="95">
        <v>1461</v>
      </c>
      <c r="Q38" s="95">
        <v>1461</v>
      </c>
      <c r="R38" s="120">
        <v>4</v>
      </c>
      <c r="S38" s="121">
        <v>42591</v>
      </c>
      <c r="T38" s="121">
        <v>42591</v>
      </c>
      <c r="U38" s="74" t="s">
        <v>54</v>
      </c>
      <c r="V38" s="122" t="s">
        <v>55</v>
      </c>
      <c r="W38" s="123">
        <v>2.423</v>
      </c>
      <c r="X38" s="124"/>
      <c r="Y38" s="137">
        <f t="shared" si="0"/>
        <v>2.423</v>
      </c>
      <c r="Z38" s="74" t="s">
        <v>56</v>
      </c>
      <c r="AA38" s="138"/>
      <c r="AB38" s="139"/>
      <c r="AC38" s="74">
        <v>1168</v>
      </c>
      <c r="AD38" s="74">
        <v>293</v>
      </c>
      <c r="AE38" s="139"/>
      <c r="AF38" s="139"/>
      <c r="AG38" s="139"/>
      <c r="AH38" s="139"/>
      <c r="AI38" s="139"/>
      <c r="AJ38" s="139"/>
    </row>
    <row r="39" spans="1:36" s="55" customFormat="1" ht="24.95" customHeight="1">
      <c r="A39" s="62">
        <f t="shared" si="4"/>
        <v>30</v>
      </c>
      <c r="B39" s="24" t="s">
        <v>783</v>
      </c>
      <c r="C39" s="24">
        <f t="shared" si="1"/>
        <v>32</v>
      </c>
      <c r="D39" s="11" t="s">
        <v>784</v>
      </c>
      <c r="E39" s="26" t="s">
        <v>785</v>
      </c>
      <c r="F39" s="24" t="s">
        <v>786</v>
      </c>
      <c r="G39" s="187" t="s">
        <v>117</v>
      </c>
      <c r="H39" s="32">
        <v>1996</v>
      </c>
      <c r="I39" s="187" t="s">
        <v>787</v>
      </c>
      <c r="J39" s="32" t="s">
        <v>788</v>
      </c>
      <c r="K39" s="86">
        <v>35550</v>
      </c>
      <c r="L39" s="32" t="s">
        <v>63</v>
      </c>
      <c r="M39" s="32" t="s">
        <v>63</v>
      </c>
      <c r="N39" s="96">
        <v>5.0395000000000003</v>
      </c>
      <c r="O39" s="96">
        <v>5.0395000000000003</v>
      </c>
      <c r="P39" s="88">
        <v>21</v>
      </c>
      <c r="Q39" s="88">
        <v>3</v>
      </c>
      <c r="R39" s="109">
        <v>1</v>
      </c>
      <c r="S39" s="37">
        <v>35699</v>
      </c>
      <c r="T39" s="37">
        <v>37379</v>
      </c>
      <c r="U39" s="32" t="s">
        <v>163</v>
      </c>
      <c r="V39" s="110" t="s">
        <v>55</v>
      </c>
      <c r="W39" s="112"/>
      <c r="X39" s="112"/>
      <c r="Y39" s="111">
        <f t="shared" si="0"/>
        <v>0</v>
      </c>
      <c r="Z39" s="32" t="s">
        <v>98</v>
      </c>
      <c r="AA39" s="41"/>
      <c r="AB39" s="20"/>
      <c r="AC39" s="32">
        <v>8</v>
      </c>
      <c r="AD39" s="32">
        <v>5</v>
      </c>
      <c r="AE39" s="20"/>
      <c r="AF39" s="20"/>
      <c r="AG39" s="20"/>
      <c r="AH39" s="20"/>
      <c r="AI39" s="20"/>
      <c r="AJ39" s="20"/>
    </row>
    <row r="40" spans="1:36" s="55" customFormat="1" ht="24.95" customHeight="1">
      <c r="A40" s="62">
        <f t="shared" si="4"/>
        <v>31</v>
      </c>
      <c r="B40" s="24" t="s">
        <v>789</v>
      </c>
      <c r="C40" s="24">
        <f t="shared" si="1"/>
        <v>33</v>
      </c>
      <c r="D40" s="11" t="s">
        <v>790</v>
      </c>
      <c r="E40" s="26" t="s">
        <v>791</v>
      </c>
      <c r="F40" s="24" t="s">
        <v>792</v>
      </c>
      <c r="G40" s="187" t="s">
        <v>793</v>
      </c>
      <c r="H40" s="32">
        <v>2009</v>
      </c>
      <c r="I40" s="32" t="s">
        <v>794</v>
      </c>
      <c r="J40" s="32" t="s">
        <v>795</v>
      </c>
      <c r="K40" s="86">
        <v>40144</v>
      </c>
      <c r="L40" s="32" t="s">
        <v>63</v>
      </c>
      <c r="M40" s="32" t="s">
        <v>63</v>
      </c>
      <c r="N40" s="96">
        <v>28.552800000000001</v>
      </c>
      <c r="O40" s="96">
        <v>28.552800000000001</v>
      </c>
      <c r="P40" s="88">
        <v>85</v>
      </c>
      <c r="Q40" s="88">
        <v>85</v>
      </c>
      <c r="R40" s="109">
        <v>1</v>
      </c>
      <c r="S40" s="186" t="s">
        <v>796</v>
      </c>
      <c r="T40" s="186" t="s">
        <v>372</v>
      </c>
      <c r="U40" s="32" t="s">
        <v>163</v>
      </c>
      <c r="V40" s="110" t="s">
        <v>55</v>
      </c>
      <c r="W40" s="114">
        <v>1.18</v>
      </c>
      <c r="X40" s="112"/>
      <c r="Y40" s="111">
        <f t="shared" si="0"/>
        <v>1.18</v>
      </c>
      <c r="Z40" s="32" t="s">
        <v>56</v>
      </c>
      <c r="AA40" s="41"/>
      <c r="AB40" s="20"/>
      <c r="AC40" s="32">
        <v>68</v>
      </c>
      <c r="AD40" s="32">
        <v>17</v>
      </c>
      <c r="AE40" s="20"/>
      <c r="AF40" s="20"/>
      <c r="AG40" s="20"/>
      <c r="AH40" s="20"/>
      <c r="AI40" s="20"/>
      <c r="AJ40" s="20"/>
    </row>
    <row r="41" spans="1:36" s="55" customFormat="1" ht="24.95" customHeight="1">
      <c r="A41" s="62">
        <f t="shared" si="4"/>
        <v>32</v>
      </c>
      <c r="B41" s="63" t="s">
        <v>804</v>
      </c>
      <c r="C41" s="24">
        <f t="shared" si="1"/>
        <v>34</v>
      </c>
      <c r="D41" s="64" t="s">
        <v>805</v>
      </c>
      <c r="E41" s="26" t="s">
        <v>806</v>
      </c>
      <c r="F41" s="24" t="s">
        <v>807</v>
      </c>
      <c r="G41" s="187" t="s">
        <v>808</v>
      </c>
      <c r="H41" s="32">
        <v>1977</v>
      </c>
      <c r="I41" s="32" t="s">
        <v>809</v>
      </c>
      <c r="J41" s="32">
        <v>258000</v>
      </c>
      <c r="K41" s="86">
        <v>35646</v>
      </c>
      <c r="L41" s="32">
        <v>11592</v>
      </c>
      <c r="M41" s="37">
        <v>32609</v>
      </c>
      <c r="N41" s="96">
        <v>93.323599999999999</v>
      </c>
      <c r="O41" s="87">
        <v>73.498599999999996</v>
      </c>
      <c r="P41" s="88">
        <v>126</v>
      </c>
      <c r="Q41" s="88">
        <v>53</v>
      </c>
      <c r="R41" s="109">
        <v>2</v>
      </c>
      <c r="S41" s="113" t="s">
        <v>920</v>
      </c>
      <c r="T41" s="113">
        <v>40578</v>
      </c>
      <c r="U41" s="32" t="s">
        <v>54</v>
      </c>
      <c r="V41" s="110" t="s">
        <v>55</v>
      </c>
      <c r="W41" s="114">
        <v>2.3079999999999998</v>
      </c>
      <c r="X41" s="112"/>
      <c r="Y41" s="111">
        <f t="shared" si="0"/>
        <v>2.3079999999999998</v>
      </c>
      <c r="Z41" s="32" t="s">
        <v>56</v>
      </c>
      <c r="AA41" s="41"/>
      <c r="AB41" s="20"/>
      <c r="AC41" s="32">
        <v>42</v>
      </c>
      <c r="AD41" s="32">
        <v>11</v>
      </c>
      <c r="AE41" s="20"/>
      <c r="AF41" s="20"/>
      <c r="AG41" s="20"/>
      <c r="AH41" s="20"/>
      <c r="AI41" s="20"/>
      <c r="AJ41" s="20"/>
    </row>
    <row r="42" spans="1:36" s="55" customFormat="1" ht="24.95" customHeight="1">
      <c r="A42" s="62">
        <f t="shared" si="4"/>
        <v>33</v>
      </c>
      <c r="B42" s="24" t="s">
        <v>823</v>
      </c>
      <c r="C42" s="24">
        <f t="shared" si="1"/>
        <v>35</v>
      </c>
      <c r="D42" s="11" t="s">
        <v>824</v>
      </c>
      <c r="E42" s="26" t="s">
        <v>825</v>
      </c>
      <c r="F42" s="24" t="s">
        <v>826</v>
      </c>
      <c r="G42" s="187" t="s">
        <v>827</v>
      </c>
      <c r="H42" s="32">
        <v>1998</v>
      </c>
      <c r="I42" s="32" t="s">
        <v>828</v>
      </c>
      <c r="J42" s="32" t="s">
        <v>829</v>
      </c>
      <c r="K42" s="86">
        <v>36026</v>
      </c>
      <c r="L42" s="32" t="s">
        <v>63</v>
      </c>
      <c r="M42" s="32" t="s">
        <v>63</v>
      </c>
      <c r="N42" s="96">
        <v>61.769300000000001</v>
      </c>
      <c r="O42" s="96">
        <v>61.769300000000001</v>
      </c>
      <c r="P42" s="88">
        <v>88</v>
      </c>
      <c r="Q42" s="88">
        <v>88</v>
      </c>
      <c r="R42" s="109">
        <v>3</v>
      </c>
      <c r="S42" s="37">
        <v>37433</v>
      </c>
      <c r="T42" s="37">
        <v>40843</v>
      </c>
      <c r="U42" s="32" t="s">
        <v>54</v>
      </c>
      <c r="V42" s="110" t="s">
        <v>55</v>
      </c>
      <c r="W42" s="111"/>
      <c r="X42" s="112"/>
      <c r="Y42" s="111">
        <f t="shared" si="0"/>
        <v>0</v>
      </c>
      <c r="Z42" s="32" t="s">
        <v>98</v>
      </c>
      <c r="AA42" s="41"/>
      <c r="AB42" s="20"/>
      <c r="AC42" s="32">
        <v>54</v>
      </c>
      <c r="AD42" s="32">
        <v>41</v>
      </c>
      <c r="AE42" s="20"/>
      <c r="AF42" s="20"/>
      <c r="AG42" s="20"/>
      <c r="AH42" s="20"/>
      <c r="AI42" s="20"/>
      <c r="AJ42" s="20"/>
    </row>
    <row r="43" spans="1:36" s="55" customFormat="1" ht="24.95" customHeight="1">
      <c r="A43" s="62">
        <f t="shared" si="4"/>
        <v>34</v>
      </c>
      <c r="B43" s="26" t="s">
        <v>842</v>
      </c>
      <c r="C43" s="24">
        <f t="shared" si="1"/>
        <v>36</v>
      </c>
      <c r="D43" s="51" t="s">
        <v>843</v>
      </c>
      <c r="E43" s="26" t="s">
        <v>844</v>
      </c>
      <c r="F43" s="24" t="s">
        <v>845</v>
      </c>
      <c r="G43" s="32" t="s">
        <v>302</v>
      </c>
      <c r="H43" s="37">
        <v>41339</v>
      </c>
      <c r="I43" s="32" t="s">
        <v>565</v>
      </c>
      <c r="J43" s="32">
        <v>201333041</v>
      </c>
      <c r="K43" s="86">
        <v>41523</v>
      </c>
      <c r="L43" s="32" t="s">
        <v>63</v>
      </c>
      <c r="M43" s="32" t="s">
        <v>63</v>
      </c>
      <c r="N43" s="96">
        <v>7.4150999999999998</v>
      </c>
      <c r="O43" s="96">
        <v>7.4150999999999998</v>
      </c>
      <c r="P43" s="88">
        <v>15</v>
      </c>
      <c r="Q43" s="88">
        <v>12</v>
      </c>
      <c r="R43" s="109">
        <v>1</v>
      </c>
      <c r="S43" s="37">
        <v>41897</v>
      </c>
      <c r="T43" s="37">
        <v>41897</v>
      </c>
      <c r="U43" s="32" t="s">
        <v>54</v>
      </c>
      <c r="V43" s="110" t="s">
        <v>55</v>
      </c>
      <c r="W43" s="111"/>
      <c r="X43" s="112"/>
      <c r="Y43" s="111">
        <f t="shared" si="0"/>
        <v>0</v>
      </c>
      <c r="Z43" s="32" t="s">
        <v>98</v>
      </c>
      <c r="AA43" s="41"/>
      <c r="AB43" s="20"/>
      <c r="AC43" s="32">
        <v>10</v>
      </c>
      <c r="AD43" s="32">
        <v>2</v>
      </c>
      <c r="AE43" s="20"/>
      <c r="AF43" s="20"/>
      <c r="AG43" s="20"/>
      <c r="AH43" s="20"/>
      <c r="AI43" s="20"/>
      <c r="AJ43" s="20"/>
    </row>
    <row r="44" spans="1:36" s="55" customFormat="1" ht="24.95" customHeight="1">
      <c r="A44" s="62">
        <f t="shared" si="4"/>
        <v>35</v>
      </c>
      <c r="B44" s="24" t="s">
        <v>853</v>
      </c>
      <c r="C44" s="24">
        <f t="shared" si="1"/>
        <v>37</v>
      </c>
      <c r="D44" s="11" t="s">
        <v>854</v>
      </c>
      <c r="E44" s="26" t="s">
        <v>855</v>
      </c>
      <c r="F44" s="24" t="s">
        <v>856</v>
      </c>
      <c r="G44" s="187" t="s">
        <v>857</v>
      </c>
      <c r="H44" s="37">
        <v>43118</v>
      </c>
      <c r="I44" s="32" t="s">
        <v>858</v>
      </c>
      <c r="J44" s="32" t="s">
        <v>859</v>
      </c>
      <c r="K44" s="86">
        <v>43298</v>
      </c>
      <c r="L44" s="32" t="s">
        <v>63</v>
      </c>
      <c r="M44" s="32" t="s">
        <v>63</v>
      </c>
      <c r="N44" s="96">
        <v>209.79140000000001</v>
      </c>
      <c r="O44" s="96">
        <v>209.79140000000001</v>
      </c>
      <c r="P44" s="88">
        <v>200</v>
      </c>
      <c r="Q44" s="88">
        <v>80</v>
      </c>
      <c r="R44" s="109">
        <v>3</v>
      </c>
      <c r="S44" s="113">
        <v>45575</v>
      </c>
      <c r="T44" s="113">
        <v>45575</v>
      </c>
      <c r="U44" s="32" t="s">
        <v>54</v>
      </c>
      <c r="V44" s="110" t="s">
        <v>55</v>
      </c>
      <c r="W44" s="114">
        <v>5.53</v>
      </c>
      <c r="X44" s="114">
        <v>5.0999999999999996</v>
      </c>
      <c r="Y44" s="111">
        <f t="shared" si="0"/>
        <v>10.63</v>
      </c>
      <c r="Z44" s="32" t="s">
        <v>56</v>
      </c>
      <c r="AA44" s="41"/>
      <c r="AB44" s="20"/>
      <c r="AC44" s="32">
        <v>64</v>
      </c>
      <c r="AD44" s="32">
        <v>16</v>
      </c>
      <c r="AE44" s="20"/>
      <c r="AF44" s="20"/>
      <c r="AG44" s="20"/>
      <c r="AH44" s="20"/>
      <c r="AI44" s="20"/>
      <c r="AJ44" s="20"/>
    </row>
    <row r="45" spans="1:36" s="55" customFormat="1" ht="24.95" customHeight="1">
      <c r="A45" s="62">
        <f t="shared" si="4"/>
        <v>36</v>
      </c>
      <c r="B45" s="26" t="s">
        <v>860</v>
      </c>
      <c r="C45" s="24">
        <f t="shared" si="1"/>
        <v>38</v>
      </c>
      <c r="D45" s="11" t="s">
        <v>861</v>
      </c>
      <c r="E45" s="26" t="s">
        <v>862</v>
      </c>
      <c r="F45" s="24" t="s">
        <v>863</v>
      </c>
      <c r="G45" s="187" t="s">
        <v>864</v>
      </c>
      <c r="H45" s="37">
        <v>41379</v>
      </c>
      <c r="I45" s="32" t="s">
        <v>199</v>
      </c>
      <c r="J45" s="32">
        <v>201428597</v>
      </c>
      <c r="K45" s="86">
        <v>41696</v>
      </c>
      <c r="L45" s="32" t="s">
        <v>63</v>
      </c>
      <c r="M45" s="32" t="s">
        <v>63</v>
      </c>
      <c r="N45" s="96">
        <v>11.3573</v>
      </c>
      <c r="O45" s="96">
        <v>11.3573</v>
      </c>
      <c r="P45" s="88">
        <v>20</v>
      </c>
      <c r="Q45" s="88">
        <v>15</v>
      </c>
      <c r="R45" s="109">
        <v>1</v>
      </c>
      <c r="S45" s="37">
        <v>42130</v>
      </c>
      <c r="T45" s="37">
        <v>42130</v>
      </c>
      <c r="U45" s="32" t="s">
        <v>54</v>
      </c>
      <c r="V45" s="110" t="s">
        <v>55</v>
      </c>
      <c r="W45" s="111"/>
      <c r="X45" s="111"/>
      <c r="Y45" s="111">
        <f t="shared" si="0"/>
        <v>0</v>
      </c>
      <c r="Z45" s="32" t="s">
        <v>98</v>
      </c>
      <c r="AA45" s="41"/>
      <c r="AB45" s="20"/>
      <c r="AC45" s="32">
        <v>10</v>
      </c>
      <c r="AD45" s="32">
        <v>5</v>
      </c>
      <c r="AE45" s="20"/>
      <c r="AF45" s="20"/>
      <c r="AG45" s="20"/>
      <c r="AH45" s="20"/>
      <c r="AI45" s="20"/>
      <c r="AJ45" s="20"/>
    </row>
    <row r="46" spans="1:36" s="55" customFormat="1" ht="24.95" customHeight="1">
      <c r="A46" s="62">
        <f t="shared" si="4"/>
        <v>37</v>
      </c>
      <c r="B46" s="24" t="s">
        <v>865</v>
      </c>
      <c r="C46" s="24">
        <f t="shared" si="1"/>
        <v>39</v>
      </c>
      <c r="D46" s="11" t="s">
        <v>866</v>
      </c>
      <c r="E46" s="26" t="s">
        <v>867</v>
      </c>
      <c r="F46" s="24" t="s">
        <v>868</v>
      </c>
      <c r="G46" s="187" t="s">
        <v>869</v>
      </c>
      <c r="H46" s="37">
        <v>31802</v>
      </c>
      <c r="I46" s="32" t="s">
        <v>870</v>
      </c>
      <c r="J46" s="32">
        <v>151404</v>
      </c>
      <c r="K46" s="86">
        <v>32281</v>
      </c>
      <c r="L46" s="32">
        <v>15923</v>
      </c>
      <c r="M46" s="37">
        <v>35458</v>
      </c>
      <c r="N46" s="96">
        <v>433.00369999999998</v>
      </c>
      <c r="O46" s="96">
        <v>433.00369999999998</v>
      </c>
      <c r="P46" s="88">
        <v>515</v>
      </c>
      <c r="Q46" s="88">
        <v>456</v>
      </c>
      <c r="R46" s="109">
        <v>14</v>
      </c>
      <c r="S46" s="37">
        <v>27664</v>
      </c>
      <c r="T46" s="37">
        <v>40561</v>
      </c>
      <c r="U46" s="32" t="s">
        <v>54</v>
      </c>
      <c r="V46" s="110" t="s">
        <v>55</v>
      </c>
      <c r="W46" s="114">
        <v>6.7839999999999998</v>
      </c>
      <c r="X46" s="114">
        <v>1.36</v>
      </c>
      <c r="Y46" s="111">
        <f t="shared" si="0"/>
        <v>8.1440000000000001</v>
      </c>
      <c r="Z46" s="32" t="s">
        <v>56</v>
      </c>
      <c r="AA46" s="41"/>
      <c r="AB46" s="20"/>
      <c r="AC46" s="32">
        <v>365</v>
      </c>
      <c r="AD46" s="32">
        <v>91</v>
      </c>
      <c r="AE46" s="20"/>
      <c r="AF46" s="20"/>
      <c r="AG46" s="20"/>
      <c r="AH46" s="20"/>
      <c r="AI46" s="20"/>
      <c r="AJ46" s="20"/>
    </row>
    <row r="47" spans="1:36" s="55" customFormat="1" ht="24.95" customHeight="1">
      <c r="A47" s="62">
        <f t="shared" si="4"/>
        <v>38</v>
      </c>
      <c r="B47" s="24" t="s">
        <v>871</v>
      </c>
      <c r="C47" s="24">
        <f t="shared" si="1"/>
        <v>40</v>
      </c>
      <c r="D47" s="11" t="s">
        <v>872</v>
      </c>
      <c r="E47" s="26" t="s">
        <v>873</v>
      </c>
      <c r="F47" s="24" t="s">
        <v>874</v>
      </c>
      <c r="G47" s="187" t="s">
        <v>875</v>
      </c>
      <c r="H47" s="37">
        <v>42823</v>
      </c>
      <c r="I47" s="32" t="s">
        <v>876</v>
      </c>
      <c r="J47" s="32" t="s">
        <v>877</v>
      </c>
      <c r="K47" s="86">
        <v>42881</v>
      </c>
      <c r="L47" s="32" t="s">
        <v>63</v>
      </c>
      <c r="M47" s="32" t="s">
        <v>63</v>
      </c>
      <c r="N47" s="96">
        <v>43.826099999999997</v>
      </c>
      <c r="O47" s="96">
        <v>43.826099999999997</v>
      </c>
      <c r="P47" s="88">
        <v>67</v>
      </c>
      <c r="Q47" s="88">
        <v>67</v>
      </c>
      <c r="R47" s="109">
        <v>3</v>
      </c>
      <c r="S47" s="113">
        <v>43770</v>
      </c>
      <c r="T47" s="113">
        <v>43770</v>
      </c>
      <c r="U47" s="32" t="s">
        <v>54</v>
      </c>
      <c r="V47" s="110" t="s">
        <v>55</v>
      </c>
      <c r="W47" s="114">
        <v>2.7913999999999999</v>
      </c>
      <c r="X47" s="114">
        <v>0.6</v>
      </c>
      <c r="Y47" s="111">
        <f t="shared" si="0"/>
        <v>3.3914</v>
      </c>
      <c r="Z47" s="32" t="s">
        <v>56</v>
      </c>
      <c r="AA47" s="41"/>
      <c r="AB47" s="20"/>
      <c r="AC47" s="32">
        <v>54</v>
      </c>
      <c r="AD47" s="32">
        <v>13</v>
      </c>
      <c r="AE47" s="20"/>
      <c r="AF47" s="20"/>
      <c r="AG47" s="20"/>
      <c r="AH47" s="20"/>
      <c r="AI47" s="20"/>
      <c r="AJ47" s="20"/>
    </row>
    <row r="48" spans="1:36" s="55" customFormat="1" ht="24.95" customHeight="1">
      <c r="A48" s="62">
        <f t="shared" si="4"/>
        <v>39</v>
      </c>
      <c r="B48" s="24" t="s">
        <v>878</v>
      </c>
      <c r="C48" s="24">
        <f t="shared" si="1"/>
        <v>41</v>
      </c>
      <c r="D48" s="11" t="s">
        <v>879</v>
      </c>
      <c r="E48" s="26" t="s">
        <v>880</v>
      </c>
      <c r="F48" s="66" t="s">
        <v>881</v>
      </c>
      <c r="G48" s="187" t="s">
        <v>882</v>
      </c>
      <c r="H48" s="32">
        <v>1982</v>
      </c>
      <c r="I48" s="32" t="s">
        <v>883</v>
      </c>
      <c r="J48" s="32">
        <v>189407</v>
      </c>
      <c r="K48" s="86">
        <v>33345</v>
      </c>
      <c r="L48" s="32">
        <v>10726</v>
      </c>
      <c r="M48" s="37">
        <v>31744</v>
      </c>
      <c r="N48" s="96">
        <v>320.51429999999999</v>
      </c>
      <c r="O48" s="96">
        <v>320.51429999999999</v>
      </c>
      <c r="P48" s="88">
        <v>106</v>
      </c>
      <c r="Q48" s="88">
        <v>106</v>
      </c>
      <c r="R48" s="109">
        <v>2</v>
      </c>
      <c r="S48" s="37">
        <v>31682</v>
      </c>
      <c r="T48" s="37">
        <v>40410</v>
      </c>
      <c r="U48" s="32" t="s">
        <v>54</v>
      </c>
      <c r="V48" s="110" t="s">
        <v>55</v>
      </c>
      <c r="W48" s="114">
        <v>2.673</v>
      </c>
      <c r="X48" s="111"/>
      <c r="Y48" s="111">
        <f t="shared" si="0"/>
        <v>2.673</v>
      </c>
      <c r="Z48" s="32" t="s">
        <v>56</v>
      </c>
      <c r="AA48" s="41"/>
      <c r="AB48" s="20"/>
      <c r="AC48" s="32">
        <v>86</v>
      </c>
      <c r="AD48" s="32">
        <v>20</v>
      </c>
      <c r="AE48" s="20"/>
      <c r="AF48" s="20"/>
      <c r="AG48" s="20"/>
      <c r="AH48" s="20"/>
      <c r="AI48" s="20"/>
      <c r="AJ48" s="20"/>
    </row>
    <row r="49" spans="1:36" s="55" customFormat="1" ht="24.95" customHeight="1">
      <c r="A49" s="62">
        <f t="shared" si="4"/>
        <v>40</v>
      </c>
      <c r="B49" s="27" t="s">
        <v>890</v>
      </c>
      <c r="C49" s="24">
        <f t="shared" si="1"/>
        <v>42</v>
      </c>
      <c r="D49" s="11" t="s">
        <v>891</v>
      </c>
      <c r="E49" s="42" t="s">
        <v>391</v>
      </c>
      <c r="F49" s="27" t="s">
        <v>892</v>
      </c>
      <c r="G49" s="190" t="s">
        <v>893</v>
      </c>
      <c r="H49" s="78">
        <v>38997</v>
      </c>
      <c r="I49" s="35" t="s">
        <v>894</v>
      </c>
      <c r="J49" s="35" t="s">
        <v>895</v>
      </c>
      <c r="K49" s="98">
        <v>39114</v>
      </c>
      <c r="L49" s="35" t="s">
        <v>63</v>
      </c>
      <c r="M49" s="35" t="s">
        <v>63</v>
      </c>
      <c r="N49" s="99">
        <v>17.172499999999999</v>
      </c>
      <c r="O49" s="99">
        <v>17.172499999999999</v>
      </c>
      <c r="P49" s="100">
        <v>28</v>
      </c>
      <c r="Q49" s="100">
        <v>28</v>
      </c>
      <c r="R49" s="125">
        <v>1</v>
      </c>
      <c r="S49" s="126" t="s">
        <v>921</v>
      </c>
      <c r="T49" s="126" t="s">
        <v>921</v>
      </c>
      <c r="U49" s="35" t="s">
        <v>54</v>
      </c>
      <c r="V49" s="127" t="s">
        <v>55</v>
      </c>
      <c r="W49" s="128"/>
      <c r="X49" s="128"/>
      <c r="Y49" s="128">
        <f t="shared" si="0"/>
        <v>0</v>
      </c>
      <c r="Z49" s="35" t="s">
        <v>98</v>
      </c>
      <c r="AA49" s="46"/>
      <c r="AB49" s="20"/>
      <c r="AC49" s="32">
        <v>29</v>
      </c>
      <c r="AD49" s="32">
        <v>7</v>
      </c>
      <c r="AE49" s="20"/>
      <c r="AF49" s="20"/>
      <c r="AG49" s="20"/>
      <c r="AH49" s="20"/>
      <c r="AI49" s="20"/>
      <c r="AJ49" s="20"/>
    </row>
    <row r="50" spans="1:36" s="55" customFormat="1" ht="24.95" customHeight="1">
      <c r="A50" s="44">
        <f>A49</f>
        <v>40</v>
      </c>
      <c r="B50" s="79"/>
      <c r="C50" s="79">
        <f>C49</f>
        <v>42</v>
      </c>
      <c r="D50" s="80"/>
      <c r="E50" s="44"/>
      <c r="F50" s="79"/>
      <c r="G50" s="47"/>
      <c r="H50" s="81"/>
      <c r="I50" s="47"/>
      <c r="J50" s="47"/>
      <c r="K50" s="101"/>
      <c r="L50" s="47"/>
      <c r="M50" s="47"/>
      <c r="N50" s="102">
        <f>SUM(N8:N49)</f>
        <v>4269.0222000000003</v>
      </c>
      <c r="O50" s="102">
        <f t="shared" ref="O50:R50" si="5">SUM(O8:O49)</f>
        <v>4172.6415999999999</v>
      </c>
      <c r="P50" s="102">
        <f t="shared" si="5"/>
        <v>5549</v>
      </c>
      <c r="Q50" s="102">
        <f t="shared" si="5"/>
        <v>4351</v>
      </c>
      <c r="R50" s="102">
        <f t="shared" si="5"/>
        <v>108</v>
      </c>
      <c r="S50" s="81"/>
      <c r="T50" s="81"/>
      <c r="U50" s="47"/>
      <c r="V50" s="129"/>
      <c r="W50" s="130">
        <f>SUM(W8:W49)</f>
        <v>88.648899999999998</v>
      </c>
      <c r="X50" s="130">
        <f>SUM(X8:X49)</f>
        <v>20.998999999999999</v>
      </c>
      <c r="Y50" s="130">
        <f>SUM(Y8:Y49)</f>
        <v>109.64790000000001</v>
      </c>
      <c r="Z50" s="140"/>
      <c r="AA50" s="141"/>
      <c r="AB50" s="38"/>
      <c r="AC50" s="33"/>
      <c r="AD50" s="33"/>
      <c r="AE50" s="38"/>
      <c r="AF50" s="38"/>
      <c r="AG50" s="38"/>
      <c r="AH50" s="38"/>
      <c r="AI50" s="38"/>
      <c r="AJ50" s="20"/>
    </row>
    <row r="51" spans="1:36" s="55" customFormat="1" ht="15" customHeight="1">
      <c r="A51" s="234" t="s">
        <v>922</v>
      </c>
      <c r="B51" s="235"/>
      <c r="C51" s="235"/>
      <c r="D51" s="235"/>
      <c r="E51" s="235"/>
      <c r="F51" s="56"/>
      <c r="G51" s="20"/>
      <c r="H51" s="20"/>
      <c r="I51" s="20"/>
      <c r="J51" s="20"/>
      <c r="K51" s="20"/>
      <c r="L51" s="20"/>
      <c r="M51" s="20"/>
      <c r="N51" s="103"/>
      <c r="O51" s="103"/>
      <c r="P51" s="104"/>
      <c r="Q51" s="104"/>
      <c r="R51" s="104"/>
      <c r="S51" s="131"/>
      <c r="T51" s="131"/>
      <c r="U51" s="20"/>
      <c r="V51" s="20"/>
      <c r="W51" s="132"/>
      <c r="X51" s="132"/>
      <c r="Y51" s="132"/>
      <c r="Z51" s="36"/>
      <c r="AA51" s="142"/>
      <c r="AB51" s="20"/>
      <c r="AC51" s="32"/>
      <c r="AD51" s="32"/>
      <c r="AE51" s="20"/>
      <c r="AF51" s="20"/>
      <c r="AG51" s="20"/>
      <c r="AH51" s="20"/>
      <c r="AI51" s="20"/>
      <c r="AJ51" s="20"/>
    </row>
    <row r="52" spans="1:36" s="55" customFormat="1" ht="44.1" customHeight="1">
      <c r="A52" s="31">
        <v>1</v>
      </c>
      <c r="B52" s="26" t="s">
        <v>65</v>
      </c>
      <c r="C52" s="34">
        <v>1</v>
      </c>
      <c r="D52" s="51" t="s">
        <v>66</v>
      </c>
      <c r="E52" s="26" t="s">
        <v>67</v>
      </c>
      <c r="F52" s="24" t="s">
        <v>68</v>
      </c>
      <c r="G52" s="187" t="s">
        <v>69</v>
      </c>
      <c r="H52" s="37">
        <v>42846</v>
      </c>
      <c r="I52" s="32" t="s">
        <v>70</v>
      </c>
      <c r="J52" s="32" t="s">
        <v>71</v>
      </c>
      <c r="K52" s="37">
        <v>42914</v>
      </c>
      <c r="L52" s="32" t="s">
        <v>63</v>
      </c>
      <c r="M52" s="32" t="s">
        <v>63</v>
      </c>
      <c r="N52" s="87">
        <v>79.5852</v>
      </c>
      <c r="O52" s="87">
        <v>79.5852</v>
      </c>
      <c r="P52" s="88">
        <v>80</v>
      </c>
      <c r="Q52" s="88">
        <v>53</v>
      </c>
      <c r="R52" s="109">
        <v>2</v>
      </c>
      <c r="S52" s="37">
        <v>2017</v>
      </c>
      <c r="T52" s="113" t="s">
        <v>923</v>
      </c>
      <c r="U52" s="32" t="s">
        <v>54</v>
      </c>
      <c r="V52" s="110" t="s">
        <v>55</v>
      </c>
      <c r="W52" s="114">
        <v>4.26</v>
      </c>
      <c r="X52" s="114">
        <v>3.19</v>
      </c>
      <c r="Y52" s="111">
        <f t="shared" ref="Y52:Y95" si="6">SUM(W52:X52)</f>
        <v>7.45</v>
      </c>
      <c r="Z52" s="32" t="s">
        <v>56</v>
      </c>
      <c r="AA52" s="41"/>
      <c r="AB52" s="20"/>
      <c r="AC52" s="32">
        <v>42</v>
      </c>
      <c r="AD52" s="32">
        <v>11</v>
      </c>
      <c r="AE52" s="20"/>
      <c r="AF52" s="20"/>
      <c r="AG52" s="20"/>
      <c r="AH52" s="20"/>
      <c r="AI52" s="20"/>
      <c r="AJ52" s="20"/>
    </row>
    <row r="53" spans="1:36" s="55" customFormat="1" ht="24.95" customHeight="1">
      <c r="A53" s="31">
        <f>A52+1</f>
        <v>2</v>
      </c>
      <c r="B53" s="25" t="s">
        <v>78</v>
      </c>
      <c r="C53" s="23">
        <v>2</v>
      </c>
      <c r="D53" s="11" t="s">
        <v>79</v>
      </c>
      <c r="E53" s="57" t="s">
        <v>80</v>
      </c>
      <c r="F53" s="57" t="s">
        <v>81</v>
      </c>
      <c r="G53" s="192" t="s">
        <v>82</v>
      </c>
      <c r="H53" s="82">
        <v>42343</v>
      </c>
      <c r="I53" s="22" t="s">
        <v>83</v>
      </c>
      <c r="J53" s="22" t="s">
        <v>84</v>
      </c>
      <c r="K53" s="82">
        <v>42443</v>
      </c>
      <c r="L53" s="32" t="s">
        <v>63</v>
      </c>
      <c r="M53" s="32" t="s">
        <v>63</v>
      </c>
      <c r="N53" s="105">
        <v>15.1472</v>
      </c>
      <c r="O53" s="105">
        <v>15.1472</v>
      </c>
      <c r="P53" s="106">
        <v>26</v>
      </c>
      <c r="Q53" s="106">
        <v>22</v>
      </c>
      <c r="R53" s="133">
        <v>1</v>
      </c>
      <c r="S53" s="22">
        <v>2016</v>
      </c>
      <c r="T53" s="134"/>
      <c r="U53" s="32" t="s">
        <v>54</v>
      </c>
      <c r="V53" s="108" t="s">
        <v>55</v>
      </c>
      <c r="W53" s="114">
        <v>1.2430000000000001</v>
      </c>
      <c r="X53" s="114">
        <v>0.53</v>
      </c>
      <c r="Y53" s="111">
        <f t="shared" si="6"/>
        <v>1.7729999999999999</v>
      </c>
      <c r="Z53" s="32" t="s">
        <v>56</v>
      </c>
      <c r="AA53" s="40"/>
      <c r="AB53" s="136"/>
      <c r="AC53" s="12">
        <v>17</v>
      </c>
      <c r="AD53" s="12">
        <v>5</v>
      </c>
      <c r="AE53" s="20"/>
      <c r="AF53" s="20"/>
      <c r="AG53" s="20"/>
      <c r="AH53" s="20"/>
      <c r="AI53" s="20"/>
      <c r="AJ53" s="20"/>
    </row>
    <row r="54" spans="1:36" s="55" customFormat="1" ht="24.95" customHeight="1">
      <c r="A54" s="31">
        <f>A53+1</f>
        <v>3</v>
      </c>
      <c r="B54" s="26" t="s">
        <v>91</v>
      </c>
      <c r="C54" s="34">
        <v>3</v>
      </c>
      <c r="D54" s="11" t="s">
        <v>92</v>
      </c>
      <c r="E54" s="26" t="s">
        <v>93</v>
      </c>
      <c r="F54" s="24" t="s">
        <v>94</v>
      </c>
      <c r="G54" s="187" t="s">
        <v>95</v>
      </c>
      <c r="H54" s="32" t="s">
        <v>96</v>
      </c>
      <c r="I54" s="32" t="s">
        <v>97</v>
      </c>
      <c r="J54" s="32">
        <v>201232665</v>
      </c>
      <c r="K54" s="37">
        <v>41190</v>
      </c>
      <c r="L54" s="32" t="s">
        <v>63</v>
      </c>
      <c r="M54" s="32" t="s">
        <v>63</v>
      </c>
      <c r="N54" s="87">
        <v>9.8834999999999997</v>
      </c>
      <c r="O54" s="87">
        <v>9.8834999999999997</v>
      </c>
      <c r="P54" s="88">
        <v>24</v>
      </c>
      <c r="Q54" s="88">
        <v>24</v>
      </c>
      <c r="R54" s="109">
        <v>1</v>
      </c>
      <c r="S54" s="37">
        <v>41136</v>
      </c>
      <c r="T54" s="37">
        <v>41136</v>
      </c>
      <c r="U54" s="32" t="s">
        <v>54</v>
      </c>
      <c r="V54" s="110" t="s">
        <v>55</v>
      </c>
      <c r="W54" s="111"/>
      <c r="X54" s="111"/>
      <c r="Y54" s="111">
        <f t="shared" si="6"/>
        <v>0</v>
      </c>
      <c r="Z54" s="32" t="s">
        <v>98</v>
      </c>
      <c r="AA54" s="41"/>
      <c r="AB54" s="20"/>
      <c r="AC54" s="32">
        <v>20</v>
      </c>
      <c r="AD54" s="32">
        <v>4</v>
      </c>
      <c r="AE54" s="20"/>
      <c r="AF54" s="20"/>
      <c r="AG54" s="20"/>
      <c r="AH54" s="20"/>
      <c r="AI54" s="20"/>
      <c r="AJ54" s="20"/>
    </row>
    <row r="55" spans="1:36" s="55" customFormat="1" ht="24.95" customHeight="1">
      <c r="A55" s="31">
        <f t="shared" ref="A55:A95" si="7">A54+1</f>
        <v>4</v>
      </c>
      <c r="B55" s="26" t="s">
        <v>99</v>
      </c>
      <c r="C55" s="23">
        <v>4</v>
      </c>
      <c r="D55" s="11" t="s">
        <v>100</v>
      </c>
      <c r="E55" s="26" t="s">
        <v>101</v>
      </c>
      <c r="F55" s="24" t="s">
        <v>102</v>
      </c>
      <c r="G55" s="187" t="s">
        <v>103</v>
      </c>
      <c r="H55" s="32">
        <v>2013</v>
      </c>
      <c r="I55" s="32" t="s">
        <v>104</v>
      </c>
      <c r="J55" s="32" t="s">
        <v>105</v>
      </c>
      <c r="K55" s="37">
        <v>41435</v>
      </c>
      <c r="L55" s="32" t="s">
        <v>63</v>
      </c>
      <c r="M55" s="32" t="s">
        <v>63</v>
      </c>
      <c r="N55" s="87">
        <v>22.872800000000002</v>
      </c>
      <c r="O55" s="87">
        <v>22.872800000000002</v>
      </c>
      <c r="P55" s="88">
        <v>54</v>
      </c>
      <c r="Q55" s="88">
        <v>10</v>
      </c>
      <c r="R55" s="109">
        <v>1</v>
      </c>
      <c r="S55" s="45" t="s">
        <v>106</v>
      </c>
      <c r="T55" s="113" t="s">
        <v>924</v>
      </c>
      <c r="U55" s="32" t="s">
        <v>54</v>
      </c>
      <c r="V55" s="110" t="s">
        <v>55</v>
      </c>
      <c r="W55" s="114">
        <v>2.9870000000000001</v>
      </c>
      <c r="X55" s="111"/>
      <c r="Y55" s="111">
        <f t="shared" si="6"/>
        <v>2.9870000000000001</v>
      </c>
      <c r="Z55" s="32" t="s">
        <v>56</v>
      </c>
      <c r="AA55" s="41"/>
      <c r="AB55" s="20"/>
      <c r="AC55" s="32">
        <v>8</v>
      </c>
      <c r="AD55" s="32">
        <v>2</v>
      </c>
      <c r="AE55" s="20"/>
      <c r="AF55" s="20"/>
      <c r="AG55" s="20"/>
      <c r="AH55" s="20"/>
      <c r="AI55" s="20"/>
      <c r="AJ55" s="20"/>
    </row>
    <row r="56" spans="1:36" s="55" customFormat="1" ht="24.95" customHeight="1">
      <c r="A56" s="31">
        <f t="shared" si="7"/>
        <v>5</v>
      </c>
      <c r="B56" s="26" t="s">
        <v>114</v>
      </c>
      <c r="C56" s="34">
        <v>5</v>
      </c>
      <c r="D56" s="11" t="s">
        <v>115</v>
      </c>
      <c r="E56" s="26" t="s">
        <v>116</v>
      </c>
      <c r="F56" s="68" t="s">
        <v>925</v>
      </c>
      <c r="G56" s="187" t="s">
        <v>117</v>
      </c>
      <c r="H56" s="32">
        <v>1991</v>
      </c>
      <c r="I56" s="187" t="s">
        <v>118</v>
      </c>
      <c r="J56" s="32">
        <v>191610</v>
      </c>
      <c r="K56" s="37">
        <v>33394</v>
      </c>
      <c r="L56" s="32" t="s">
        <v>119</v>
      </c>
      <c r="M56" s="37">
        <v>34299</v>
      </c>
      <c r="N56" s="87">
        <v>58.010800000000003</v>
      </c>
      <c r="O56" s="87">
        <v>58.010800000000003</v>
      </c>
      <c r="P56" s="88">
        <v>88</v>
      </c>
      <c r="Q56" s="88">
        <v>58</v>
      </c>
      <c r="R56" s="109">
        <v>4</v>
      </c>
      <c r="S56" s="37">
        <v>33812</v>
      </c>
      <c r="T56" s="37">
        <v>43248</v>
      </c>
      <c r="U56" s="32" t="s">
        <v>54</v>
      </c>
      <c r="V56" s="110" t="s">
        <v>55</v>
      </c>
      <c r="W56" s="114">
        <v>3.25</v>
      </c>
      <c r="X56" s="111"/>
      <c r="Y56" s="111">
        <f t="shared" si="6"/>
        <v>3.25</v>
      </c>
      <c r="Z56" s="32" t="s">
        <v>56</v>
      </c>
      <c r="AA56" s="41"/>
      <c r="AB56" s="20"/>
      <c r="AC56" s="32">
        <v>47</v>
      </c>
      <c r="AD56" s="32">
        <v>38</v>
      </c>
      <c r="AE56" s="20"/>
      <c r="AF56" s="20"/>
      <c r="AG56" s="20"/>
      <c r="AH56" s="20"/>
      <c r="AI56" s="20"/>
      <c r="AJ56" s="20"/>
    </row>
    <row r="57" spans="1:36" s="55" customFormat="1" ht="24.95" customHeight="1">
      <c r="A57" s="31">
        <f t="shared" si="7"/>
        <v>6</v>
      </c>
      <c r="B57" s="26" t="s">
        <v>120</v>
      </c>
      <c r="C57" s="23">
        <v>6</v>
      </c>
      <c r="D57" s="11" t="s">
        <v>121</v>
      </c>
      <c r="E57" s="26" t="s">
        <v>122</v>
      </c>
      <c r="F57" s="24" t="s">
        <v>123</v>
      </c>
      <c r="G57" s="187" t="s">
        <v>124</v>
      </c>
      <c r="H57" s="37">
        <v>43427</v>
      </c>
      <c r="I57" s="187" t="s">
        <v>125</v>
      </c>
      <c r="J57" s="32" t="s">
        <v>126</v>
      </c>
      <c r="K57" s="37">
        <v>43672</v>
      </c>
      <c r="L57" s="32"/>
      <c r="M57" s="37"/>
      <c r="N57" s="87">
        <v>10.3421</v>
      </c>
      <c r="O57" s="87">
        <v>10.3421</v>
      </c>
      <c r="P57" s="88">
        <v>22</v>
      </c>
      <c r="Q57" s="88">
        <v>22</v>
      </c>
      <c r="R57" s="109">
        <v>1</v>
      </c>
      <c r="S57" s="113" t="s">
        <v>926</v>
      </c>
      <c r="T57" s="118"/>
      <c r="U57" s="32" t="s">
        <v>54</v>
      </c>
      <c r="V57" s="110" t="s">
        <v>55</v>
      </c>
      <c r="W57" s="114"/>
      <c r="X57" s="114"/>
      <c r="Y57" s="111">
        <f t="shared" si="6"/>
        <v>0</v>
      </c>
      <c r="Z57" s="32" t="s">
        <v>56</v>
      </c>
      <c r="AA57" s="41"/>
      <c r="AB57" s="20"/>
      <c r="AC57" s="32">
        <v>40</v>
      </c>
      <c r="AD57" s="32">
        <v>10</v>
      </c>
      <c r="AE57" s="20"/>
      <c r="AF57" s="20"/>
      <c r="AG57" s="20"/>
      <c r="AH57" s="20"/>
      <c r="AI57" s="20"/>
      <c r="AJ57" s="20"/>
    </row>
    <row r="58" spans="1:36" s="55" customFormat="1" ht="24.95" customHeight="1">
      <c r="A58" s="31">
        <f t="shared" si="7"/>
        <v>7</v>
      </c>
      <c r="B58" s="26" t="s">
        <v>127</v>
      </c>
      <c r="C58" s="34">
        <v>7</v>
      </c>
      <c r="D58" s="11" t="s">
        <v>128</v>
      </c>
      <c r="E58" s="26" t="s">
        <v>129</v>
      </c>
      <c r="F58" s="24" t="s">
        <v>130</v>
      </c>
      <c r="G58" s="187" t="s">
        <v>131</v>
      </c>
      <c r="H58" s="32">
        <v>1999</v>
      </c>
      <c r="I58" s="187" t="s">
        <v>132</v>
      </c>
      <c r="J58" s="32">
        <v>200000345</v>
      </c>
      <c r="K58" s="37">
        <v>36837</v>
      </c>
      <c r="L58" s="32">
        <v>7830</v>
      </c>
      <c r="M58" s="32">
        <v>2000</v>
      </c>
      <c r="N58" s="87">
        <v>14.706799999999999</v>
      </c>
      <c r="O58" s="87">
        <v>14.706799999999999</v>
      </c>
      <c r="P58" s="88">
        <v>51</v>
      </c>
      <c r="Q58" s="88">
        <v>42</v>
      </c>
      <c r="R58" s="109">
        <v>1</v>
      </c>
      <c r="S58" s="37">
        <v>38034</v>
      </c>
      <c r="T58" s="37">
        <v>40622</v>
      </c>
      <c r="U58" s="32" t="s">
        <v>54</v>
      </c>
      <c r="V58" s="110" t="s">
        <v>55</v>
      </c>
      <c r="W58" s="111"/>
      <c r="X58" s="111"/>
      <c r="Y58" s="111">
        <f t="shared" si="6"/>
        <v>0</v>
      </c>
      <c r="Z58" s="32" t="s">
        <v>98</v>
      </c>
      <c r="AA58" s="41"/>
      <c r="AB58" s="20"/>
      <c r="AC58" s="32">
        <v>34</v>
      </c>
      <c r="AD58" s="32">
        <v>8</v>
      </c>
      <c r="AE58" s="20"/>
      <c r="AF58" s="20"/>
      <c r="AG58" s="20"/>
      <c r="AH58" s="20"/>
      <c r="AI58" s="20"/>
      <c r="AJ58" s="20"/>
    </row>
    <row r="59" spans="1:36" s="55" customFormat="1" ht="24.95" customHeight="1">
      <c r="A59" s="31">
        <f t="shared" si="7"/>
        <v>8</v>
      </c>
      <c r="B59" s="26" t="s">
        <v>191</v>
      </c>
      <c r="C59" s="23">
        <v>8</v>
      </c>
      <c r="D59" s="11" t="s">
        <v>192</v>
      </c>
      <c r="E59" s="26" t="s">
        <v>193</v>
      </c>
      <c r="F59" s="24" t="s">
        <v>194</v>
      </c>
      <c r="G59" s="32" t="s">
        <v>69</v>
      </c>
      <c r="H59" s="37">
        <v>42804</v>
      </c>
      <c r="I59" s="32" t="s">
        <v>195</v>
      </c>
      <c r="J59" s="32">
        <v>201718750</v>
      </c>
      <c r="K59" s="37">
        <v>42940</v>
      </c>
      <c r="L59" s="32" t="s">
        <v>63</v>
      </c>
      <c r="M59" s="32" t="s">
        <v>63</v>
      </c>
      <c r="N59" s="87">
        <v>4.0049999999999999</v>
      </c>
      <c r="O59" s="87">
        <v>4.0049999999999999</v>
      </c>
      <c r="P59" s="88">
        <v>20</v>
      </c>
      <c r="Q59" s="88">
        <v>16</v>
      </c>
      <c r="R59" s="109">
        <v>1</v>
      </c>
      <c r="S59" s="37">
        <v>43468</v>
      </c>
      <c r="T59" s="113" t="s">
        <v>927</v>
      </c>
      <c r="U59" s="32" t="s">
        <v>54</v>
      </c>
      <c r="V59" s="110" t="s">
        <v>55</v>
      </c>
      <c r="W59" s="111"/>
      <c r="X59" s="111"/>
      <c r="Y59" s="111">
        <f t="shared" si="6"/>
        <v>0</v>
      </c>
      <c r="Z59" s="32" t="s">
        <v>98</v>
      </c>
      <c r="AA59" s="41"/>
      <c r="AB59" s="20"/>
      <c r="AC59" s="32">
        <v>10</v>
      </c>
      <c r="AD59" s="32">
        <v>7</v>
      </c>
      <c r="AE59" s="20"/>
      <c r="AF59" s="20"/>
      <c r="AG59" s="20"/>
      <c r="AH59" s="20"/>
      <c r="AI59" s="20"/>
      <c r="AJ59" s="20"/>
    </row>
    <row r="60" spans="1:36" s="55" customFormat="1" ht="24.95" customHeight="1">
      <c r="A60" s="31">
        <f t="shared" si="7"/>
        <v>9</v>
      </c>
      <c r="B60" s="26" t="s">
        <v>224</v>
      </c>
      <c r="C60" s="34">
        <v>9</v>
      </c>
      <c r="D60" s="11" t="s">
        <v>225</v>
      </c>
      <c r="E60" s="26" t="s">
        <v>226</v>
      </c>
      <c r="F60" s="24" t="s">
        <v>227</v>
      </c>
      <c r="G60" s="187" t="s">
        <v>228</v>
      </c>
      <c r="H60" s="32">
        <v>1986</v>
      </c>
      <c r="I60" s="32" t="s">
        <v>229</v>
      </c>
      <c r="J60" s="32">
        <v>152631</v>
      </c>
      <c r="K60" s="37">
        <v>32321</v>
      </c>
      <c r="L60" s="32">
        <v>11288</v>
      </c>
      <c r="M60" s="37">
        <v>32412</v>
      </c>
      <c r="N60" s="87">
        <v>49.2149</v>
      </c>
      <c r="O60" s="87">
        <v>49.2149</v>
      </c>
      <c r="P60" s="88">
        <v>88</v>
      </c>
      <c r="Q60" s="88">
        <v>88</v>
      </c>
      <c r="R60" s="109">
        <v>4</v>
      </c>
      <c r="S60" s="37">
        <v>29402</v>
      </c>
      <c r="T60" s="37">
        <v>43437</v>
      </c>
      <c r="U60" s="32" t="s">
        <v>54</v>
      </c>
      <c r="V60" s="110" t="s">
        <v>55</v>
      </c>
      <c r="W60" s="114">
        <v>2.7210000000000001</v>
      </c>
      <c r="X60" s="111"/>
      <c r="Y60" s="111">
        <f t="shared" si="6"/>
        <v>2.7210000000000001</v>
      </c>
      <c r="Z60" s="32" t="s">
        <v>56</v>
      </c>
      <c r="AA60" s="41"/>
      <c r="AB60" s="20"/>
      <c r="AC60" s="32">
        <v>70</v>
      </c>
      <c r="AD60" s="32">
        <v>18</v>
      </c>
      <c r="AE60" s="20"/>
      <c r="AF60" s="20"/>
      <c r="AG60" s="20"/>
      <c r="AH60" s="20"/>
      <c r="AI60" s="20"/>
      <c r="AJ60" s="20"/>
    </row>
    <row r="61" spans="1:36" s="55" customFormat="1" ht="24.95" customHeight="1">
      <c r="A61" s="31">
        <f t="shared" si="7"/>
        <v>10</v>
      </c>
      <c r="B61" s="26" t="s">
        <v>230</v>
      </c>
      <c r="C61" s="23">
        <v>10</v>
      </c>
      <c r="D61" s="11" t="s">
        <v>231</v>
      </c>
      <c r="E61" s="26" t="s">
        <v>226</v>
      </c>
      <c r="F61" s="24" t="s">
        <v>232</v>
      </c>
      <c r="G61" s="187" t="s">
        <v>233</v>
      </c>
      <c r="H61" s="37">
        <v>40613</v>
      </c>
      <c r="I61" s="32" t="s">
        <v>234</v>
      </c>
      <c r="J61" s="32">
        <v>201133332</v>
      </c>
      <c r="K61" s="37">
        <v>40875</v>
      </c>
      <c r="L61" s="32" t="s">
        <v>63</v>
      </c>
      <c r="M61" s="32" t="s">
        <v>63</v>
      </c>
      <c r="N61" s="87">
        <v>30.599499999999999</v>
      </c>
      <c r="O61" s="87">
        <v>30.599499999999999</v>
      </c>
      <c r="P61" s="88">
        <v>71</v>
      </c>
      <c r="Q61" s="88">
        <v>65</v>
      </c>
      <c r="R61" s="109">
        <v>3</v>
      </c>
      <c r="S61" s="37">
        <v>41593</v>
      </c>
      <c r="T61" s="113" t="s">
        <v>928</v>
      </c>
      <c r="U61" s="32" t="s">
        <v>54</v>
      </c>
      <c r="V61" s="110" t="s">
        <v>55</v>
      </c>
      <c r="W61" s="114">
        <v>3.74</v>
      </c>
      <c r="X61" s="114">
        <v>0.91</v>
      </c>
      <c r="Y61" s="111">
        <f t="shared" si="6"/>
        <v>4.6500000000000004</v>
      </c>
      <c r="Z61" s="32" t="s">
        <v>56</v>
      </c>
      <c r="AA61" s="41"/>
      <c r="AB61" s="20"/>
      <c r="AC61" s="32">
        <v>52</v>
      </c>
      <c r="AD61" s="32">
        <v>13</v>
      </c>
      <c r="AE61" s="20"/>
      <c r="AF61" s="20"/>
      <c r="AG61" s="20"/>
      <c r="AH61" s="20"/>
      <c r="AI61" s="20"/>
      <c r="AJ61" s="20"/>
    </row>
    <row r="62" spans="1:36" s="55" customFormat="1" ht="24.95" customHeight="1">
      <c r="A62" s="31">
        <f t="shared" si="7"/>
        <v>11</v>
      </c>
      <c r="B62" s="26" t="s">
        <v>246</v>
      </c>
      <c r="C62" s="34">
        <v>11</v>
      </c>
      <c r="D62" s="11" t="s">
        <v>247</v>
      </c>
      <c r="E62" s="26" t="s">
        <v>248</v>
      </c>
      <c r="F62" s="24" t="s">
        <v>249</v>
      </c>
      <c r="G62" s="187" t="s">
        <v>250</v>
      </c>
      <c r="H62" s="37">
        <v>42789</v>
      </c>
      <c r="I62" s="32" t="s">
        <v>251</v>
      </c>
      <c r="J62" s="32" t="s">
        <v>252</v>
      </c>
      <c r="K62" s="37">
        <v>42870</v>
      </c>
      <c r="L62" s="32" t="s">
        <v>63</v>
      </c>
      <c r="M62" s="32" t="s">
        <v>63</v>
      </c>
      <c r="N62" s="87">
        <v>15.9473</v>
      </c>
      <c r="O62" s="87">
        <v>15.9473</v>
      </c>
      <c r="P62" s="88">
        <v>35</v>
      </c>
      <c r="Q62" s="88">
        <v>35</v>
      </c>
      <c r="R62" s="109">
        <v>2</v>
      </c>
      <c r="S62" s="186" t="s">
        <v>253</v>
      </c>
      <c r="T62" s="113"/>
      <c r="U62" s="32" t="s">
        <v>54</v>
      </c>
      <c r="V62" s="110" t="s">
        <v>55</v>
      </c>
      <c r="W62" s="114">
        <v>1.016</v>
      </c>
      <c r="X62" s="114">
        <v>0.52</v>
      </c>
      <c r="Y62" s="111">
        <f t="shared" si="6"/>
        <v>1.536</v>
      </c>
      <c r="Z62" s="32" t="s">
        <v>56</v>
      </c>
      <c r="AA62" s="41"/>
      <c r="AB62" s="20"/>
      <c r="AC62" s="32">
        <v>28</v>
      </c>
      <c r="AD62" s="32">
        <v>7</v>
      </c>
      <c r="AE62" s="20"/>
      <c r="AF62" s="20"/>
      <c r="AG62" s="20"/>
      <c r="AH62" s="20"/>
      <c r="AI62" s="20"/>
      <c r="AJ62" s="20"/>
    </row>
    <row r="63" spans="1:36" s="55" customFormat="1" ht="24.95" customHeight="1">
      <c r="A63" s="31">
        <f t="shared" si="7"/>
        <v>12</v>
      </c>
      <c r="B63" s="49" t="s">
        <v>270</v>
      </c>
      <c r="C63" s="23">
        <v>12</v>
      </c>
      <c r="D63" s="11" t="s">
        <v>271</v>
      </c>
      <c r="E63" s="26" t="s">
        <v>272</v>
      </c>
      <c r="F63" s="24" t="s">
        <v>273</v>
      </c>
      <c r="G63" s="187" t="s">
        <v>274</v>
      </c>
      <c r="H63" s="186" t="s">
        <v>275</v>
      </c>
      <c r="I63" s="32" t="s">
        <v>276</v>
      </c>
      <c r="J63" s="32" t="s">
        <v>277</v>
      </c>
      <c r="K63" s="186" t="s">
        <v>278</v>
      </c>
      <c r="L63" s="32" t="s">
        <v>63</v>
      </c>
      <c r="M63" s="32" t="s">
        <v>63</v>
      </c>
      <c r="N63" s="87">
        <v>24.993200000000002</v>
      </c>
      <c r="O63" s="87">
        <v>24.993200000000002</v>
      </c>
      <c r="P63" s="88">
        <v>92</v>
      </c>
      <c r="Q63" s="88">
        <v>86</v>
      </c>
      <c r="R63" s="109">
        <v>2</v>
      </c>
      <c r="S63" s="37">
        <v>44988</v>
      </c>
      <c r="T63" s="113">
        <v>44988</v>
      </c>
      <c r="U63" s="32" t="s">
        <v>54</v>
      </c>
      <c r="V63" s="110" t="s">
        <v>55</v>
      </c>
      <c r="W63" s="114"/>
      <c r="X63" s="114"/>
      <c r="Y63" s="111">
        <f t="shared" si="6"/>
        <v>0</v>
      </c>
      <c r="Z63" s="32"/>
      <c r="AA63" s="41"/>
      <c r="AB63" s="20"/>
      <c r="AC63" s="32">
        <v>77</v>
      </c>
      <c r="AD63" s="32">
        <v>19</v>
      </c>
      <c r="AE63" s="20"/>
      <c r="AF63" s="20"/>
      <c r="AG63" s="20"/>
      <c r="AH63" s="20"/>
      <c r="AI63" s="20"/>
      <c r="AJ63" s="20"/>
    </row>
    <row r="64" spans="1:36" s="55" customFormat="1" ht="24.95" customHeight="1">
      <c r="A64" s="31">
        <f t="shared" si="7"/>
        <v>13</v>
      </c>
      <c r="B64" s="26" t="s">
        <v>307</v>
      </c>
      <c r="C64" s="34">
        <v>13</v>
      </c>
      <c r="D64" s="11" t="s">
        <v>308</v>
      </c>
      <c r="E64" s="26" t="s">
        <v>309</v>
      </c>
      <c r="F64" s="24" t="s">
        <v>310</v>
      </c>
      <c r="G64" s="187" t="s">
        <v>311</v>
      </c>
      <c r="H64" s="32">
        <v>2013</v>
      </c>
      <c r="I64" s="32" t="s">
        <v>312</v>
      </c>
      <c r="J64" s="32" t="s">
        <v>313</v>
      </c>
      <c r="K64" s="37">
        <v>41403</v>
      </c>
      <c r="L64" s="32" t="s">
        <v>63</v>
      </c>
      <c r="M64" s="32" t="s">
        <v>63</v>
      </c>
      <c r="N64" s="87">
        <v>22.449200000000001</v>
      </c>
      <c r="O64" s="87">
        <v>22.449200000000001</v>
      </c>
      <c r="P64" s="88">
        <v>70</v>
      </c>
      <c r="Q64" s="88">
        <v>25</v>
      </c>
      <c r="R64" s="109">
        <v>1</v>
      </c>
      <c r="S64" s="37">
        <v>42242</v>
      </c>
      <c r="T64" s="113"/>
      <c r="U64" s="32" t="s">
        <v>54</v>
      </c>
      <c r="V64" s="110" t="s">
        <v>55</v>
      </c>
      <c r="W64" s="111"/>
      <c r="X64" s="111"/>
      <c r="Y64" s="111">
        <f t="shared" si="6"/>
        <v>0</v>
      </c>
      <c r="Z64" s="32" t="s">
        <v>98</v>
      </c>
      <c r="AA64" s="41"/>
      <c r="AB64" s="20"/>
      <c r="AC64" s="32">
        <v>40</v>
      </c>
      <c r="AD64" s="32">
        <v>10</v>
      </c>
      <c r="AE64" s="20"/>
      <c r="AF64" s="20"/>
      <c r="AG64" s="20"/>
      <c r="AH64" s="20"/>
      <c r="AI64" s="20"/>
      <c r="AJ64" s="20"/>
    </row>
    <row r="65" spans="1:36" s="55" customFormat="1" ht="24.95" customHeight="1">
      <c r="A65" s="31">
        <f t="shared" si="7"/>
        <v>14</v>
      </c>
      <c r="B65" s="26" t="s">
        <v>327</v>
      </c>
      <c r="C65" s="23">
        <v>14</v>
      </c>
      <c r="D65" s="11" t="s">
        <v>328</v>
      </c>
      <c r="E65" s="26" t="s">
        <v>329</v>
      </c>
      <c r="F65" s="24" t="s">
        <v>330</v>
      </c>
      <c r="G65" s="187" t="s">
        <v>331</v>
      </c>
      <c r="H65" s="32">
        <v>2009</v>
      </c>
      <c r="I65" s="32" t="s">
        <v>332</v>
      </c>
      <c r="J65" s="32">
        <v>20093168</v>
      </c>
      <c r="K65" s="37">
        <v>40116</v>
      </c>
      <c r="L65" s="32" t="s">
        <v>63</v>
      </c>
      <c r="M65" s="32" t="s">
        <v>63</v>
      </c>
      <c r="N65" s="87">
        <v>39.776200000000003</v>
      </c>
      <c r="O65" s="87">
        <v>39.776200000000003</v>
      </c>
      <c r="P65" s="88">
        <v>72</v>
      </c>
      <c r="Q65" s="88">
        <v>58</v>
      </c>
      <c r="R65" s="109">
        <v>2</v>
      </c>
      <c r="S65" s="37">
        <v>40275</v>
      </c>
      <c r="T65" s="37">
        <v>40688</v>
      </c>
      <c r="U65" s="32" t="s">
        <v>54</v>
      </c>
      <c r="V65" s="110" t="s">
        <v>55</v>
      </c>
      <c r="W65" s="111"/>
      <c r="X65" s="111"/>
      <c r="Y65" s="111">
        <f t="shared" si="6"/>
        <v>0</v>
      </c>
      <c r="Z65" s="32" t="s">
        <v>98</v>
      </c>
      <c r="AA65" s="41"/>
      <c r="AB65" s="20"/>
      <c r="AC65" s="32">
        <v>46</v>
      </c>
      <c r="AD65" s="32">
        <v>12</v>
      </c>
      <c r="AE65" s="20"/>
      <c r="AF65" s="20"/>
      <c r="AG65" s="20"/>
      <c r="AH65" s="20"/>
      <c r="AI65" s="20"/>
      <c r="AJ65" s="20"/>
    </row>
    <row r="66" spans="1:36" s="55" customFormat="1" ht="24.95" customHeight="1">
      <c r="A66" s="31">
        <f t="shared" si="7"/>
        <v>15</v>
      </c>
      <c r="B66" s="42" t="s">
        <v>339</v>
      </c>
      <c r="C66" s="34">
        <v>15</v>
      </c>
      <c r="D66" s="11" t="s">
        <v>340</v>
      </c>
      <c r="E66" s="42" t="s">
        <v>341</v>
      </c>
      <c r="F66" s="27" t="s">
        <v>342</v>
      </c>
      <c r="G66" s="187" t="s">
        <v>343</v>
      </c>
      <c r="H66" s="78">
        <v>42231</v>
      </c>
      <c r="I66" s="35" t="s">
        <v>344</v>
      </c>
      <c r="J66" s="35" t="s">
        <v>345</v>
      </c>
      <c r="K66" s="78">
        <v>42542</v>
      </c>
      <c r="L66" s="32" t="s">
        <v>63</v>
      </c>
      <c r="M66" s="32" t="s">
        <v>63</v>
      </c>
      <c r="N66" s="99">
        <v>18.628499999999999</v>
      </c>
      <c r="O66" s="99">
        <v>18.628499999999999</v>
      </c>
      <c r="P66" s="100">
        <v>30</v>
      </c>
      <c r="Q66" s="100">
        <v>25</v>
      </c>
      <c r="R66" s="125">
        <v>1</v>
      </c>
      <c r="S66" s="78">
        <v>42901</v>
      </c>
      <c r="T66" s="78">
        <v>42901</v>
      </c>
      <c r="U66" s="32" t="s">
        <v>54</v>
      </c>
      <c r="V66" s="110" t="s">
        <v>55</v>
      </c>
      <c r="W66" s="114">
        <v>1.3895</v>
      </c>
      <c r="X66" s="114">
        <v>0.52</v>
      </c>
      <c r="Y66" s="111">
        <f t="shared" si="6"/>
        <v>1.9095</v>
      </c>
      <c r="Z66" s="32" t="s">
        <v>56</v>
      </c>
      <c r="AA66" s="41"/>
      <c r="AB66" s="20"/>
      <c r="AC66" s="32">
        <v>20</v>
      </c>
      <c r="AD66" s="32">
        <v>10</v>
      </c>
      <c r="AE66" s="20"/>
      <c r="AF66" s="20"/>
      <c r="AG66" s="20"/>
      <c r="AH66" s="20"/>
      <c r="AI66" s="20"/>
      <c r="AJ66" s="20"/>
    </row>
    <row r="67" spans="1:36" s="55" customFormat="1" ht="24.95" customHeight="1">
      <c r="A67" s="31">
        <f t="shared" si="7"/>
        <v>16</v>
      </c>
      <c r="B67" s="42" t="s">
        <v>373</v>
      </c>
      <c r="C67" s="23">
        <v>16</v>
      </c>
      <c r="D67" s="25" t="s">
        <v>374</v>
      </c>
      <c r="E67" s="42" t="s">
        <v>375</v>
      </c>
      <c r="F67" s="27" t="s">
        <v>376</v>
      </c>
      <c r="G67" s="187" t="s">
        <v>377</v>
      </c>
      <c r="H67" s="35">
        <v>1990</v>
      </c>
      <c r="I67" s="35" t="s">
        <v>199</v>
      </c>
      <c r="J67" s="35">
        <v>185209</v>
      </c>
      <c r="K67" s="78">
        <v>33205</v>
      </c>
      <c r="L67" s="32" t="s">
        <v>63</v>
      </c>
      <c r="M67" s="32" t="s">
        <v>63</v>
      </c>
      <c r="N67" s="99">
        <v>40.816200000000002</v>
      </c>
      <c r="O67" s="99">
        <v>35.221899999999998</v>
      </c>
      <c r="P67" s="100">
        <v>37</v>
      </c>
      <c r="Q67" s="100">
        <v>37</v>
      </c>
      <c r="R67" s="125">
        <v>1</v>
      </c>
      <c r="S67" s="126" t="s">
        <v>929</v>
      </c>
      <c r="T67" s="150" t="s">
        <v>929</v>
      </c>
      <c r="U67" s="32" t="s">
        <v>54</v>
      </c>
      <c r="V67" s="110" t="s">
        <v>55</v>
      </c>
      <c r="W67" s="112"/>
      <c r="X67" s="112"/>
      <c r="Y67" s="111">
        <f t="shared" si="6"/>
        <v>0</v>
      </c>
      <c r="Z67" s="32" t="s">
        <v>98</v>
      </c>
      <c r="AA67" s="41"/>
      <c r="AB67" s="20"/>
      <c r="AC67" s="32">
        <v>54</v>
      </c>
      <c r="AD67" s="32">
        <v>13</v>
      </c>
      <c r="AE67" s="20"/>
      <c r="AF67" s="20"/>
      <c r="AG67" s="20"/>
      <c r="AH67" s="20"/>
      <c r="AI67" s="20"/>
      <c r="AJ67" s="20"/>
    </row>
    <row r="68" spans="1:36" s="55" customFormat="1" ht="24.95" customHeight="1">
      <c r="A68" s="31">
        <f t="shared" si="7"/>
        <v>17</v>
      </c>
      <c r="B68" s="26" t="s">
        <v>378</v>
      </c>
      <c r="C68" s="34">
        <v>17</v>
      </c>
      <c r="D68" s="11" t="s">
        <v>379</v>
      </c>
      <c r="E68" s="26" t="s">
        <v>380</v>
      </c>
      <c r="F68" s="24" t="s">
        <v>381</v>
      </c>
      <c r="G68" s="187" t="s">
        <v>382</v>
      </c>
      <c r="H68" s="32">
        <v>2009</v>
      </c>
      <c r="I68" s="32" t="s">
        <v>383</v>
      </c>
      <c r="J68" s="32">
        <v>200930487</v>
      </c>
      <c r="K68" s="37">
        <v>40078</v>
      </c>
      <c r="L68" s="32" t="s">
        <v>63</v>
      </c>
      <c r="M68" s="32" t="s">
        <v>63</v>
      </c>
      <c r="N68" s="87">
        <v>12.4582</v>
      </c>
      <c r="O68" s="87">
        <v>12.4582</v>
      </c>
      <c r="P68" s="88">
        <v>45</v>
      </c>
      <c r="Q68" s="88">
        <v>42</v>
      </c>
      <c r="R68" s="109">
        <v>2</v>
      </c>
      <c r="S68" s="37">
        <v>40309</v>
      </c>
      <c r="T68" s="37">
        <v>40309</v>
      </c>
      <c r="U68" s="32" t="s">
        <v>54</v>
      </c>
      <c r="V68" s="110" t="s">
        <v>55</v>
      </c>
      <c r="W68" s="114">
        <v>0.54</v>
      </c>
      <c r="X68" s="114">
        <v>1.3520000000000001</v>
      </c>
      <c r="Y68" s="111">
        <f t="shared" si="6"/>
        <v>1.8919999999999999</v>
      </c>
      <c r="Z68" s="32" t="s">
        <v>56</v>
      </c>
      <c r="AA68" s="41"/>
      <c r="AB68" s="20"/>
      <c r="AC68" s="32">
        <v>33</v>
      </c>
      <c r="AD68" s="32">
        <v>9</v>
      </c>
      <c r="AE68" s="20"/>
      <c r="AF68" s="20"/>
      <c r="AG68" s="20"/>
      <c r="AH68" s="20"/>
      <c r="AI68" s="20"/>
      <c r="AJ68" s="20"/>
    </row>
    <row r="69" spans="1:36" s="55" customFormat="1" ht="24.95" customHeight="1">
      <c r="A69" s="31">
        <f t="shared" si="7"/>
        <v>18</v>
      </c>
      <c r="B69" s="26" t="s">
        <v>415</v>
      </c>
      <c r="C69" s="23">
        <v>18</v>
      </c>
      <c r="D69" s="11" t="s">
        <v>416</v>
      </c>
      <c r="E69" s="26" t="s">
        <v>417</v>
      </c>
      <c r="F69" s="24" t="s">
        <v>418</v>
      </c>
      <c r="G69" s="187" t="s">
        <v>419</v>
      </c>
      <c r="H69" s="37">
        <v>41692</v>
      </c>
      <c r="I69" s="32" t="s">
        <v>420</v>
      </c>
      <c r="J69" s="32">
        <v>201428591</v>
      </c>
      <c r="K69" s="37">
        <v>41694</v>
      </c>
      <c r="L69" s="32" t="s">
        <v>63</v>
      </c>
      <c r="M69" s="32" t="s">
        <v>63</v>
      </c>
      <c r="N69" s="87">
        <v>109.5732</v>
      </c>
      <c r="O69" s="87">
        <v>109.5732</v>
      </c>
      <c r="P69" s="88">
        <v>120</v>
      </c>
      <c r="Q69" s="88">
        <v>106</v>
      </c>
      <c r="R69" s="109">
        <v>2</v>
      </c>
      <c r="S69" s="113" t="s">
        <v>930</v>
      </c>
      <c r="T69" s="113"/>
      <c r="U69" s="32" t="s">
        <v>54</v>
      </c>
      <c r="V69" s="110" t="s">
        <v>55</v>
      </c>
      <c r="W69" s="111">
        <v>6.5149999999999997</v>
      </c>
      <c r="X69" s="111">
        <v>0.69299999999999995</v>
      </c>
      <c r="Y69" s="111">
        <f t="shared" si="6"/>
        <v>7.2080000000000002</v>
      </c>
      <c r="Z69" s="32" t="s">
        <v>56</v>
      </c>
      <c r="AA69" s="41"/>
      <c r="AB69" s="20"/>
      <c r="AC69" s="32">
        <v>85</v>
      </c>
      <c r="AD69" s="32">
        <v>21</v>
      </c>
      <c r="AE69" s="20"/>
      <c r="AF69" s="20"/>
      <c r="AG69" s="20"/>
      <c r="AH69" s="20"/>
      <c r="AI69" s="20"/>
      <c r="AJ69" s="20"/>
    </row>
    <row r="70" spans="1:36" s="55" customFormat="1" ht="24" customHeight="1">
      <c r="A70" s="31">
        <f t="shared" si="7"/>
        <v>19</v>
      </c>
      <c r="B70" s="26" t="s">
        <v>421</v>
      </c>
      <c r="C70" s="34">
        <v>19</v>
      </c>
      <c r="D70" s="11" t="s">
        <v>422</v>
      </c>
      <c r="E70" s="26" t="s">
        <v>423</v>
      </c>
      <c r="F70" s="24" t="s">
        <v>424</v>
      </c>
      <c r="G70" s="187" t="s">
        <v>425</v>
      </c>
      <c r="H70" s="37">
        <v>42823</v>
      </c>
      <c r="I70" s="32" t="s">
        <v>426</v>
      </c>
      <c r="J70" s="32" t="s">
        <v>427</v>
      </c>
      <c r="K70" s="37">
        <v>42870</v>
      </c>
      <c r="L70" s="32" t="s">
        <v>63</v>
      </c>
      <c r="M70" s="32" t="s">
        <v>63</v>
      </c>
      <c r="N70" s="87">
        <v>49.810600000000001</v>
      </c>
      <c r="O70" s="87">
        <v>49.810600000000001</v>
      </c>
      <c r="P70" s="88">
        <v>70</v>
      </c>
      <c r="Q70" s="88">
        <v>62</v>
      </c>
      <c r="R70" s="109">
        <v>1</v>
      </c>
      <c r="S70" s="113" t="s">
        <v>926</v>
      </c>
      <c r="T70" s="113"/>
      <c r="U70" s="32" t="s">
        <v>54</v>
      </c>
      <c r="V70" s="110" t="s">
        <v>55</v>
      </c>
      <c r="W70" s="114">
        <v>3.508</v>
      </c>
      <c r="X70" s="114"/>
      <c r="Y70" s="111">
        <f t="shared" si="6"/>
        <v>3.508</v>
      </c>
      <c r="Z70" s="32" t="s">
        <v>56</v>
      </c>
      <c r="AA70" s="41"/>
      <c r="AB70" s="20"/>
      <c r="AC70" s="32">
        <v>56</v>
      </c>
      <c r="AD70" s="32">
        <v>14</v>
      </c>
      <c r="AE70" s="20"/>
      <c r="AF70" s="20"/>
      <c r="AG70" s="20"/>
      <c r="AH70" s="20"/>
      <c r="AI70" s="20"/>
      <c r="AJ70" s="20"/>
    </row>
    <row r="71" spans="1:36" s="55" customFormat="1" ht="24.95" customHeight="1">
      <c r="A71" s="31">
        <f t="shared" si="7"/>
        <v>20</v>
      </c>
      <c r="B71" s="26" t="s">
        <v>435</v>
      </c>
      <c r="C71" s="23">
        <v>20</v>
      </c>
      <c r="D71" s="11" t="s">
        <v>436</v>
      </c>
      <c r="E71" s="26" t="s">
        <v>437</v>
      </c>
      <c r="F71" s="24" t="s">
        <v>438</v>
      </c>
      <c r="G71" s="187" t="s">
        <v>439</v>
      </c>
      <c r="H71" s="37">
        <v>43146</v>
      </c>
      <c r="I71" s="32" t="s">
        <v>440</v>
      </c>
      <c r="J71" s="32" t="s">
        <v>441</v>
      </c>
      <c r="K71" s="37">
        <v>43308</v>
      </c>
      <c r="L71" s="32" t="s">
        <v>63</v>
      </c>
      <c r="M71" s="32" t="s">
        <v>63</v>
      </c>
      <c r="N71" s="87">
        <v>21.689900000000002</v>
      </c>
      <c r="O71" s="87">
        <v>20.372599999999998</v>
      </c>
      <c r="P71" s="88">
        <v>43</v>
      </c>
      <c r="Q71" s="88">
        <v>43</v>
      </c>
      <c r="R71" s="109">
        <v>1</v>
      </c>
      <c r="S71" s="113">
        <v>44471</v>
      </c>
      <c r="T71" s="113">
        <v>44471</v>
      </c>
      <c r="U71" s="32" t="s">
        <v>54</v>
      </c>
      <c r="V71" s="110" t="s">
        <v>55</v>
      </c>
      <c r="W71" s="114">
        <v>1.13212</v>
      </c>
      <c r="X71" s="114">
        <v>1.1419999999999999</v>
      </c>
      <c r="Y71" s="111">
        <f t="shared" si="6"/>
        <v>2.2741199999999999</v>
      </c>
      <c r="Z71" s="32" t="s">
        <v>56</v>
      </c>
      <c r="AA71" s="41"/>
      <c r="AB71" s="20"/>
      <c r="AC71" s="32">
        <v>39</v>
      </c>
      <c r="AD71" s="32">
        <v>9</v>
      </c>
      <c r="AE71" s="20"/>
      <c r="AF71" s="20"/>
      <c r="AG71" s="20"/>
      <c r="AH71" s="20"/>
      <c r="AI71" s="20"/>
      <c r="AJ71" s="20"/>
    </row>
    <row r="72" spans="1:36" s="55" customFormat="1" ht="24.95" customHeight="1">
      <c r="A72" s="31">
        <f t="shared" si="7"/>
        <v>21</v>
      </c>
      <c r="B72" s="26" t="s">
        <v>448</v>
      </c>
      <c r="C72" s="34">
        <v>21</v>
      </c>
      <c r="D72" s="11" t="s">
        <v>449</v>
      </c>
      <c r="E72" s="26" t="s">
        <v>450</v>
      </c>
      <c r="F72" s="24" t="s">
        <v>451</v>
      </c>
      <c r="G72" s="187" t="s">
        <v>452</v>
      </c>
      <c r="H72" s="32">
        <v>2005</v>
      </c>
      <c r="I72" s="32" t="s">
        <v>453</v>
      </c>
      <c r="J72" s="32">
        <v>200530562</v>
      </c>
      <c r="K72" s="37">
        <v>38681</v>
      </c>
      <c r="L72" s="32" t="s">
        <v>63</v>
      </c>
      <c r="M72" s="32" t="s">
        <v>63</v>
      </c>
      <c r="N72" s="87">
        <v>298.02870000000001</v>
      </c>
      <c r="O72" s="87">
        <v>298.02870000000001</v>
      </c>
      <c r="P72" s="88">
        <v>274</v>
      </c>
      <c r="Q72" s="88">
        <v>270</v>
      </c>
      <c r="R72" s="109">
        <v>11</v>
      </c>
      <c r="S72" s="37">
        <v>40466</v>
      </c>
      <c r="T72" s="37">
        <v>43438</v>
      </c>
      <c r="U72" s="32" t="s">
        <v>54</v>
      </c>
      <c r="V72" s="110" t="s">
        <v>55</v>
      </c>
      <c r="W72" s="114">
        <v>13.388</v>
      </c>
      <c r="X72" s="111"/>
      <c r="Y72" s="111">
        <f t="shared" si="6"/>
        <v>13.388</v>
      </c>
      <c r="Z72" s="32" t="s">
        <v>56</v>
      </c>
      <c r="AA72" s="41"/>
      <c r="AB72" s="20"/>
      <c r="AC72" s="32">
        <v>216</v>
      </c>
      <c r="AD72" s="32">
        <v>54</v>
      </c>
      <c r="AE72" s="20"/>
      <c r="AF72" s="20"/>
      <c r="AG72" s="20"/>
      <c r="AH72" s="20"/>
      <c r="AI72" s="20"/>
      <c r="AJ72" s="20"/>
    </row>
    <row r="73" spans="1:36" s="55" customFormat="1" ht="24.95" customHeight="1">
      <c r="A73" s="31">
        <f t="shared" si="7"/>
        <v>22</v>
      </c>
      <c r="B73" s="26" t="s">
        <v>454</v>
      </c>
      <c r="C73" s="23">
        <v>22</v>
      </c>
      <c r="D73" s="11" t="s">
        <v>455</v>
      </c>
      <c r="E73" s="26" t="s">
        <v>456</v>
      </c>
      <c r="F73" s="68" t="s">
        <v>931</v>
      </c>
      <c r="G73" s="187" t="s">
        <v>457</v>
      </c>
      <c r="H73" s="37">
        <v>42801</v>
      </c>
      <c r="I73" s="32" t="s">
        <v>458</v>
      </c>
      <c r="J73" s="32">
        <v>201738963</v>
      </c>
      <c r="K73" s="37">
        <v>43062</v>
      </c>
      <c r="L73" s="32" t="s">
        <v>63</v>
      </c>
      <c r="M73" s="32" t="s">
        <v>63</v>
      </c>
      <c r="N73" s="87">
        <v>44.105800000000002</v>
      </c>
      <c r="O73" s="87">
        <v>44.105800000000002</v>
      </c>
      <c r="P73" s="88">
        <v>30</v>
      </c>
      <c r="Q73" s="88">
        <v>14</v>
      </c>
      <c r="R73" s="109">
        <v>2</v>
      </c>
      <c r="S73" s="45">
        <v>2017</v>
      </c>
      <c r="T73" s="113">
        <v>45179</v>
      </c>
      <c r="U73" s="32" t="s">
        <v>54</v>
      </c>
      <c r="V73" s="110" t="s">
        <v>55</v>
      </c>
      <c r="W73" s="114">
        <v>2.8149999999999999</v>
      </c>
      <c r="X73" s="114">
        <v>0.16600000000000001</v>
      </c>
      <c r="Y73" s="111">
        <f t="shared" si="6"/>
        <v>2.9809999999999999</v>
      </c>
      <c r="Z73" s="32" t="s">
        <v>56</v>
      </c>
      <c r="AA73" s="41"/>
      <c r="AB73" s="20"/>
      <c r="AC73" s="32">
        <v>24</v>
      </c>
      <c r="AD73" s="32">
        <v>6</v>
      </c>
      <c r="AE73" s="20"/>
      <c r="AF73" s="20"/>
      <c r="AG73" s="20"/>
      <c r="AH73" s="20"/>
      <c r="AI73" s="20"/>
      <c r="AJ73" s="20"/>
    </row>
    <row r="74" spans="1:36" s="55" customFormat="1" ht="24.95" customHeight="1">
      <c r="A74" s="31">
        <f t="shared" si="7"/>
        <v>23</v>
      </c>
      <c r="B74" s="49" t="s">
        <v>480</v>
      </c>
      <c r="C74" s="34">
        <v>23</v>
      </c>
      <c r="D74" s="25" t="s">
        <v>481</v>
      </c>
      <c r="E74" s="26" t="s">
        <v>482</v>
      </c>
      <c r="F74" s="24" t="s">
        <v>483</v>
      </c>
      <c r="G74" s="187" t="s">
        <v>484</v>
      </c>
      <c r="H74" s="32">
        <v>1988</v>
      </c>
      <c r="I74" s="32" t="s">
        <v>485</v>
      </c>
      <c r="J74" s="32">
        <v>195321</v>
      </c>
      <c r="K74" s="37">
        <v>33462</v>
      </c>
      <c r="L74" s="32">
        <v>14128</v>
      </c>
      <c r="M74" s="37">
        <v>34320</v>
      </c>
      <c r="N74" s="87">
        <v>89.66</v>
      </c>
      <c r="O74" s="87">
        <v>89.66</v>
      </c>
      <c r="P74" s="88">
        <v>172</v>
      </c>
      <c r="Q74" s="88">
        <v>105</v>
      </c>
      <c r="R74" s="109">
        <v>3</v>
      </c>
      <c r="S74" s="37">
        <v>29288</v>
      </c>
      <c r="T74" s="37">
        <v>40627</v>
      </c>
      <c r="U74" s="32" t="s">
        <v>54</v>
      </c>
      <c r="V74" s="110" t="s">
        <v>55</v>
      </c>
      <c r="W74" s="114">
        <v>4.234</v>
      </c>
      <c r="X74" s="111"/>
      <c r="Y74" s="111">
        <f t="shared" si="6"/>
        <v>4.234</v>
      </c>
      <c r="Z74" s="32" t="s">
        <v>56</v>
      </c>
      <c r="AA74" s="41"/>
      <c r="AB74" s="20"/>
      <c r="AC74" s="32">
        <v>84</v>
      </c>
      <c r="AD74" s="32">
        <v>21</v>
      </c>
      <c r="AE74" s="20"/>
      <c r="AF74" s="20"/>
      <c r="AG74" s="20"/>
      <c r="AH74" s="20"/>
      <c r="AI74" s="20"/>
      <c r="AJ74" s="20"/>
    </row>
    <row r="75" spans="1:36" s="55" customFormat="1" ht="24.95" customHeight="1">
      <c r="A75" s="31">
        <f t="shared" si="7"/>
        <v>24</v>
      </c>
      <c r="B75" s="26" t="s">
        <v>491</v>
      </c>
      <c r="C75" s="23">
        <v>24</v>
      </c>
      <c r="D75" s="11" t="s">
        <v>492</v>
      </c>
      <c r="E75" s="26" t="s">
        <v>493</v>
      </c>
      <c r="F75" s="24" t="s">
        <v>494</v>
      </c>
      <c r="G75" s="187" t="s">
        <v>495</v>
      </c>
      <c r="H75" s="32">
        <v>2009</v>
      </c>
      <c r="I75" s="32" t="s">
        <v>496</v>
      </c>
      <c r="J75" s="32">
        <v>20093160</v>
      </c>
      <c r="K75" s="37">
        <v>40091</v>
      </c>
      <c r="L75" s="32" t="s">
        <v>63</v>
      </c>
      <c r="M75" s="32" t="s">
        <v>63</v>
      </c>
      <c r="N75" s="87">
        <v>72.641000000000005</v>
      </c>
      <c r="O75" s="87">
        <v>72.641000000000005</v>
      </c>
      <c r="P75" s="88">
        <v>100</v>
      </c>
      <c r="Q75" s="88">
        <v>100</v>
      </c>
      <c r="R75" s="109">
        <v>2</v>
      </c>
      <c r="S75" s="37">
        <v>40277</v>
      </c>
      <c r="T75" s="37">
        <v>41320</v>
      </c>
      <c r="U75" s="32" t="s">
        <v>54</v>
      </c>
      <c r="V75" s="110" t="s">
        <v>55</v>
      </c>
      <c r="W75" s="114">
        <v>7.2960000000000003</v>
      </c>
      <c r="X75" s="114">
        <v>0.504</v>
      </c>
      <c r="Y75" s="111">
        <f t="shared" si="6"/>
        <v>7.8</v>
      </c>
      <c r="Z75" s="32" t="s">
        <v>56</v>
      </c>
      <c r="AA75" s="41"/>
      <c r="AB75" s="20"/>
      <c r="AC75" s="32">
        <v>80</v>
      </c>
      <c r="AD75" s="32">
        <v>20</v>
      </c>
      <c r="AE75" s="20"/>
      <c r="AF75" s="20"/>
      <c r="AG75" s="20"/>
      <c r="AH75" s="20"/>
      <c r="AI75" s="20"/>
      <c r="AJ75" s="20"/>
    </row>
    <row r="76" spans="1:36" s="55" customFormat="1" ht="24.95" customHeight="1">
      <c r="A76" s="31">
        <f t="shared" si="7"/>
        <v>25</v>
      </c>
      <c r="B76" s="26" t="s">
        <v>516</v>
      </c>
      <c r="C76" s="34">
        <v>25</v>
      </c>
      <c r="D76" s="11" t="s">
        <v>517</v>
      </c>
      <c r="E76" s="26" t="s">
        <v>518</v>
      </c>
      <c r="F76" s="24" t="s">
        <v>519</v>
      </c>
      <c r="G76" s="187" t="s">
        <v>520</v>
      </c>
      <c r="H76" s="37">
        <v>42722</v>
      </c>
      <c r="I76" s="187" t="s">
        <v>521</v>
      </c>
      <c r="J76" s="32" t="s">
        <v>522</v>
      </c>
      <c r="K76" s="37">
        <v>42844</v>
      </c>
      <c r="L76" s="32" t="s">
        <v>63</v>
      </c>
      <c r="M76" s="32" t="s">
        <v>63</v>
      </c>
      <c r="N76" s="87">
        <v>12.6884</v>
      </c>
      <c r="O76" s="87">
        <v>12.6884</v>
      </c>
      <c r="P76" s="88">
        <v>18</v>
      </c>
      <c r="Q76" s="88">
        <v>18</v>
      </c>
      <c r="R76" s="109">
        <v>1</v>
      </c>
      <c r="S76" s="113">
        <v>44167</v>
      </c>
      <c r="T76" s="113">
        <v>44167</v>
      </c>
      <c r="U76" s="32" t="s">
        <v>54</v>
      </c>
      <c r="V76" s="110" t="s">
        <v>55</v>
      </c>
      <c r="W76" s="114">
        <v>1.147</v>
      </c>
      <c r="X76" s="111"/>
      <c r="Y76" s="111">
        <f t="shared" si="6"/>
        <v>1.147</v>
      </c>
      <c r="Z76" s="32" t="s">
        <v>56</v>
      </c>
      <c r="AA76" s="41"/>
      <c r="AB76" s="20"/>
      <c r="AC76" s="32">
        <v>10</v>
      </c>
      <c r="AD76" s="32">
        <v>8</v>
      </c>
      <c r="AE76" s="20"/>
      <c r="AF76" s="20"/>
      <c r="AG76" s="20"/>
      <c r="AH76" s="20"/>
      <c r="AI76" s="20"/>
      <c r="AJ76" s="20"/>
    </row>
    <row r="77" spans="1:36" s="55" customFormat="1" ht="24.95" customHeight="1">
      <c r="A77" s="31">
        <f t="shared" si="7"/>
        <v>26</v>
      </c>
      <c r="B77" s="26" t="s">
        <v>523</v>
      </c>
      <c r="C77" s="23">
        <v>26</v>
      </c>
      <c r="D77" s="11" t="s">
        <v>524</v>
      </c>
      <c r="E77" s="26" t="s">
        <v>525</v>
      </c>
      <c r="F77" s="24" t="s">
        <v>526</v>
      </c>
      <c r="G77" s="32" t="s">
        <v>69</v>
      </c>
      <c r="H77" s="32">
        <v>2009</v>
      </c>
      <c r="I77" s="32" t="s">
        <v>302</v>
      </c>
      <c r="J77" s="32" t="s">
        <v>527</v>
      </c>
      <c r="K77" s="37">
        <v>40381</v>
      </c>
      <c r="L77" s="32" t="s">
        <v>63</v>
      </c>
      <c r="M77" s="32" t="s">
        <v>63</v>
      </c>
      <c r="N77" s="87">
        <v>15.8955</v>
      </c>
      <c r="O77" s="87">
        <v>15.834300000000001</v>
      </c>
      <c r="P77" s="88">
        <v>64</v>
      </c>
      <c r="Q77" s="88">
        <v>27</v>
      </c>
      <c r="R77" s="109">
        <v>2</v>
      </c>
      <c r="S77" s="37">
        <v>40142</v>
      </c>
      <c r="T77" s="37">
        <v>40142</v>
      </c>
      <c r="U77" s="32" t="s">
        <v>54</v>
      </c>
      <c r="V77" s="110" t="s">
        <v>55</v>
      </c>
      <c r="W77" s="111"/>
      <c r="X77" s="111"/>
      <c r="Y77" s="111">
        <f t="shared" si="6"/>
        <v>0</v>
      </c>
      <c r="Z77" s="32" t="s">
        <v>98</v>
      </c>
      <c r="AA77" s="41"/>
      <c r="AB77" s="20"/>
      <c r="AC77" s="32">
        <v>21</v>
      </c>
      <c r="AD77" s="32">
        <v>6</v>
      </c>
      <c r="AE77" s="20"/>
      <c r="AF77" s="20"/>
      <c r="AG77" s="20"/>
      <c r="AH77" s="20"/>
      <c r="AI77" s="20"/>
      <c r="AJ77" s="20"/>
    </row>
    <row r="78" spans="1:36" s="55" customFormat="1" ht="24.95" customHeight="1">
      <c r="A78" s="31">
        <f t="shared" si="7"/>
        <v>27</v>
      </c>
      <c r="B78" s="26" t="s">
        <v>547</v>
      </c>
      <c r="C78" s="34">
        <v>27</v>
      </c>
      <c r="D78" s="11" t="s">
        <v>548</v>
      </c>
      <c r="E78" s="26" t="s">
        <v>549</v>
      </c>
      <c r="F78" s="24" t="s">
        <v>550</v>
      </c>
      <c r="G78" s="187" t="s">
        <v>551</v>
      </c>
      <c r="H78" s="37">
        <v>43166</v>
      </c>
      <c r="I78" s="187" t="s">
        <v>552</v>
      </c>
      <c r="J78" s="32" t="s">
        <v>553</v>
      </c>
      <c r="K78" s="37">
        <v>43767</v>
      </c>
      <c r="L78" s="32" t="s">
        <v>63</v>
      </c>
      <c r="M78" s="32" t="s">
        <v>63</v>
      </c>
      <c r="N78" s="87">
        <v>9.0093999999999994</v>
      </c>
      <c r="O78" s="87">
        <v>9.0093999999999994</v>
      </c>
      <c r="P78" s="88">
        <v>64</v>
      </c>
      <c r="Q78" s="88">
        <v>55</v>
      </c>
      <c r="R78" s="109">
        <v>1</v>
      </c>
      <c r="S78" s="113">
        <v>43263</v>
      </c>
      <c r="T78" s="113">
        <v>43263</v>
      </c>
      <c r="U78" s="32" t="s">
        <v>54</v>
      </c>
      <c r="V78" s="110" t="s">
        <v>55</v>
      </c>
      <c r="W78" s="114">
        <v>0.28999999999999998</v>
      </c>
      <c r="X78" s="114">
        <v>1.2210000000000001</v>
      </c>
      <c r="Y78" s="111">
        <f t="shared" si="6"/>
        <v>1.5109999999999999</v>
      </c>
      <c r="Z78" s="32" t="s">
        <v>56</v>
      </c>
      <c r="AA78" s="41"/>
      <c r="AB78" s="20"/>
      <c r="AC78" s="32">
        <v>44</v>
      </c>
      <c r="AD78" s="32">
        <v>11</v>
      </c>
      <c r="AE78" s="20"/>
      <c r="AF78" s="20"/>
      <c r="AG78" s="20"/>
      <c r="AH78" s="20"/>
      <c r="AI78" s="20"/>
      <c r="AJ78" s="20"/>
    </row>
    <row r="79" spans="1:36" s="55" customFormat="1" ht="24.95" customHeight="1">
      <c r="A79" s="31">
        <f t="shared" si="7"/>
        <v>28</v>
      </c>
      <c r="B79" s="26" t="s">
        <v>567</v>
      </c>
      <c r="C79" s="23">
        <v>28</v>
      </c>
      <c r="D79" s="11" t="s">
        <v>568</v>
      </c>
      <c r="E79" s="26" t="s">
        <v>569</v>
      </c>
      <c r="F79" s="24" t="s">
        <v>570</v>
      </c>
      <c r="G79" s="187" t="s">
        <v>571</v>
      </c>
      <c r="H79" s="37">
        <v>41284</v>
      </c>
      <c r="I79" s="32" t="s">
        <v>572</v>
      </c>
      <c r="J79" s="32">
        <v>201329301</v>
      </c>
      <c r="K79" s="37">
        <v>41327</v>
      </c>
      <c r="L79" s="32" t="s">
        <v>63</v>
      </c>
      <c r="M79" s="32" t="s">
        <v>63</v>
      </c>
      <c r="N79" s="87">
        <v>64.134299999999996</v>
      </c>
      <c r="O79" s="87">
        <v>64.134299999999996</v>
      </c>
      <c r="P79" s="88">
        <v>68</v>
      </c>
      <c r="Q79" s="88">
        <v>32</v>
      </c>
      <c r="R79" s="109">
        <v>4</v>
      </c>
      <c r="S79" s="113">
        <v>44083</v>
      </c>
      <c r="T79" s="37" t="s">
        <v>573</v>
      </c>
      <c r="U79" s="32" t="s">
        <v>54</v>
      </c>
      <c r="V79" s="110" t="s">
        <v>55</v>
      </c>
      <c r="W79" s="114">
        <v>0.81599999999999995</v>
      </c>
      <c r="X79" s="114">
        <v>3.5341</v>
      </c>
      <c r="Y79" s="111">
        <f t="shared" si="6"/>
        <v>4.3501000000000003</v>
      </c>
      <c r="Z79" s="32" t="s">
        <v>56</v>
      </c>
      <c r="AA79" s="41"/>
      <c r="AB79" s="20"/>
      <c r="AC79" s="32">
        <v>25</v>
      </c>
      <c r="AD79" s="32">
        <v>7</v>
      </c>
      <c r="AE79" s="20"/>
      <c r="AF79" s="20"/>
      <c r="AG79" s="20"/>
      <c r="AH79" s="20"/>
      <c r="AI79" s="20"/>
      <c r="AJ79" s="20"/>
    </row>
    <row r="80" spans="1:36" s="55" customFormat="1" ht="40.5" customHeight="1">
      <c r="A80" s="31">
        <f t="shared" si="7"/>
        <v>29</v>
      </c>
      <c r="B80" s="26" t="s">
        <v>574</v>
      </c>
      <c r="C80" s="34">
        <v>29</v>
      </c>
      <c r="D80" s="11" t="s">
        <v>575</v>
      </c>
      <c r="E80" s="26" t="s">
        <v>576</v>
      </c>
      <c r="F80" s="24" t="s">
        <v>577</v>
      </c>
      <c r="G80" s="187" t="s">
        <v>578</v>
      </c>
      <c r="H80" s="37">
        <v>42818</v>
      </c>
      <c r="I80" s="32" t="s">
        <v>579</v>
      </c>
      <c r="J80" s="32" t="s">
        <v>580</v>
      </c>
      <c r="K80" s="37">
        <v>42863</v>
      </c>
      <c r="L80" s="32" t="s">
        <v>63</v>
      </c>
      <c r="M80" s="32" t="s">
        <v>63</v>
      </c>
      <c r="N80" s="87">
        <v>21.869599999999998</v>
      </c>
      <c r="O80" s="87">
        <v>21.869599999999998</v>
      </c>
      <c r="P80" s="88">
        <v>35</v>
      </c>
      <c r="Q80" s="88">
        <v>33</v>
      </c>
      <c r="R80" s="109">
        <v>1</v>
      </c>
      <c r="S80" s="113" t="s">
        <v>926</v>
      </c>
      <c r="T80" s="113"/>
      <c r="U80" s="32" t="s">
        <v>54</v>
      </c>
      <c r="V80" s="110" t="s">
        <v>55</v>
      </c>
      <c r="W80" s="114">
        <v>2.0139999999999998</v>
      </c>
      <c r="X80" s="114">
        <v>0.1</v>
      </c>
      <c r="Y80" s="111">
        <f t="shared" si="6"/>
        <v>2.1139999999999999</v>
      </c>
      <c r="Z80" s="32" t="s">
        <v>98</v>
      </c>
      <c r="AA80" s="41"/>
      <c r="AB80" s="20"/>
      <c r="AC80" s="32">
        <v>25</v>
      </c>
      <c r="AD80" s="32">
        <v>8</v>
      </c>
      <c r="AE80" s="20"/>
      <c r="AF80" s="20"/>
      <c r="AG80" s="20"/>
      <c r="AH80" s="20"/>
      <c r="AI80" s="20"/>
      <c r="AJ80" s="20"/>
    </row>
    <row r="81" spans="1:36" s="55" customFormat="1" ht="26.25" customHeight="1">
      <c r="A81" s="31">
        <f t="shared" si="7"/>
        <v>30</v>
      </c>
      <c r="B81" s="26" t="s">
        <v>613</v>
      </c>
      <c r="C81" s="23">
        <v>30</v>
      </c>
      <c r="D81" s="11" t="s">
        <v>614</v>
      </c>
      <c r="E81" s="26" t="s">
        <v>615</v>
      </c>
      <c r="F81" s="24" t="s">
        <v>616</v>
      </c>
      <c r="G81" s="187" t="s">
        <v>617</v>
      </c>
      <c r="H81" s="37">
        <v>41720</v>
      </c>
      <c r="I81" s="32" t="s">
        <v>199</v>
      </c>
      <c r="J81" s="32" t="s">
        <v>618</v>
      </c>
      <c r="K81" s="37">
        <v>45235</v>
      </c>
      <c r="L81" s="32" t="s">
        <v>63</v>
      </c>
      <c r="M81" s="32" t="s">
        <v>63</v>
      </c>
      <c r="N81" s="87">
        <v>33.275799999999997</v>
      </c>
      <c r="O81" s="87">
        <v>33.275799999999997</v>
      </c>
      <c r="P81" s="88">
        <v>79</v>
      </c>
      <c r="Q81" s="88">
        <v>18</v>
      </c>
      <c r="R81" s="109">
        <v>1</v>
      </c>
      <c r="S81" s="45" t="s">
        <v>619</v>
      </c>
      <c r="T81" s="113"/>
      <c r="U81" s="32" t="s">
        <v>54</v>
      </c>
      <c r="V81" s="110" t="s">
        <v>55</v>
      </c>
      <c r="W81" s="111"/>
      <c r="X81" s="111"/>
      <c r="Y81" s="111">
        <f t="shared" si="6"/>
        <v>0</v>
      </c>
      <c r="Z81" s="32" t="s">
        <v>98</v>
      </c>
      <c r="AA81" s="41"/>
      <c r="AB81" s="20"/>
      <c r="AC81" s="32">
        <v>43</v>
      </c>
      <c r="AD81" s="32">
        <v>25</v>
      </c>
      <c r="AE81" s="20"/>
      <c r="AF81" s="20"/>
      <c r="AG81" s="20"/>
      <c r="AH81" s="20"/>
      <c r="AI81" s="20"/>
      <c r="AJ81" s="20"/>
    </row>
    <row r="82" spans="1:36" s="55" customFormat="1" ht="24.95" customHeight="1">
      <c r="A82" s="31">
        <f t="shared" si="7"/>
        <v>31</v>
      </c>
      <c r="B82" s="26" t="s">
        <v>648</v>
      </c>
      <c r="C82" s="34">
        <v>31</v>
      </c>
      <c r="D82" s="11" t="s">
        <v>649</v>
      </c>
      <c r="E82" s="26" t="s">
        <v>650</v>
      </c>
      <c r="F82" s="24" t="s">
        <v>651</v>
      </c>
      <c r="G82" s="187" t="s">
        <v>652</v>
      </c>
      <c r="H82" s="37">
        <v>41675</v>
      </c>
      <c r="I82" s="32" t="s">
        <v>653</v>
      </c>
      <c r="J82" s="32">
        <v>20143121</v>
      </c>
      <c r="K82" s="37">
        <v>41704</v>
      </c>
      <c r="L82" s="32" t="s">
        <v>63</v>
      </c>
      <c r="M82" s="32" t="s">
        <v>63</v>
      </c>
      <c r="N82" s="87">
        <v>15.913600000000001</v>
      </c>
      <c r="O82" s="87">
        <v>15.913600000000001</v>
      </c>
      <c r="P82" s="88">
        <v>22</v>
      </c>
      <c r="Q82" s="88">
        <v>22</v>
      </c>
      <c r="R82" s="109">
        <v>1</v>
      </c>
      <c r="S82" s="45" t="s">
        <v>654</v>
      </c>
      <c r="T82" s="113"/>
      <c r="U82" s="32" t="s">
        <v>54</v>
      </c>
      <c r="V82" s="110" t="s">
        <v>55</v>
      </c>
      <c r="W82" s="114">
        <v>0.22600000000000001</v>
      </c>
      <c r="X82" s="114">
        <v>0.434</v>
      </c>
      <c r="Y82" s="111">
        <f t="shared" si="6"/>
        <v>0.66</v>
      </c>
      <c r="Z82" s="32" t="s">
        <v>56</v>
      </c>
      <c r="AA82" s="41"/>
      <c r="AB82" s="20"/>
      <c r="AC82" s="32">
        <v>18</v>
      </c>
      <c r="AD82" s="32">
        <v>4</v>
      </c>
      <c r="AE82" s="20"/>
      <c r="AF82" s="20"/>
      <c r="AG82" s="20"/>
      <c r="AH82" s="20"/>
      <c r="AI82" s="20"/>
      <c r="AJ82" s="20"/>
    </row>
    <row r="83" spans="1:36" s="55" customFormat="1" ht="24.95" customHeight="1">
      <c r="A83" s="31">
        <f t="shared" si="7"/>
        <v>32</v>
      </c>
      <c r="B83" s="42" t="s">
        <v>669</v>
      </c>
      <c r="C83" s="23">
        <v>32</v>
      </c>
      <c r="D83" s="11" t="s">
        <v>670</v>
      </c>
      <c r="E83" s="42" t="s">
        <v>671</v>
      </c>
      <c r="F83" s="27" t="s">
        <v>672</v>
      </c>
      <c r="G83" s="187" t="s">
        <v>673</v>
      </c>
      <c r="H83" s="78">
        <v>42715</v>
      </c>
      <c r="I83" s="190" t="s">
        <v>674</v>
      </c>
      <c r="J83" s="35" t="s">
        <v>675</v>
      </c>
      <c r="K83" s="78">
        <v>42857</v>
      </c>
      <c r="L83" s="32" t="s">
        <v>63</v>
      </c>
      <c r="M83" s="32" t="s">
        <v>63</v>
      </c>
      <c r="N83" s="99">
        <v>34.973799999999997</v>
      </c>
      <c r="O83" s="99">
        <v>34.973799999999997</v>
      </c>
      <c r="P83" s="100">
        <v>89</v>
      </c>
      <c r="Q83" s="100">
        <v>20</v>
      </c>
      <c r="R83" s="125">
        <v>1</v>
      </c>
      <c r="S83" s="126">
        <v>44084</v>
      </c>
      <c r="T83" s="126"/>
      <c r="U83" s="32" t="s">
        <v>54</v>
      </c>
      <c r="V83" s="110" t="s">
        <v>55</v>
      </c>
      <c r="W83" s="111"/>
      <c r="X83" s="111"/>
      <c r="Y83" s="111">
        <f t="shared" si="6"/>
        <v>0</v>
      </c>
      <c r="Z83" s="32" t="s">
        <v>98</v>
      </c>
      <c r="AA83" s="41"/>
      <c r="AB83" s="20"/>
      <c r="AC83" s="32">
        <v>16</v>
      </c>
      <c r="AD83" s="32">
        <v>4</v>
      </c>
      <c r="AE83" s="20"/>
      <c r="AF83" s="20"/>
      <c r="AG83" s="20"/>
      <c r="AH83" s="20"/>
      <c r="AI83" s="20"/>
      <c r="AJ83" s="20"/>
    </row>
    <row r="84" spans="1:36" s="55" customFormat="1" ht="24.95" customHeight="1">
      <c r="A84" s="31">
        <f t="shared" si="7"/>
        <v>33</v>
      </c>
      <c r="B84" s="26" t="s">
        <v>676</v>
      </c>
      <c r="C84" s="34">
        <v>33</v>
      </c>
      <c r="D84" s="11" t="s">
        <v>677</v>
      </c>
      <c r="E84" s="26" t="s">
        <v>678</v>
      </c>
      <c r="F84" s="24" t="s">
        <v>679</v>
      </c>
      <c r="G84" s="187" t="s">
        <v>680</v>
      </c>
      <c r="H84" s="32">
        <v>1988</v>
      </c>
      <c r="I84" s="187" t="s">
        <v>681</v>
      </c>
      <c r="J84" s="32">
        <v>156884</v>
      </c>
      <c r="K84" s="37">
        <v>32454</v>
      </c>
      <c r="L84" s="32" t="s">
        <v>63</v>
      </c>
      <c r="M84" s="32" t="s">
        <v>63</v>
      </c>
      <c r="N84" s="87">
        <v>28.2803</v>
      </c>
      <c r="O84" s="87">
        <v>28.2803</v>
      </c>
      <c r="P84" s="88">
        <v>49</v>
      </c>
      <c r="Q84" s="88">
        <v>49</v>
      </c>
      <c r="R84" s="109">
        <v>3</v>
      </c>
      <c r="S84" s="113">
        <v>32347</v>
      </c>
      <c r="T84" s="113">
        <v>39588</v>
      </c>
      <c r="U84" s="32" t="s">
        <v>54</v>
      </c>
      <c r="V84" s="110" t="s">
        <v>55</v>
      </c>
      <c r="W84" s="114">
        <v>1.7210000000000001</v>
      </c>
      <c r="X84" s="114">
        <v>0.19800000000000001</v>
      </c>
      <c r="Y84" s="111">
        <f t="shared" si="6"/>
        <v>1.919</v>
      </c>
      <c r="Z84" s="32" t="s">
        <v>56</v>
      </c>
      <c r="AA84" s="41"/>
      <c r="AB84" s="20"/>
      <c r="AC84" s="32">
        <v>39</v>
      </c>
      <c r="AD84" s="32">
        <v>10</v>
      </c>
      <c r="AE84" s="20"/>
      <c r="AF84" s="20"/>
      <c r="AG84" s="20"/>
      <c r="AH84" s="20"/>
      <c r="AI84" s="20"/>
      <c r="AJ84" s="20"/>
    </row>
    <row r="85" spans="1:36" s="55" customFormat="1" ht="24.95" customHeight="1">
      <c r="A85" s="31">
        <f t="shared" si="7"/>
        <v>34</v>
      </c>
      <c r="B85" s="26" t="s">
        <v>682</v>
      </c>
      <c r="C85" s="23">
        <v>34</v>
      </c>
      <c r="D85" s="11" t="s">
        <v>683</v>
      </c>
      <c r="E85" s="26" t="s">
        <v>684</v>
      </c>
      <c r="F85" s="24" t="s">
        <v>685</v>
      </c>
      <c r="G85" s="187" t="s">
        <v>686</v>
      </c>
      <c r="H85" s="32">
        <v>2011</v>
      </c>
      <c r="I85" s="32" t="s">
        <v>687</v>
      </c>
      <c r="J85" s="32" t="s">
        <v>688</v>
      </c>
      <c r="K85" s="37">
        <v>40893</v>
      </c>
      <c r="L85" s="32" t="s">
        <v>63</v>
      </c>
      <c r="M85" s="32" t="s">
        <v>63</v>
      </c>
      <c r="N85" s="87">
        <v>64.730900000000005</v>
      </c>
      <c r="O85" s="87">
        <v>57.3645</v>
      </c>
      <c r="P85" s="88">
        <v>36</v>
      </c>
      <c r="Q85" s="88">
        <v>35</v>
      </c>
      <c r="R85" s="109">
        <v>2</v>
      </c>
      <c r="S85" s="37">
        <v>40884</v>
      </c>
      <c r="T85" s="37">
        <v>40884</v>
      </c>
      <c r="U85" s="32" t="s">
        <v>163</v>
      </c>
      <c r="V85" s="110" t="s">
        <v>55</v>
      </c>
      <c r="W85" s="111"/>
      <c r="X85" s="111"/>
      <c r="Y85" s="111">
        <f t="shared" si="6"/>
        <v>0</v>
      </c>
      <c r="Z85" s="32" t="s">
        <v>98</v>
      </c>
      <c r="AA85" s="41"/>
      <c r="AB85" s="20"/>
      <c r="AC85" s="32">
        <v>28</v>
      </c>
      <c r="AD85" s="32">
        <v>7</v>
      </c>
      <c r="AE85" s="20"/>
      <c r="AF85" s="20"/>
      <c r="AG85" s="20"/>
      <c r="AH85" s="20"/>
      <c r="AI85" s="20"/>
      <c r="AJ85" s="20"/>
    </row>
    <row r="86" spans="1:36" s="55" customFormat="1" ht="24.95" customHeight="1">
      <c r="A86" s="31">
        <f t="shared" si="7"/>
        <v>35</v>
      </c>
      <c r="B86" s="26" t="s">
        <v>701</v>
      </c>
      <c r="C86" s="34">
        <v>35</v>
      </c>
      <c r="D86" s="11" t="s">
        <v>702</v>
      </c>
      <c r="E86" s="26" t="s">
        <v>703</v>
      </c>
      <c r="F86" s="24" t="s">
        <v>704</v>
      </c>
      <c r="G86" s="187" t="s">
        <v>705</v>
      </c>
      <c r="H86" s="37">
        <v>42799</v>
      </c>
      <c r="I86" s="32" t="s">
        <v>706</v>
      </c>
      <c r="J86" s="32" t="s">
        <v>707</v>
      </c>
      <c r="K86" s="37">
        <v>42870</v>
      </c>
      <c r="L86" s="32" t="s">
        <v>63</v>
      </c>
      <c r="M86" s="32" t="s">
        <v>63</v>
      </c>
      <c r="N86" s="87">
        <v>29.675799999999999</v>
      </c>
      <c r="O86" s="87">
        <v>29.675799999999999</v>
      </c>
      <c r="P86" s="88">
        <v>35</v>
      </c>
      <c r="Q86" s="88">
        <v>35</v>
      </c>
      <c r="R86" s="109">
        <v>2</v>
      </c>
      <c r="S86" s="186" t="s">
        <v>708</v>
      </c>
      <c r="T86" s="113"/>
      <c r="U86" s="32" t="s">
        <v>54</v>
      </c>
      <c r="V86" s="110" t="s">
        <v>55</v>
      </c>
      <c r="W86" s="114">
        <v>2.9870000000000001</v>
      </c>
      <c r="X86" s="114">
        <v>1.2989999999999999</v>
      </c>
      <c r="Y86" s="111">
        <f t="shared" si="6"/>
        <v>4.2859999999999996</v>
      </c>
      <c r="Z86" s="32" t="s">
        <v>56</v>
      </c>
      <c r="AA86" s="41"/>
      <c r="AB86" s="20"/>
      <c r="AC86" s="32">
        <v>28</v>
      </c>
      <c r="AD86" s="32">
        <v>7</v>
      </c>
      <c r="AE86" s="20"/>
      <c r="AF86" s="20"/>
      <c r="AG86" s="20"/>
      <c r="AH86" s="20"/>
      <c r="AI86" s="20"/>
      <c r="AJ86" s="20"/>
    </row>
    <row r="87" spans="1:36" s="55" customFormat="1" ht="66" customHeight="1">
      <c r="A87" s="31">
        <f t="shared" si="7"/>
        <v>36</v>
      </c>
      <c r="B87" s="26" t="s">
        <v>709</v>
      </c>
      <c r="C87" s="23">
        <v>36</v>
      </c>
      <c r="D87" s="11" t="s">
        <v>710</v>
      </c>
      <c r="E87" s="26" t="s">
        <v>711</v>
      </c>
      <c r="F87" s="24" t="s">
        <v>712</v>
      </c>
      <c r="G87" s="187" t="s">
        <v>713</v>
      </c>
      <c r="H87" s="37">
        <v>41671</v>
      </c>
      <c r="I87" s="32" t="s">
        <v>714</v>
      </c>
      <c r="J87" s="32">
        <v>201430164</v>
      </c>
      <c r="K87" s="37">
        <v>41730</v>
      </c>
      <c r="L87" s="32" t="s">
        <v>63</v>
      </c>
      <c r="M87" s="32" t="s">
        <v>63</v>
      </c>
      <c r="N87" s="87">
        <v>41.791899999999998</v>
      </c>
      <c r="O87" s="87">
        <v>37.896700000000003</v>
      </c>
      <c r="P87" s="88">
        <v>60</v>
      </c>
      <c r="Q87" s="88">
        <v>30</v>
      </c>
      <c r="R87" s="109">
        <v>1</v>
      </c>
      <c r="S87" s="118" t="s">
        <v>930</v>
      </c>
      <c r="T87" s="113"/>
      <c r="U87" s="32" t="s">
        <v>54</v>
      </c>
      <c r="V87" s="119" t="s">
        <v>715</v>
      </c>
      <c r="W87" s="111"/>
      <c r="X87" s="111"/>
      <c r="Y87" s="111">
        <f t="shared" si="6"/>
        <v>0</v>
      </c>
      <c r="Z87" s="32" t="s">
        <v>98</v>
      </c>
      <c r="AA87" s="41"/>
      <c r="AB87" s="20"/>
      <c r="AC87" s="32">
        <v>24</v>
      </c>
      <c r="AD87" s="32">
        <v>6</v>
      </c>
      <c r="AE87" s="20"/>
      <c r="AF87" s="20"/>
      <c r="AG87" s="20"/>
      <c r="AH87" s="20"/>
      <c r="AI87" s="20"/>
      <c r="AJ87" s="20"/>
    </row>
    <row r="88" spans="1:36" s="55" customFormat="1" ht="33.75" customHeight="1">
      <c r="A88" s="31">
        <f t="shared" si="7"/>
        <v>37</v>
      </c>
      <c r="B88" s="42" t="s">
        <v>716</v>
      </c>
      <c r="C88" s="34">
        <v>37</v>
      </c>
      <c r="D88" s="11" t="s">
        <v>717</v>
      </c>
      <c r="E88" s="42" t="s">
        <v>718</v>
      </c>
      <c r="F88" s="27" t="s">
        <v>719</v>
      </c>
      <c r="G88" s="190" t="s">
        <v>720</v>
      </c>
      <c r="H88" s="78">
        <v>41326</v>
      </c>
      <c r="I88" s="35" t="s">
        <v>721</v>
      </c>
      <c r="J88" s="35">
        <v>201329380</v>
      </c>
      <c r="K88" s="78">
        <v>41368</v>
      </c>
      <c r="L88" s="32" t="s">
        <v>63</v>
      </c>
      <c r="M88" s="32" t="s">
        <v>63</v>
      </c>
      <c r="N88" s="99">
        <v>63.2072</v>
      </c>
      <c r="O88" s="99">
        <v>63.2072</v>
      </c>
      <c r="P88" s="100">
        <v>85</v>
      </c>
      <c r="Q88" s="100">
        <v>60</v>
      </c>
      <c r="R88" s="125">
        <v>2</v>
      </c>
      <c r="S88" s="78">
        <v>42719</v>
      </c>
      <c r="T88" s="150"/>
      <c r="U88" s="32" t="s">
        <v>54</v>
      </c>
      <c r="V88" s="110" t="s">
        <v>55</v>
      </c>
      <c r="W88" s="114">
        <v>3.2010000000000001</v>
      </c>
      <c r="X88" s="111"/>
      <c r="Y88" s="111">
        <f t="shared" si="6"/>
        <v>3.2010000000000001</v>
      </c>
      <c r="Z88" s="32" t="s">
        <v>56</v>
      </c>
      <c r="AA88" s="41"/>
      <c r="AB88" s="20"/>
      <c r="AC88" s="32">
        <v>48</v>
      </c>
      <c r="AD88" s="32">
        <v>32</v>
      </c>
      <c r="AE88" s="20"/>
      <c r="AF88" s="20"/>
      <c r="AG88" s="20"/>
      <c r="AH88" s="20"/>
      <c r="AI88" s="20"/>
      <c r="AJ88" s="20"/>
    </row>
    <row r="89" spans="1:36" s="55" customFormat="1" ht="39" customHeight="1">
      <c r="A89" s="31">
        <f t="shared" si="7"/>
        <v>38</v>
      </c>
      <c r="B89" s="26" t="s">
        <v>747</v>
      </c>
      <c r="C89" s="23">
        <v>38</v>
      </c>
      <c r="D89" s="11" t="s">
        <v>748</v>
      </c>
      <c r="E89" s="26" t="s">
        <v>749</v>
      </c>
      <c r="F89" s="24" t="s">
        <v>750</v>
      </c>
      <c r="G89" s="187" t="s">
        <v>751</v>
      </c>
      <c r="H89" s="32">
        <v>2004</v>
      </c>
      <c r="I89" s="32" t="s">
        <v>199</v>
      </c>
      <c r="J89" s="32">
        <v>200425878</v>
      </c>
      <c r="K89" s="37">
        <v>38054</v>
      </c>
      <c r="L89" s="32" t="s">
        <v>63</v>
      </c>
      <c r="M89" s="32" t="s">
        <v>63</v>
      </c>
      <c r="N89" s="87">
        <v>52.972700000000003</v>
      </c>
      <c r="O89" s="87">
        <v>46.2241</v>
      </c>
      <c r="P89" s="88">
        <v>65</v>
      </c>
      <c r="Q89" s="88">
        <v>30</v>
      </c>
      <c r="R89" s="109">
        <v>4</v>
      </c>
      <c r="S89" s="37">
        <v>40313</v>
      </c>
      <c r="T89" s="37">
        <v>40905</v>
      </c>
      <c r="U89" s="32" t="s">
        <v>54</v>
      </c>
      <c r="V89" s="110" t="s">
        <v>55</v>
      </c>
      <c r="W89" s="114">
        <v>4.1959999999999997</v>
      </c>
      <c r="X89" s="114">
        <v>0.23</v>
      </c>
      <c r="Y89" s="111">
        <f t="shared" si="6"/>
        <v>4.4260000000000002</v>
      </c>
      <c r="Z89" s="32" t="s">
        <v>56</v>
      </c>
      <c r="AA89" s="41"/>
      <c r="AB89" s="20"/>
      <c r="AC89" s="32">
        <v>25</v>
      </c>
      <c r="AD89" s="32">
        <v>8</v>
      </c>
      <c r="AE89" s="20"/>
      <c r="AF89" s="20"/>
      <c r="AG89" s="20"/>
      <c r="AH89" s="20"/>
      <c r="AI89" s="20"/>
      <c r="AJ89" s="20"/>
    </row>
    <row r="90" spans="1:36" s="55" customFormat="1" ht="38.25" customHeight="1">
      <c r="A90" s="31">
        <f t="shared" si="7"/>
        <v>39</v>
      </c>
      <c r="B90" s="26" t="s">
        <v>763</v>
      </c>
      <c r="C90" s="34">
        <v>39</v>
      </c>
      <c r="D90" s="11" t="s">
        <v>764</v>
      </c>
      <c r="E90" s="26" t="s">
        <v>765</v>
      </c>
      <c r="F90" s="24" t="s">
        <v>766</v>
      </c>
      <c r="G90" s="187" t="s">
        <v>767</v>
      </c>
      <c r="H90" s="32">
        <v>2013</v>
      </c>
      <c r="I90" s="32" t="s">
        <v>768</v>
      </c>
      <c r="J90" s="32" t="s">
        <v>63</v>
      </c>
      <c r="K90" s="37" t="s">
        <v>63</v>
      </c>
      <c r="L90" s="32" t="s">
        <v>63</v>
      </c>
      <c r="M90" s="32" t="s">
        <v>63</v>
      </c>
      <c r="N90" s="87">
        <v>41.834600000000002</v>
      </c>
      <c r="O90" s="87">
        <v>41.834600000000002</v>
      </c>
      <c r="P90" s="88">
        <v>70</v>
      </c>
      <c r="Q90" s="88">
        <v>15</v>
      </c>
      <c r="R90" s="109">
        <v>1</v>
      </c>
      <c r="S90" s="37">
        <v>41880</v>
      </c>
      <c r="T90" s="113"/>
      <c r="U90" s="32" t="s">
        <v>54</v>
      </c>
      <c r="V90" s="110" t="s">
        <v>55</v>
      </c>
      <c r="W90" s="111"/>
      <c r="X90" s="111"/>
      <c r="Y90" s="111">
        <f t="shared" si="6"/>
        <v>0</v>
      </c>
      <c r="Z90" s="32" t="s">
        <v>98</v>
      </c>
      <c r="AA90" s="41"/>
      <c r="AB90" s="20"/>
      <c r="AC90" s="32">
        <v>77</v>
      </c>
      <c r="AD90" s="32">
        <v>19</v>
      </c>
      <c r="AE90" s="20"/>
      <c r="AF90" s="20"/>
      <c r="AG90" s="20"/>
      <c r="AH90" s="20"/>
      <c r="AI90" s="20"/>
      <c r="AJ90" s="20"/>
    </row>
    <row r="91" spans="1:36" s="55" customFormat="1" ht="24.95" customHeight="1">
      <c r="A91" s="31">
        <f t="shared" si="7"/>
        <v>40</v>
      </c>
      <c r="B91" s="26" t="s">
        <v>769</v>
      </c>
      <c r="C91" s="23">
        <v>40</v>
      </c>
      <c r="D91" s="25" t="s">
        <v>770</v>
      </c>
      <c r="E91" s="26" t="s">
        <v>771</v>
      </c>
      <c r="F91" s="24" t="s">
        <v>772</v>
      </c>
      <c r="G91" s="32" t="s">
        <v>302</v>
      </c>
      <c r="H91" s="32">
        <v>2013</v>
      </c>
      <c r="I91" s="32" t="s">
        <v>199</v>
      </c>
      <c r="J91" s="32" t="s">
        <v>773</v>
      </c>
      <c r="K91" s="37">
        <v>41416</v>
      </c>
      <c r="L91" s="32" t="s">
        <v>63</v>
      </c>
      <c r="M91" s="32" t="s">
        <v>63</v>
      </c>
      <c r="N91" s="87">
        <v>19.924800000000001</v>
      </c>
      <c r="O91" s="87">
        <v>19.924800000000001</v>
      </c>
      <c r="P91" s="88">
        <v>30</v>
      </c>
      <c r="Q91" s="88">
        <v>23</v>
      </c>
      <c r="R91" s="109">
        <v>1</v>
      </c>
      <c r="S91" s="113">
        <v>42310</v>
      </c>
      <c r="T91" s="151" t="s">
        <v>915</v>
      </c>
      <c r="U91" s="32" t="s">
        <v>54</v>
      </c>
      <c r="V91" s="110" t="s">
        <v>55</v>
      </c>
      <c r="W91" s="111"/>
      <c r="X91" s="111"/>
      <c r="Y91" s="111">
        <f t="shared" si="6"/>
        <v>0</v>
      </c>
      <c r="Z91" s="32" t="s">
        <v>98</v>
      </c>
      <c r="AA91" s="41"/>
      <c r="AB91" s="20"/>
      <c r="AC91" s="32">
        <v>20</v>
      </c>
      <c r="AD91" s="32">
        <v>4</v>
      </c>
      <c r="AE91" s="20"/>
      <c r="AF91" s="20"/>
      <c r="AG91" s="20"/>
      <c r="AH91" s="20"/>
      <c r="AI91" s="20"/>
      <c r="AJ91" s="20"/>
    </row>
    <row r="92" spans="1:36" s="55" customFormat="1" ht="24.95" customHeight="1">
      <c r="A92" s="31">
        <f t="shared" si="7"/>
        <v>41</v>
      </c>
      <c r="B92" s="42" t="s">
        <v>810</v>
      </c>
      <c r="C92" s="34">
        <v>41</v>
      </c>
      <c r="D92" s="25" t="s">
        <v>811</v>
      </c>
      <c r="E92" s="42" t="s">
        <v>812</v>
      </c>
      <c r="F92" s="27" t="s">
        <v>813</v>
      </c>
      <c r="G92" s="187" t="s">
        <v>814</v>
      </c>
      <c r="H92" s="78">
        <v>41411</v>
      </c>
      <c r="I92" s="35" t="s">
        <v>199</v>
      </c>
      <c r="J92" s="35" t="s">
        <v>815</v>
      </c>
      <c r="K92" s="78">
        <v>41661</v>
      </c>
      <c r="L92" s="32" t="s">
        <v>63</v>
      </c>
      <c r="M92" s="32" t="s">
        <v>63</v>
      </c>
      <c r="N92" s="99">
        <v>18.853999999999999</v>
      </c>
      <c r="O92" s="99">
        <v>18.853999999999999</v>
      </c>
      <c r="P92" s="100">
        <v>35</v>
      </c>
      <c r="Q92" s="100">
        <v>29</v>
      </c>
      <c r="R92" s="125">
        <v>1</v>
      </c>
      <c r="S92" s="126" t="s">
        <v>932</v>
      </c>
      <c r="T92" s="126" t="s">
        <v>932</v>
      </c>
      <c r="U92" s="32" t="s">
        <v>54</v>
      </c>
      <c r="V92" s="110" t="s">
        <v>55</v>
      </c>
      <c r="W92" s="111"/>
      <c r="X92" s="111"/>
      <c r="Y92" s="111">
        <f t="shared" si="6"/>
        <v>0</v>
      </c>
      <c r="Z92" s="32" t="s">
        <v>98</v>
      </c>
      <c r="AA92" s="41"/>
      <c r="AB92" s="20"/>
      <c r="AC92" s="32">
        <v>23</v>
      </c>
      <c r="AD92" s="32">
        <v>6</v>
      </c>
      <c r="AE92" s="20"/>
      <c r="AF92" s="20"/>
      <c r="AG92" s="20"/>
      <c r="AH92" s="20"/>
      <c r="AI92" s="20"/>
      <c r="AJ92" s="20"/>
    </row>
    <row r="93" spans="1:36" s="55" customFormat="1" ht="24.95" customHeight="1">
      <c r="A93" s="31">
        <f t="shared" si="7"/>
        <v>42</v>
      </c>
      <c r="B93" s="42" t="s">
        <v>816</v>
      </c>
      <c r="C93" s="23">
        <v>42</v>
      </c>
      <c r="D93" s="11" t="s">
        <v>817</v>
      </c>
      <c r="E93" s="42" t="s">
        <v>818</v>
      </c>
      <c r="F93" s="27" t="s">
        <v>819</v>
      </c>
      <c r="G93" s="187" t="s">
        <v>820</v>
      </c>
      <c r="H93" s="78">
        <v>42784</v>
      </c>
      <c r="I93" s="190" t="s">
        <v>821</v>
      </c>
      <c r="J93" s="35" t="s">
        <v>822</v>
      </c>
      <c r="K93" s="78">
        <v>42828</v>
      </c>
      <c r="L93" s="32" t="s">
        <v>63</v>
      </c>
      <c r="M93" s="32" t="s">
        <v>63</v>
      </c>
      <c r="N93" s="99">
        <v>54.804600000000001</v>
      </c>
      <c r="O93" s="99">
        <v>54.804600000000001</v>
      </c>
      <c r="P93" s="100">
        <v>58</v>
      </c>
      <c r="Q93" s="100">
        <v>50</v>
      </c>
      <c r="R93" s="125">
        <v>2</v>
      </c>
      <c r="S93" s="126" t="s">
        <v>926</v>
      </c>
      <c r="T93" s="126"/>
      <c r="U93" s="32" t="s">
        <v>54</v>
      </c>
      <c r="V93" s="110" t="s">
        <v>55</v>
      </c>
      <c r="W93" s="111"/>
      <c r="X93" s="111"/>
      <c r="Y93" s="111">
        <f t="shared" si="6"/>
        <v>0</v>
      </c>
      <c r="Z93" s="32" t="s">
        <v>98</v>
      </c>
      <c r="AA93" s="41"/>
      <c r="AB93" s="20"/>
      <c r="AC93" s="32">
        <v>40</v>
      </c>
      <c r="AD93" s="32">
        <v>10</v>
      </c>
      <c r="AE93" s="20"/>
      <c r="AF93" s="20"/>
      <c r="AG93" s="20"/>
      <c r="AH93" s="20"/>
      <c r="AI93" s="20"/>
      <c r="AJ93" s="20"/>
    </row>
    <row r="94" spans="1:36" s="55" customFormat="1" ht="24.95" customHeight="1">
      <c r="A94" s="31">
        <f t="shared" si="7"/>
        <v>43</v>
      </c>
      <c r="B94" s="26" t="s">
        <v>836</v>
      </c>
      <c r="C94" s="34">
        <v>43</v>
      </c>
      <c r="D94" s="11" t="s">
        <v>837</v>
      </c>
      <c r="E94" s="26" t="s">
        <v>838</v>
      </c>
      <c r="F94" s="24" t="s">
        <v>839</v>
      </c>
      <c r="G94" s="32" t="s">
        <v>69</v>
      </c>
      <c r="H94" s="32">
        <v>2013</v>
      </c>
      <c r="I94" s="32" t="s">
        <v>840</v>
      </c>
      <c r="J94" s="32" t="s">
        <v>841</v>
      </c>
      <c r="K94" s="37">
        <v>41444</v>
      </c>
      <c r="L94" s="32" t="s">
        <v>63</v>
      </c>
      <c r="M94" s="32" t="s">
        <v>63</v>
      </c>
      <c r="N94" s="87">
        <v>23.925899999999999</v>
      </c>
      <c r="O94" s="87">
        <v>21.5215</v>
      </c>
      <c r="P94" s="88">
        <v>35</v>
      </c>
      <c r="Q94" s="88">
        <v>30</v>
      </c>
      <c r="R94" s="109">
        <v>1</v>
      </c>
      <c r="S94" s="37">
        <v>41519</v>
      </c>
      <c r="T94" s="113"/>
      <c r="U94" s="32" t="s">
        <v>54</v>
      </c>
      <c r="V94" s="110" t="s">
        <v>55</v>
      </c>
      <c r="W94" s="114">
        <v>1.3320000000000001</v>
      </c>
      <c r="X94" s="114">
        <v>0.755</v>
      </c>
      <c r="Y94" s="111">
        <f t="shared" si="6"/>
        <v>2.0870000000000002</v>
      </c>
      <c r="Z94" s="32" t="s">
        <v>56</v>
      </c>
      <c r="AA94" s="41"/>
      <c r="AB94" s="20"/>
      <c r="AC94" s="32">
        <v>24</v>
      </c>
      <c r="AD94" s="32">
        <v>6</v>
      </c>
      <c r="AE94" s="20"/>
      <c r="AF94" s="20"/>
      <c r="AG94" s="20"/>
      <c r="AH94" s="20"/>
      <c r="AI94" s="20"/>
      <c r="AJ94" s="20"/>
    </row>
    <row r="95" spans="1:36" s="55" customFormat="1" ht="24.95" customHeight="1">
      <c r="A95" s="31">
        <f t="shared" si="7"/>
        <v>44</v>
      </c>
      <c r="B95" s="42" t="s">
        <v>884</v>
      </c>
      <c r="C95" s="23">
        <v>44</v>
      </c>
      <c r="D95" s="144" t="s">
        <v>885</v>
      </c>
      <c r="E95" s="42" t="s">
        <v>482</v>
      </c>
      <c r="F95" s="27" t="s">
        <v>886</v>
      </c>
      <c r="G95" s="190" t="s">
        <v>887</v>
      </c>
      <c r="H95" s="78">
        <v>41334</v>
      </c>
      <c r="I95" s="35" t="s">
        <v>888</v>
      </c>
      <c r="J95" s="78" t="s">
        <v>889</v>
      </c>
      <c r="K95" s="78" t="s">
        <v>889</v>
      </c>
      <c r="L95" s="32" t="s">
        <v>63</v>
      </c>
      <c r="M95" s="32" t="s">
        <v>63</v>
      </c>
      <c r="N95" s="99">
        <v>89.548000000000002</v>
      </c>
      <c r="O95" s="99">
        <v>86.844899999999996</v>
      </c>
      <c r="P95" s="100">
        <v>172</v>
      </c>
      <c r="Q95" s="100">
        <v>45</v>
      </c>
      <c r="R95" s="125">
        <v>3</v>
      </c>
      <c r="S95" s="78" t="s">
        <v>933</v>
      </c>
      <c r="T95" s="126"/>
      <c r="U95" s="35" t="s">
        <v>54</v>
      </c>
      <c r="V95" s="127" t="s">
        <v>55</v>
      </c>
      <c r="W95" s="152">
        <v>1.968</v>
      </c>
      <c r="X95" s="152">
        <v>1</v>
      </c>
      <c r="Y95" s="111">
        <f t="shared" si="6"/>
        <v>2.968</v>
      </c>
      <c r="Z95" s="35" t="s">
        <v>56</v>
      </c>
      <c r="AA95" s="46"/>
      <c r="AB95" s="20"/>
      <c r="AC95" s="32">
        <v>36</v>
      </c>
      <c r="AD95" s="32">
        <v>9</v>
      </c>
      <c r="AE95" s="20"/>
      <c r="AF95" s="20"/>
      <c r="AG95" s="20"/>
      <c r="AH95" s="20"/>
      <c r="AI95" s="20"/>
      <c r="AJ95" s="20"/>
    </row>
    <row r="96" spans="1:36" s="55" customFormat="1" ht="24.95" customHeight="1">
      <c r="A96" s="44">
        <f>COUNT(A52:A95)</f>
        <v>44</v>
      </c>
      <c r="B96" s="44"/>
      <c r="C96" s="44">
        <f>COUNT(C52:C95)</f>
        <v>44</v>
      </c>
      <c r="D96" s="43"/>
      <c r="E96" s="44"/>
      <c r="F96" s="79"/>
      <c r="G96" s="47"/>
      <c r="H96" s="81"/>
      <c r="I96" s="47"/>
      <c r="J96" s="81"/>
      <c r="K96" s="81"/>
      <c r="L96" s="47"/>
      <c r="M96" s="47"/>
      <c r="N96" s="149">
        <f>SUM(N52:N95)</f>
        <v>1892.2569000000001</v>
      </c>
      <c r="O96" s="149">
        <f>SUM(O52:O95)</f>
        <v>1862.1664000000001</v>
      </c>
      <c r="P96" s="149">
        <f>SUM(P52:P95)</f>
        <v>2883</v>
      </c>
      <c r="Q96" s="149">
        <f>SUM(Q52:Q95)</f>
        <v>2064</v>
      </c>
      <c r="R96" s="149">
        <f>SUM(R52:R95)</f>
        <v>87</v>
      </c>
      <c r="S96" s="81"/>
      <c r="T96" s="81"/>
      <c r="U96" s="47"/>
      <c r="V96" s="129"/>
      <c r="W96" s="153">
        <f>SUM(W52:W95)</f>
        <v>79.93262</v>
      </c>
      <c r="X96" s="153">
        <f>SUM(X52:X95)</f>
        <v>18.298100000000002</v>
      </c>
      <c r="Y96" s="153">
        <f>SUM(Y52:Y95)</f>
        <v>98.230720000000005</v>
      </c>
      <c r="Z96" s="28"/>
      <c r="AA96" s="141"/>
      <c r="AB96" s="38"/>
      <c r="AC96" s="33"/>
      <c r="AD96" s="33"/>
      <c r="AE96" s="38"/>
      <c r="AF96" s="38"/>
      <c r="AG96" s="38"/>
      <c r="AH96" s="38"/>
      <c r="AI96" s="38"/>
      <c r="AJ96" s="20"/>
    </row>
    <row r="97" spans="1:36" s="55" customFormat="1" ht="15" customHeight="1">
      <c r="A97" s="145" t="s">
        <v>934</v>
      </c>
      <c r="B97" s="146"/>
      <c r="C97" s="146"/>
      <c r="D97" s="21"/>
      <c r="E97" s="146"/>
      <c r="F97" s="29"/>
      <c r="G97" s="20"/>
      <c r="H97" s="20"/>
      <c r="I97" s="20"/>
      <c r="J97" s="20"/>
      <c r="K97" s="20"/>
      <c r="L97" s="20"/>
      <c r="M97" s="20"/>
      <c r="N97" s="103"/>
      <c r="O97" s="103"/>
      <c r="P97" s="104"/>
      <c r="Q97" s="104"/>
      <c r="R97" s="104"/>
      <c r="S97" s="131"/>
      <c r="T97" s="131"/>
      <c r="U97" s="20"/>
      <c r="V97" s="20"/>
      <c r="W97" s="132"/>
      <c r="X97" s="132"/>
      <c r="Y97" s="132"/>
      <c r="Z97" s="36"/>
      <c r="AA97" s="142"/>
      <c r="AB97" s="20"/>
      <c r="AC97" s="32"/>
      <c r="AD97" s="32"/>
      <c r="AE97" s="20"/>
      <c r="AF97" s="20"/>
      <c r="AG97" s="20"/>
      <c r="AH97" s="20"/>
      <c r="AI97" s="20"/>
      <c r="AJ97" s="20"/>
    </row>
    <row r="98" spans="1:36" s="55" customFormat="1" ht="24.95" customHeight="1">
      <c r="A98" s="31">
        <v>1</v>
      </c>
      <c r="B98" s="26" t="s">
        <v>48</v>
      </c>
      <c r="C98" s="26">
        <v>1</v>
      </c>
      <c r="D98" s="11" t="s">
        <v>49</v>
      </c>
      <c r="E98" s="26" t="s">
        <v>50</v>
      </c>
      <c r="F98" s="24" t="s">
        <v>51</v>
      </c>
      <c r="G98" s="187" t="s">
        <v>52</v>
      </c>
      <c r="H98" s="32">
        <v>1978</v>
      </c>
      <c r="I98" s="32" t="s">
        <v>53</v>
      </c>
      <c r="J98" s="32">
        <v>82319</v>
      </c>
      <c r="K98" s="37">
        <v>28774</v>
      </c>
      <c r="L98" s="32">
        <v>11369</v>
      </c>
      <c r="M98" s="37">
        <v>32470</v>
      </c>
      <c r="N98" s="87">
        <v>449.29059999999998</v>
      </c>
      <c r="O98" s="87">
        <v>449.29059999999998</v>
      </c>
      <c r="P98" s="88">
        <v>600</v>
      </c>
      <c r="Q98" s="88">
        <v>214</v>
      </c>
      <c r="R98" s="109">
        <v>3</v>
      </c>
      <c r="S98" s="37">
        <v>31768</v>
      </c>
      <c r="T98" s="37">
        <v>39625</v>
      </c>
      <c r="U98" s="32" t="s">
        <v>935</v>
      </c>
      <c r="V98" s="110" t="s">
        <v>55</v>
      </c>
      <c r="W98" s="114">
        <v>4.26</v>
      </c>
      <c r="X98" s="114">
        <v>4.0110000000000001</v>
      </c>
      <c r="Y98" s="111">
        <f t="shared" ref="Y98:Y142" si="8">SUM(W98:X98)</f>
        <v>8.2710000000000008</v>
      </c>
      <c r="Z98" s="32" t="s">
        <v>56</v>
      </c>
      <c r="AA98" s="41"/>
      <c r="AB98" s="20"/>
      <c r="AC98" s="32">
        <v>172</v>
      </c>
      <c r="AD98" s="32">
        <v>42</v>
      </c>
      <c r="AE98" s="20"/>
      <c r="AF98" s="20"/>
      <c r="AG98" s="20"/>
      <c r="AH98" s="20"/>
      <c r="AI98" s="20"/>
      <c r="AJ98" s="20"/>
    </row>
    <row r="99" spans="1:36" s="55" customFormat="1" ht="24.95" customHeight="1">
      <c r="A99" s="31">
        <f>A98+1</f>
        <v>2</v>
      </c>
      <c r="B99" s="26" t="s">
        <v>57</v>
      </c>
      <c r="C99" s="26">
        <f>C98+1</f>
        <v>2</v>
      </c>
      <c r="D99" s="11" t="s">
        <v>58</v>
      </c>
      <c r="E99" s="26" t="s">
        <v>59</v>
      </c>
      <c r="F99" s="24" t="s">
        <v>60</v>
      </c>
      <c r="G99" s="187" t="s">
        <v>61</v>
      </c>
      <c r="H99" s="32">
        <v>2002</v>
      </c>
      <c r="I99" s="32" t="s">
        <v>62</v>
      </c>
      <c r="J99" s="32">
        <v>200200011</v>
      </c>
      <c r="K99" s="37">
        <v>37278</v>
      </c>
      <c r="L99" s="32" t="s">
        <v>63</v>
      </c>
      <c r="M99" s="32" t="s">
        <v>63</v>
      </c>
      <c r="N99" s="87">
        <v>79.702200000000005</v>
      </c>
      <c r="O99" s="87">
        <v>79.702200000000005</v>
      </c>
      <c r="P99" s="88">
        <v>85</v>
      </c>
      <c r="Q99" s="88">
        <v>65</v>
      </c>
      <c r="R99" s="109">
        <v>1</v>
      </c>
      <c r="S99" s="186" t="s">
        <v>64</v>
      </c>
      <c r="T99" s="113"/>
      <c r="U99" s="32" t="s">
        <v>54</v>
      </c>
      <c r="V99" s="110" t="s">
        <v>55</v>
      </c>
      <c r="W99" s="114">
        <v>2.3199999999999998</v>
      </c>
      <c r="X99" s="114">
        <v>0.93400000000000005</v>
      </c>
      <c r="Y99" s="111">
        <f t="shared" si="8"/>
        <v>3.254</v>
      </c>
      <c r="Z99" s="32" t="s">
        <v>56</v>
      </c>
      <c r="AA99" s="41"/>
      <c r="AB99" s="20"/>
      <c r="AC99" s="32">
        <v>52</v>
      </c>
      <c r="AD99" s="32">
        <v>13</v>
      </c>
      <c r="AE99" s="20"/>
      <c r="AF99" s="20"/>
      <c r="AG99" s="20"/>
      <c r="AH99" s="20"/>
      <c r="AI99" s="20"/>
      <c r="AJ99" s="20"/>
    </row>
    <row r="100" spans="1:36" s="55" customFormat="1" ht="24.95" customHeight="1">
      <c r="A100" s="31">
        <f>A99+1</f>
        <v>3</v>
      </c>
      <c r="B100" s="26" t="s">
        <v>72</v>
      </c>
      <c r="C100" s="26">
        <f>C99+1</f>
        <v>3</v>
      </c>
      <c r="D100" s="11" t="s">
        <v>73</v>
      </c>
      <c r="E100" s="26" t="s">
        <v>74</v>
      </c>
      <c r="F100" s="24" t="s">
        <v>75</v>
      </c>
      <c r="G100" s="187" t="s">
        <v>76</v>
      </c>
      <c r="H100" s="32">
        <v>1987</v>
      </c>
      <c r="I100" s="32" t="s">
        <v>77</v>
      </c>
      <c r="J100" s="32">
        <v>169942</v>
      </c>
      <c r="K100" s="37">
        <v>32807</v>
      </c>
      <c r="L100" s="32" t="s">
        <v>63</v>
      </c>
      <c r="M100" s="32" t="s">
        <v>63</v>
      </c>
      <c r="N100" s="87">
        <v>194.0548</v>
      </c>
      <c r="O100" s="87">
        <v>194.0548</v>
      </c>
      <c r="P100" s="88">
        <v>155</v>
      </c>
      <c r="Q100" s="88">
        <v>141</v>
      </c>
      <c r="R100" s="109">
        <v>3</v>
      </c>
      <c r="S100" s="37">
        <v>30811</v>
      </c>
      <c r="T100" s="37">
        <v>39562</v>
      </c>
      <c r="U100" s="32" t="s">
        <v>54</v>
      </c>
      <c r="V100" s="110" t="s">
        <v>55</v>
      </c>
      <c r="W100" s="114">
        <v>3.4860000000000002</v>
      </c>
      <c r="X100" s="114">
        <v>1.75</v>
      </c>
      <c r="Y100" s="111">
        <f t="shared" si="8"/>
        <v>5.2359999999999998</v>
      </c>
      <c r="Z100" s="32" t="s">
        <v>56</v>
      </c>
      <c r="AA100" s="41"/>
      <c r="AB100" s="20"/>
      <c r="AC100" s="32">
        <v>112</v>
      </c>
      <c r="AD100" s="32">
        <v>29</v>
      </c>
      <c r="AE100" s="20"/>
      <c r="AF100" s="20"/>
      <c r="AG100" s="20"/>
      <c r="AH100" s="20"/>
      <c r="AI100" s="20"/>
      <c r="AJ100" s="20"/>
    </row>
    <row r="101" spans="1:36" s="55" customFormat="1" ht="24.95" customHeight="1">
      <c r="A101" s="31">
        <f t="shared" ref="A101:A114" si="9">A100+1</f>
        <v>4</v>
      </c>
      <c r="B101" s="26" t="s">
        <v>85</v>
      </c>
      <c r="C101" s="26">
        <f t="shared" ref="C101:C142" si="10">C100+1</f>
        <v>4</v>
      </c>
      <c r="D101" s="11" t="s">
        <v>86</v>
      </c>
      <c r="E101" s="26" t="s">
        <v>87</v>
      </c>
      <c r="F101" s="24" t="s">
        <v>88</v>
      </c>
      <c r="G101" s="187" t="s">
        <v>89</v>
      </c>
      <c r="H101" s="37">
        <v>41213</v>
      </c>
      <c r="I101" s="32" t="s">
        <v>90</v>
      </c>
      <c r="J101" s="32">
        <v>201232700</v>
      </c>
      <c r="K101" s="37">
        <v>41218</v>
      </c>
      <c r="L101" s="32" t="s">
        <v>63</v>
      </c>
      <c r="M101" s="32" t="s">
        <v>63</v>
      </c>
      <c r="N101" s="87">
        <v>69.527699999999996</v>
      </c>
      <c r="O101" s="87">
        <v>69.527699999999996</v>
      </c>
      <c r="P101" s="88">
        <v>75</v>
      </c>
      <c r="Q101" s="88">
        <v>68</v>
      </c>
      <c r="R101" s="109">
        <v>2</v>
      </c>
      <c r="S101" s="37">
        <v>41567</v>
      </c>
      <c r="T101" s="113"/>
      <c r="U101" s="32" t="s">
        <v>54</v>
      </c>
      <c r="V101" s="110" t="s">
        <v>55</v>
      </c>
      <c r="W101" s="114">
        <v>3.1629999999999998</v>
      </c>
      <c r="X101" s="114">
        <v>1.2989999999999999</v>
      </c>
      <c r="Y101" s="111">
        <f t="shared" si="8"/>
        <v>4.4619999999999997</v>
      </c>
      <c r="Z101" s="32" t="s">
        <v>56</v>
      </c>
      <c r="AA101" s="41"/>
      <c r="AB101" s="20"/>
      <c r="AC101" s="32">
        <v>54</v>
      </c>
      <c r="AD101" s="32">
        <v>14</v>
      </c>
      <c r="AE101" s="20"/>
      <c r="AF101" s="20"/>
      <c r="AG101" s="20"/>
      <c r="AH101" s="20"/>
      <c r="AI101" s="20"/>
      <c r="AJ101" s="20"/>
    </row>
    <row r="102" spans="1:36" s="55" customFormat="1" ht="30.75" customHeight="1">
      <c r="A102" s="31">
        <f t="shared" si="9"/>
        <v>5</v>
      </c>
      <c r="B102" s="26" t="s">
        <v>147</v>
      </c>
      <c r="C102" s="26">
        <f t="shared" si="10"/>
        <v>5</v>
      </c>
      <c r="D102" s="11" t="s">
        <v>148</v>
      </c>
      <c r="E102" s="26" t="s">
        <v>149</v>
      </c>
      <c r="F102" s="24" t="s">
        <v>150</v>
      </c>
      <c r="G102" s="187" t="s">
        <v>151</v>
      </c>
      <c r="H102" s="32">
        <v>2013</v>
      </c>
      <c r="I102" s="32" t="s">
        <v>152</v>
      </c>
      <c r="J102" s="32" t="s">
        <v>153</v>
      </c>
      <c r="K102" s="37">
        <v>41415</v>
      </c>
      <c r="L102" s="187" t="s">
        <v>154</v>
      </c>
      <c r="M102" s="37">
        <v>42655</v>
      </c>
      <c r="N102" s="87">
        <v>159.41579999999999</v>
      </c>
      <c r="O102" s="87">
        <v>155.70339999999999</v>
      </c>
      <c r="P102" s="88">
        <v>110</v>
      </c>
      <c r="Q102" s="88">
        <v>52</v>
      </c>
      <c r="R102" s="109">
        <v>3</v>
      </c>
      <c r="S102" s="186" t="s">
        <v>155</v>
      </c>
      <c r="T102" s="113" t="s">
        <v>936</v>
      </c>
      <c r="U102" s="32" t="s">
        <v>54</v>
      </c>
      <c r="V102" s="110" t="s">
        <v>55</v>
      </c>
      <c r="W102" s="114">
        <v>2.8140000000000001</v>
      </c>
      <c r="X102" s="114">
        <v>4.5720000000000001</v>
      </c>
      <c r="Y102" s="111">
        <f t="shared" si="8"/>
        <v>7.3860000000000001</v>
      </c>
      <c r="Z102" s="32" t="s">
        <v>56</v>
      </c>
      <c r="AA102" s="41"/>
      <c r="AB102" s="20"/>
      <c r="AC102" s="32">
        <v>41</v>
      </c>
      <c r="AD102" s="32">
        <v>11</v>
      </c>
      <c r="AE102" s="20"/>
      <c r="AF102" s="20"/>
      <c r="AG102" s="20"/>
      <c r="AH102" s="20"/>
      <c r="AI102" s="20"/>
      <c r="AJ102" s="20"/>
    </row>
    <row r="103" spans="1:36" s="55" customFormat="1" ht="24.95" customHeight="1">
      <c r="A103" s="31">
        <f t="shared" si="9"/>
        <v>6</v>
      </c>
      <c r="B103" s="26" t="s">
        <v>171</v>
      </c>
      <c r="C103" s="26">
        <f t="shared" si="10"/>
        <v>6</v>
      </c>
      <c r="D103" s="11" t="s">
        <v>172</v>
      </c>
      <c r="E103" s="26" t="s">
        <v>173</v>
      </c>
      <c r="F103" s="24" t="s">
        <v>174</v>
      </c>
      <c r="G103" s="187" t="s">
        <v>175</v>
      </c>
      <c r="H103" s="32">
        <v>1984</v>
      </c>
      <c r="I103" s="32" t="s">
        <v>176</v>
      </c>
      <c r="J103" s="32">
        <v>121416</v>
      </c>
      <c r="K103" s="37">
        <v>30866</v>
      </c>
      <c r="L103" s="32">
        <v>76166</v>
      </c>
      <c r="M103" s="37">
        <v>32146</v>
      </c>
      <c r="N103" s="87">
        <v>257.16030000000001</v>
      </c>
      <c r="O103" s="87">
        <v>209.1756</v>
      </c>
      <c r="P103" s="88">
        <v>236</v>
      </c>
      <c r="Q103" s="88">
        <v>213</v>
      </c>
      <c r="R103" s="109">
        <v>5</v>
      </c>
      <c r="S103" s="37">
        <v>31724</v>
      </c>
      <c r="T103" s="37">
        <v>37378</v>
      </c>
      <c r="U103" s="32" t="s">
        <v>54</v>
      </c>
      <c r="V103" s="110" t="s">
        <v>55</v>
      </c>
      <c r="W103" s="114">
        <v>1.7</v>
      </c>
      <c r="X103" s="114">
        <v>1.825</v>
      </c>
      <c r="Y103" s="111">
        <f t="shared" si="8"/>
        <v>3.5249999999999999</v>
      </c>
      <c r="Z103" s="32" t="s">
        <v>56</v>
      </c>
      <c r="AA103" s="41"/>
      <c r="AB103" s="20"/>
      <c r="AC103" s="32">
        <v>170</v>
      </c>
      <c r="AD103" s="32">
        <v>43</v>
      </c>
      <c r="AE103" s="20"/>
      <c r="AF103" s="20"/>
      <c r="AG103" s="20"/>
      <c r="AH103" s="20"/>
      <c r="AI103" s="20"/>
      <c r="AJ103" s="20"/>
    </row>
    <row r="104" spans="1:36" s="55" customFormat="1" ht="24.95" customHeight="1">
      <c r="A104" s="31">
        <f t="shared" si="9"/>
        <v>7</v>
      </c>
      <c r="B104" s="26" t="s">
        <v>184</v>
      </c>
      <c r="C104" s="26">
        <f t="shared" si="10"/>
        <v>7</v>
      </c>
      <c r="D104" s="25" t="s">
        <v>185</v>
      </c>
      <c r="E104" s="26" t="s">
        <v>186</v>
      </c>
      <c r="F104" s="24" t="s">
        <v>187</v>
      </c>
      <c r="G104" s="187" t="s">
        <v>188</v>
      </c>
      <c r="H104" s="32">
        <v>1991</v>
      </c>
      <c r="I104" s="32" t="s">
        <v>189</v>
      </c>
      <c r="J104" s="32">
        <v>155369</v>
      </c>
      <c r="K104" s="37">
        <v>32760</v>
      </c>
      <c r="L104" s="187" t="s">
        <v>190</v>
      </c>
      <c r="M104" s="32"/>
      <c r="N104" s="87">
        <v>29.931699999999999</v>
      </c>
      <c r="O104" s="87">
        <v>29.931699999999999</v>
      </c>
      <c r="P104" s="88">
        <v>42</v>
      </c>
      <c r="Q104" s="88">
        <v>38</v>
      </c>
      <c r="R104" s="109">
        <v>3</v>
      </c>
      <c r="S104" s="37">
        <v>30498</v>
      </c>
      <c r="T104" s="37">
        <v>32942</v>
      </c>
      <c r="U104" s="32" t="s">
        <v>163</v>
      </c>
      <c r="V104" s="110" t="s">
        <v>55</v>
      </c>
      <c r="W104" s="114">
        <v>0.43</v>
      </c>
      <c r="X104" s="114">
        <v>1.29</v>
      </c>
      <c r="Y104" s="111">
        <f t="shared" si="8"/>
        <v>1.72</v>
      </c>
      <c r="Z104" s="32" t="s">
        <v>56</v>
      </c>
      <c r="AA104" s="41"/>
      <c r="AB104" s="20"/>
      <c r="AC104" s="32">
        <v>30</v>
      </c>
      <c r="AD104" s="32">
        <v>8</v>
      </c>
      <c r="AE104" s="20"/>
      <c r="AF104" s="20"/>
      <c r="AG104" s="20"/>
      <c r="AH104" s="20"/>
      <c r="AI104" s="20"/>
      <c r="AJ104" s="20"/>
    </row>
    <row r="105" spans="1:36" s="55" customFormat="1" ht="24.95" customHeight="1">
      <c r="A105" s="31">
        <f t="shared" si="9"/>
        <v>8</v>
      </c>
      <c r="B105" s="26" t="s">
        <v>191</v>
      </c>
      <c r="C105" s="26">
        <f t="shared" si="10"/>
        <v>8</v>
      </c>
      <c r="D105" s="11" t="s">
        <v>196</v>
      </c>
      <c r="E105" s="26" t="s">
        <v>197</v>
      </c>
      <c r="F105" s="24" t="s">
        <v>198</v>
      </c>
      <c r="G105" s="32" t="s">
        <v>69</v>
      </c>
      <c r="H105" s="32">
        <v>1976</v>
      </c>
      <c r="I105" s="32" t="s">
        <v>199</v>
      </c>
      <c r="J105" s="32">
        <v>192389</v>
      </c>
      <c r="K105" s="37">
        <v>33414</v>
      </c>
      <c r="L105" s="187" t="s">
        <v>200</v>
      </c>
      <c r="M105" s="37">
        <v>32433</v>
      </c>
      <c r="N105" s="87">
        <v>63.584600000000002</v>
      </c>
      <c r="O105" s="87">
        <v>63.584600000000002</v>
      </c>
      <c r="P105" s="88">
        <v>72</v>
      </c>
      <c r="Q105" s="88">
        <v>54</v>
      </c>
      <c r="R105" s="109">
        <v>3</v>
      </c>
      <c r="S105" s="37">
        <v>28471</v>
      </c>
      <c r="T105" s="37">
        <v>39623</v>
      </c>
      <c r="U105" s="32" t="s">
        <v>54</v>
      </c>
      <c r="V105" s="110" t="s">
        <v>55</v>
      </c>
      <c r="W105" s="114">
        <v>1.4219999999999999</v>
      </c>
      <c r="X105" s="114">
        <v>1.0309999999999999</v>
      </c>
      <c r="Y105" s="111">
        <f t="shared" si="8"/>
        <v>2.4529999999999998</v>
      </c>
      <c r="Z105" s="32" t="s">
        <v>56</v>
      </c>
      <c r="AA105" s="41"/>
      <c r="AB105" s="20"/>
      <c r="AC105" s="32">
        <v>58</v>
      </c>
      <c r="AD105" s="32">
        <v>14</v>
      </c>
      <c r="AE105" s="20"/>
      <c r="AF105" s="20"/>
      <c r="AG105" s="20"/>
      <c r="AH105" s="20"/>
      <c r="AI105" s="20"/>
      <c r="AJ105" s="20"/>
    </row>
    <row r="106" spans="1:36" s="55" customFormat="1" ht="24.95" customHeight="1">
      <c r="A106" s="31">
        <f t="shared" si="9"/>
        <v>9</v>
      </c>
      <c r="B106" s="26" t="s">
        <v>202</v>
      </c>
      <c r="C106" s="26">
        <f t="shared" si="10"/>
        <v>9</v>
      </c>
      <c r="D106" s="11" t="s">
        <v>203</v>
      </c>
      <c r="E106" s="26" t="s">
        <v>204</v>
      </c>
      <c r="F106" s="24" t="s">
        <v>205</v>
      </c>
      <c r="G106" s="32">
        <v>9125402130</v>
      </c>
      <c r="H106" s="32">
        <v>2013</v>
      </c>
      <c r="I106" s="32" t="s">
        <v>206</v>
      </c>
      <c r="J106" s="32" t="s">
        <v>207</v>
      </c>
      <c r="K106" s="37">
        <v>41338</v>
      </c>
      <c r="L106" s="32" t="s">
        <v>63</v>
      </c>
      <c r="M106" s="32" t="s">
        <v>63</v>
      </c>
      <c r="N106" s="87">
        <v>52.095500000000001</v>
      </c>
      <c r="O106" s="87">
        <v>52.095500000000001</v>
      </c>
      <c r="P106" s="88">
        <v>55</v>
      </c>
      <c r="Q106" s="88">
        <v>55</v>
      </c>
      <c r="R106" s="109">
        <v>3</v>
      </c>
      <c r="S106" s="37" t="s">
        <v>208</v>
      </c>
      <c r="T106" s="113" t="s">
        <v>937</v>
      </c>
      <c r="U106" s="32" t="s">
        <v>54</v>
      </c>
      <c r="V106" s="110" t="s">
        <v>55</v>
      </c>
      <c r="W106" s="114">
        <v>3.33</v>
      </c>
      <c r="X106" s="111"/>
      <c r="Y106" s="111">
        <f t="shared" si="8"/>
        <v>3.33</v>
      </c>
      <c r="Z106" s="32" t="s">
        <v>56</v>
      </c>
      <c r="AA106" s="41"/>
      <c r="AB106" s="20"/>
      <c r="AC106" s="32">
        <v>45</v>
      </c>
      <c r="AD106" s="32">
        <v>11</v>
      </c>
      <c r="AE106" s="20"/>
      <c r="AF106" s="20"/>
      <c r="AG106" s="20"/>
      <c r="AH106" s="20"/>
      <c r="AI106" s="20"/>
      <c r="AJ106" s="20"/>
    </row>
    <row r="107" spans="1:36" s="55" customFormat="1" ht="24.95" customHeight="1">
      <c r="A107" s="31">
        <f t="shared" si="9"/>
        <v>10</v>
      </c>
      <c r="B107" s="26" t="s">
        <v>210</v>
      </c>
      <c r="C107" s="26">
        <f t="shared" si="10"/>
        <v>10</v>
      </c>
      <c r="D107" s="11" t="s">
        <v>211</v>
      </c>
      <c r="E107" s="26" t="s">
        <v>212</v>
      </c>
      <c r="F107" s="24" t="s">
        <v>213</v>
      </c>
      <c r="G107" s="187" t="s">
        <v>214</v>
      </c>
      <c r="H107" s="37">
        <v>42951</v>
      </c>
      <c r="I107" s="32" t="s">
        <v>215</v>
      </c>
      <c r="J107" s="32" t="s">
        <v>216</v>
      </c>
      <c r="K107" s="37">
        <v>43298</v>
      </c>
      <c r="L107" s="32" t="s">
        <v>63</v>
      </c>
      <c r="M107" s="32" t="s">
        <v>63</v>
      </c>
      <c r="N107" s="87">
        <v>252.19980000000001</v>
      </c>
      <c r="O107" s="87">
        <v>252.19980000000001</v>
      </c>
      <c r="P107" s="88">
        <v>150</v>
      </c>
      <c r="Q107" s="88">
        <v>56</v>
      </c>
      <c r="R107" s="109">
        <v>2</v>
      </c>
      <c r="S107" s="186" t="s">
        <v>217</v>
      </c>
      <c r="T107" s="113">
        <v>45515</v>
      </c>
      <c r="U107" s="32" t="s">
        <v>218</v>
      </c>
      <c r="V107" s="110" t="s">
        <v>55</v>
      </c>
      <c r="W107" s="114">
        <v>3.9119999999999999</v>
      </c>
      <c r="X107" s="114">
        <v>4.0940000000000003</v>
      </c>
      <c r="Y107" s="111">
        <f t="shared" si="8"/>
        <v>8.0060000000000002</v>
      </c>
      <c r="Z107" s="32" t="s">
        <v>56</v>
      </c>
      <c r="AA107" s="41"/>
      <c r="AB107" s="20"/>
      <c r="AC107" s="32">
        <v>44</v>
      </c>
      <c r="AD107" s="32">
        <v>12</v>
      </c>
      <c r="AE107" s="20"/>
      <c r="AF107" s="20"/>
      <c r="AG107" s="20"/>
      <c r="AH107" s="20"/>
      <c r="AI107" s="20"/>
      <c r="AJ107" s="20"/>
    </row>
    <row r="108" spans="1:36" s="55" customFormat="1" ht="24.95" customHeight="1">
      <c r="A108" s="31">
        <f t="shared" si="9"/>
        <v>11</v>
      </c>
      <c r="B108" s="26" t="s">
        <v>235</v>
      </c>
      <c r="C108" s="26">
        <f t="shared" si="10"/>
        <v>11</v>
      </c>
      <c r="D108" s="11" t="s">
        <v>236</v>
      </c>
      <c r="E108" s="26" t="s">
        <v>237</v>
      </c>
      <c r="F108" s="50" t="s">
        <v>938</v>
      </c>
      <c r="G108" s="32">
        <v>9925525743</v>
      </c>
      <c r="H108" s="37">
        <v>41552</v>
      </c>
      <c r="I108" s="32" t="s">
        <v>238</v>
      </c>
      <c r="J108" s="32" t="s">
        <v>239</v>
      </c>
      <c r="K108" s="37">
        <v>41563</v>
      </c>
      <c r="L108" s="32" t="s">
        <v>63</v>
      </c>
      <c r="M108" s="32" t="s">
        <v>63</v>
      </c>
      <c r="N108" s="87">
        <v>92.988200000000006</v>
      </c>
      <c r="O108" s="87">
        <v>92.988200000000006</v>
      </c>
      <c r="P108" s="88">
        <v>150</v>
      </c>
      <c r="Q108" s="88">
        <v>135</v>
      </c>
      <c r="R108" s="109">
        <v>1</v>
      </c>
      <c r="S108" s="37">
        <v>41883</v>
      </c>
      <c r="T108" s="113"/>
      <c r="U108" s="32" t="s">
        <v>218</v>
      </c>
      <c r="V108" s="110" t="s">
        <v>55</v>
      </c>
      <c r="W108" s="114">
        <v>1.66</v>
      </c>
      <c r="X108" s="114">
        <v>2.2400000000000002</v>
      </c>
      <c r="Y108" s="111">
        <f t="shared" si="8"/>
        <v>3.9</v>
      </c>
      <c r="Z108" s="32" t="s">
        <v>56</v>
      </c>
      <c r="AA108" s="41"/>
      <c r="AB108" s="20"/>
      <c r="AC108" s="32">
        <v>108</v>
      </c>
      <c r="AD108" s="32">
        <v>27</v>
      </c>
      <c r="AE108" s="20"/>
      <c r="AF108" s="20"/>
      <c r="AG108" s="20"/>
      <c r="AH108" s="20"/>
      <c r="AI108" s="20"/>
      <c r="AJ108" s="20"/>
    </row>
    <row r="109" spans="1:36" s="55" customFormat="1" ht="24.95" customHeight="1">
      <c r="A109" s="31">
        <f t="shared" si="9"/>
        <v>12</v>
      </c>
      <c r="B109" s="26" t="s">
        <v>259</v>
      </c>
      <c r="C109" s="26">
        <f t="shared" si="10"/>
        <v>12</v>
      </c>
      <c r="D109" s="11" t="s">
        <v>260</v>
      </c>
      <c r="E109" s="26" t="s">
        <v>261</v>
      </c>
      <c r="F109" s="24" t="s">
        <v>262</v>
      </c>
      <c r="G109" s="32" t="s">
        <v>69</v>
      </c>
      <c r="H109" s="37">
        <v>43167</v>
      </c>
      <c r="I109" s="187" t="s">
        <v>263</v>
      </c>
      <c r="J109" s="32">
        <v>6033510</v>
      </c>
      <c r="K109" s="37">
        <v>43349</v>
      </c>
      <c r="L109" s="32" t="s">
        <v>63</v>
      </c>
      <c r="M109" s="32" t="s">
        <v>63</v>
      </c>
      <c r="N109" s="87">
        <v>49.679299999999998</v>
      </c>
      <c r="O109" s="87">
        <v>49.679299999999998</v>
      </c>
      <c r="P109" s="88">
        <v>76</v>
      </c>
      <c r="Q109" s="88">
        <v>75</v>
      </c>
      <c r="R109" s="109">
        <v>1</v>
      </c>
      <c r="S109" s="113">
        <v>45573</v>
      </c>
      <c r="T109" s="113">
        <v>45573</v>
      </c>
      <c r="U109" s="32" t="s">
        <v>54</v>
      </c>
      <c r="V109" s="110" t="s">
        <v>55</v>
      </c>
      <c r="W109" s="114">
        <v>3.948</v>
      </c>
      <c r="X109" s="114">
        <v>0.2</v>
      </c>
      <c r="Y109" s="111">
        <f t="shared" si="8"/>
        <v>4.1479999999999997</v>
      </c>
      <c r="Z109" s="32" t="s">
        <v>56</v>
      </c>
      <c r="AA109" s="41"/>
      <c r="AB109" s="20"/>
      <c r="AC109" s="32">
        <v>60</v>
      </c>
      <c r="AD109" s="32">
        <v>15</v>
      </c>
      <c r="AE109" s="20"/>
      <c r="AF109" s="20"/>
      <c r="AG109" s="20"/>
      <c r="AH109" s="20"/>
      <c r="AI109" s="20"/>
      <c r="AJ109" s="20"/>
    </row>
    <row r="110" spans="1:36" s="55" customFormat="1" ht="24.95" customHeight="1">
      <c r="A110" s="31">
        <f t="shared" si="9"/>
        <v>13</v>
      </c>
      <c r="B110" s="26" t="s">
        <v>292</v>
      </c>
      <c r="C110" s="26">
        <f t="shared" si="10"/>
        <v>13</v>
      </c>
      <c r="D110" s="25" t="s">
        <v>293</v>
      </c>
      <c r="E110" s="26" t="s">
        <v>294</v>
      </c>
      <c r="F110" s="24" t="s">
        <v>295</v>
      </c>
      <c r="G110" s="187" t="s">
        <v>296</v>
      </c>
      <c r="H110" s="32">
        <v>1979</v>
      </c>
      <c r="I110" s="32" t="s">
        <v>297</v>
      </c>
      <c r="J110" s="32">
        <v>192021</v>
      </c>
      <c r="K110" s="37">
        <v>29240</v>
      </c>
      <c r="L110" s="32">
        <v>11280</v>
      </c>
      <c r="M110" s="37">
        <v>32412</v>
      </c>
      <c r="N110" s="87">
        <v>253.63210000000001</v>
      </c>
      <c r="O110" s="87">
        <v>244.7679</v>
      </c>
      <c r="P110" s="88">
        <v>311</v>
      </c>
      <c r="Q110" s="88">
        <v>230</v>
      </c>
      <c r="R110" s="109">
        <v>4</v>
      </c>
      <c r="S110" s="37">
        <v>30382</v>
      </c>
      <c r="T110" s="37">
        <v>40515</v>
      </c>
      <c r="U110" s="32" t="s">
        <v>54</v>
      </c>
      <c r="V110" s="110" t="s">
        <v>55</v>
      </c>
      <c r="W110" s="114">
        <v>6.37</v>
      </c>
      <c r="X110" s="114">
        <v>1.1000000000000001</v>
      </c>
      <c r="Y110" s="111">
        <f t="shared" si="8"/>
        <v>7.47</v>
      </c>
      <c r="Z110" s="32" t="s">
        <v>56</v>
      </c>
      <c r="AA110" s="41"/>
      <c r="AB110" s="20"/>
      <c r="AC110" s="32">
        <v>184</v>
      </c>
      <c r="AD110" s="32">
        <v>46</v>
      </c>
      <c r="AE110" s="20"/>
      <c r="AF110" s="20"/>
      <c r="AG110" s="20"/>
      <c r="AH110" s="20"/>
      <c r="AI110" s="20"/>
      <c r="AJ110" s="20"/>
    </row>
    <row r="111" spans="1:36" s="55" customFormat="1" ht="36" customHeight="1">
      <c r="A111" s="31">
        <f t="shared" si="9"/>
        <v>14</v>
      </c>
      <c r="B111" s="26" t="s">
        <v>314</v>
      </c>
      <c r="C111" s="26">
        <f t="shared" si="10"/>
        <v>14</v>
      </c>
      <c r="D111" s="11" t="s">
        <v>315</v>
      </c>
      <c r="E111" s="26" t="s">
        <v>316</v>
      </c>
      <c r="F111" s="24" t="s">
        <v>317</v>
      </c>
      <c r="G111" s="32">
        <v>9631211376</v>
      </c>
      <c r="H111" s="32">
        <v>2011</v>
      </c>
      <c r="I111" s="32" t="s">
        <v>318</v>
      </c>
      <c r="J111" s="45" t="s">
        <v>319</v>
      </c>
      <c r="K111" s="37">
        <v>40575</v>
      </c>
      <c r="L111" s="32" t="s">
        <v>63</v>
      </c>
      <c r="M111" s="32" t="s">
        <v>63</v>
      </c>
      <c r="N111" s="87">
        <v>134.64179999999999</v>
      </c>
      <c r="O111" s="87">
        <v>134.64179999999999</v>
      </c>
      <c r="P111" s="88">
        <v>86</v>
      </c>
      <c r="Q111" s="88">
        <v>52</v>
      </c>
      <c r="R111" s="109">
        <v>1</v>
      </c>
      <c r="S111" s="37">
        <v>40795</v>
      </c>
      <c r="T111" s="37">
        <v>40795</v>
      </c>
      <c r="U111" s="32" t="s">
        <v>54</v>
      </c>
      <c r="V111" s="110" t="s">
        <v>55</v>
      </c>
      <c r="W111" s="114">
        <v>2.59</v>
      </c>
      <c r="X111" s="114">
        <v>1.3180000000000001</v>
      </c>
      <c r="Y111" s="111">
        <f t="shared" si="8"/>
        <v>3.9079999999999999</v>
      </c>
      <c r="Z111" s="32" t="s">
        <v>56</v>
      </c>
      <c r="AA111" s="41"/>
      <c r="AB111" s="20"/>
      <c r="AC111" s="32">
        <v>42</v>
      </c>
      <c r="AD111" s="32">
        <v>10</v>
      </c>
      <c r="AE111" s="20"/>
      <c r="AF111" s="20"/>
      <c r="AG111" s="20"/>
      <c r="AH111" s="20"/>
      <c r="AI111" s="20"/>
      <c r="AJ111" s="20"/>
    </row>
    <row r="112" spans="1:36" s="55" customFormat="1" ht="24.95" customHeight="1">
      <c r="A112" s="31">
        <f t="shared" si="9"/>
        <v>15</v>
      </c>
      <c r="B112" s="26" t="s">
        <v>346</v>
      </c>
      <c r="C112" s="26">
        <f t="shared" si="10"/>
        <v>15</v>
      </c>
      <c r="D112" s="25" t="s">
        <v>347</v>
      </c>
      <c r="E112" s="26" t="s">
        <v>348</v>
      </c>
      <c r="F112" s="24" t="s">
        <v>349</v>
      </c>
      <c r="G112" s="187" t="s">
        <v>350</v>
      </c>
      <c r="H112" s="32">
        <v>1998</v>
      </c>
      <c r="I112" s="32" t="s">
        <v>351</v>
      </c>
      <c r="J112" s="32" t="s">
        <v>352</v>
      </c>
      <c r="K112" s="37">
        <v>36977</v>
      </c>
      <c r="L112" s="32" t="s">
        <v>63</v>
      </c>
      <c r="M112" s="32" t="s">
        <v>63</v>
      </c>
      <c r="N112" s="87">
        <v>39.833799999999997</v>
      </c>
      <c r="O112" s="87">
        <v>39.833799999999997</v>
      </c>
      <c r="P112" s="88">
        <v>78</v>
      </c>
      <c r="Q112" s="88">
        <v>54</v>
      </c>
      <c r="R112" s="109">
        <v>4</v>
      </c>
      <c r="S112" s="37">
        <v>37408</v>
      </c>
      <c r="T112" s="37">
        <v>37408</v>
      </c>
      <c r="U112" s="32" t="s">
        <v>54</v>
      </c>
      <c r="V112" s="110" t="s">
        <v>55</v>
      </c>
      <c r="W112" s="111"/>
      <c r="X112" s="111"/>
      <c r="Y112" s="111">
        <f t="shared" si="8"/>
        <v>0</v>
      </c>
      <c r="Z112" s="32" t="s">
        <v>56</v>
      </c>
      <c r="AA112" s="41"/>
      <c r="AB112" s="20"/>
      <c r="AC112" s="32">
        <v>43</v>
      </c>
      <c r="AD112" s="32">
        <v>11</v>
      </c>
      <c r="AE112" s="20"/>
      <c r="AF112" s="20"/>
      <c r="AG112" s="20"/>
      <c r="AH112" s="20"/>
      <c r="AI112" s="20"/>
      <c r="AJ112" s="20"/>
    </row>
    <row r="113" spans="1:36" s="55" customFormat="1" ht="24.95" customHeight="1">
      <c r="A113" s="31">
        <f t="shared" si="9"/>
        <v>16</v>
      </c>
      <c r="B113" s="26" t="s">
        <v>409</v>
      </c>
      <c r="C113" s="26">
        <f t="shared" si="10"/>
        <v>16</v>
      </c>
      <c r="D113" s="11" t="s">
        <v>410</v>
      </c>
      <c r="E113" s="26" t="s">
        <v>411</v>
      </c>
      <c r="F113" s="24" t="s">
        <v>412</v>
      </c>
      <c r="G113" s="32">
        <v>9519349795</v>
      </c>
      <c r="H113" s="37">
        <v>43042</v>
      </c>
      <c r="I113" s="32" t="s">
        <v>413</v>
      </c>
      <c r="J113" s="32" t="s">
        <v>414</v>
      </c>
      <c r="K113" s="37">
        <v>43326</v>
      </c>
      <c r="L113" s="32" t="s">
        <v>63</v>
      </c>
      <c r="M113" s="32" t="s">
        <v>63</v>
      </c>
      <c r="N113" s="87">
        <v>31.612100000000002</v>
      </c>
      <c r="O113" s="87">
        <v>31.612100000000002</v>
      </c>
      <c r="P113" s="88">
        <v>36</v>
      </c>
      <c r="Q113" s="88">
        <v>23</v>
      </c>
      <c r="R113" s="109">
        <v>1</v>
      </c>
      <c r="S113" s="113" t="s">
        <v>939</v>
      </c>
      <c r="T113" s="113" t="s">
        <v>939</v>
      </c>
      <c r="U113" s="32" t="s">
        <v>54</v>
      </c>
      <c r="V113" s="110" t="s">
        <v>55</v>
      </c>
      <c r="W113" s="114">
        <v>1.4430000000000001</v>
      </c>
      <c r="X113" s="114">
        <v>0.69799999999999995</v>
      </c>
      <c r="Y113" s="111">
        <f t="shared" si="8"/>
        <v>2.141</v>
      </c>
      <c r="Z113" s="32" t="s">
        <v>98</v>
      </c>
      <c r="AA113" s="41"/>
      <c r="AB113" s="20"/>
      <c r="AC113" s="32">
        <v>15</v>
      </c>
      <c r="AD113" s="32">
        <v>8</v>
      </c>
      <c r="AE113" s="20"/>
      <c r="AF113" s="20"/>
      <c r="AG113" s="20"/>
      <c r="AH113" s="20"/>
      <c r="AI113" s="20"/>
      <c r="AJ113" s="20"/>
    </row>
    <row r="114" spans="1:36" s="55" customFormat="1" ht="24.95" customHeight="1">
      <c r="A114" s="31">
        <f t="shared" si="9"/>
        <v>17</v>
      </c>
      <c r="B114" s="26" t="s">
        <v>428</v>
      </c>
      <c r="C114" s="26">
        <f t="shared" si="10"/>
        <v>17</v>
      </c>
      <c r="D114" s="11" t="s">
        <v>429</v>
      </c>
      <c r="E114" s="26" t="s">
        <v>430</v>
      </c>
      <c r="F114" s="24" t="s">
        <v>431</v>
      </c>
      <c r="G114" s="32">
        <v>9810264252</v>
      </c>
      <c r="H114" s="32">
        <v>2011</v>
      </c>
      <c r="I114" s="32" t="s">
        <v>432</v>
      </c>
      <c r="J114" s="32" t="s">
        <v>433</v>
      </c>
      <c r="K114" s="37">
        <v>41015</v>
      </c>
      <c r="L114" s="32" t="s">
        <v>63</v>
      </c>
      <c r="M114" s="32" t="s">
        <v>63</v>
      </c>
      <c r="N114" s="87">
        <v>54.895400000000002</v>
      </c>
      <c r="O114" s="87">
        <v>54.895400000000002</v>
      </c>
      <c r="P114" s="88">
        <v>73</v>
      </c>
      <c r="Q114" s="88">
        <v>73</v>
      </c>
      <c r="R114" s="109">
        <v>2</v>
      </c>
      <c r="S114" s="186" t="s">
        <v>434</v>
      </c>
      <c r="T114" s="113" t="s">
        <v>940</v>
      </c>
      <c r="U114" s="32" t="s">
        <v>54</v>
      </c>
      <c r="V114" s="110" t="s">
        <v>55</v>
      </c>
      <c r="W114" s="114">
        <v>1.1579999999999999</v>
      </c>
      <c r="X114" s="114">
        <v>3.2909999999999999</v>
      </c>
      <c r="Y114" s="111">
        <f t="shared" si="8"/>
        <v>4.4489999999999998</v>
      </c>
      <c r="Z114" s="32" t="s">
        <v>56</v>
      </c>
      <c r="AA114" s="41"/>
      <c r="AB114" s="20"/>
      <c r="AC114" s="32">
        <v>58</v>
      </c>
      <c r="AD114" s="32">
        <v>15</v>
      </c>
      <c r="AE114" s="20"/>
      <c r="AF114" s="20"/>
      <c r="AG114" s="20"/>
      <c r="AH114" s="20"/>
      <c r="AI114" s="20"/>
      <c r="AJ114" s="20"/>
    </row>
    <row r="115" spans="1:36" s="55" customFormat="1" ht="33.75" customHeight="1">
      <c r="A115" s="31">
        <f t="shared" ref="A115:A121" si="11">A114+1</f>
        <v>18</v>
      </c>
      <c r="B115" s="26" t="s">
        <v>442</v>
      </c>
      <c r="C115" s="26">
        <f t="shared" si="10"/>
        <v>18</v>
      </c>
      <c r="D115" s="11" t="s">
        <v>443</v>
      </c>
      <c r="E115" s="26" t="s">
        <v>444</v>
      </c>
      <c r="F115" s="24" t="s">
        <v>445</v>
      </c>
      <c r="G115" s="32" t="s">
        <v>69</v>
      </c>
      <c r="H115" s="37">
        <v>41709</v>
      </c>
      <c r="I115" s="32" t="s">
        <v>446</v>
      </c>
      <c r="J115" s="32" t="s">
        <v>447</v>
      </c>
      <c r="K115" s="37">
        <v>42359</v>
      </c>
      <c r="L115" s="32" t="s">
        <v>63</v>
      </c>
      <c r="M115" s="32" t="s">
        <v>63</v>
      </c>
      <c r="N115" s="87">
        <v>25.315799999999999</v>
      </c>
      <c r="O115" s="87">
        <v>25.315799999999999</v>
      </c>
      <c r="P115" s="88">
        <v>30</v>
      </c>
      <c r="Q115" s="88">
        <v>30</v>
      </c>
      <c r="R115" s="109">
        <v>2</v>
      </c>
      <c r="S115" s="113" t="s">
        <v>941</v>
      </c>
      <c r="T115" s="113" t="s">
        <v>942</v>
      </c>
      <c r="U115" s="32" t="s">
        <v>54</v>
      </c>
      <c r="V115" s="110" t="s">
        <v>55</v>
      </c>
      <c r="W115" s="111"/>
      <c r="X115" s="111"/>
      <c r="Y115" s="111">
        <f t="shared" si="8"/>
        <v>0</v>
      </c>
      <c r="Z115" s="32" t="s">
        <v>98</v>
      </c>
      <c r="AA115" s="41"/>
      <c r="AB115" s="20"/>
      <c r="AC115" s="32">
        <v>15</v>
      </c>
      <c r="AD115" s="32">
        <v>15</v>
      </c>
      <c r="AE115" s="20"/>
      <c r="AF115" s="20"/>
      <c r="AG115" s="20"/>
      <c r="AH115" s="20"/>
      <c r="AI115" s="20"/>
      <c r="AJ115" s="20"/>
    </row>
    <row r="116" spans="1:36" s="55" customFormat="1" ht="30" customHeight="1">
      <c r="A116" s="31">
        <f t="shared" si="11"/>
        <v>19</v>
      </c>
      <c r="B116" s="147" t="s">
        <v>459</v>
      </c>
      <c r="C116" s="26">
        <f t="shared" si="10"/>
        <v>19</v>
      </c>
      <c r="D116" s="25" t="s">
        <v>460</v>
      </c>
      <c r="E116" s="26" t="s">
        <v>461</v>
      </c>
      <c r="F116" s="24" t="s">
        <v>462</v>
      </c>
      <c r="G116" s="32" t="s">
        <v>69</v>
      </c>
      <c r="H116" s="37">
        <v>43428</v>
      </c>
      <c r="I116" s="32"/>
      <c r="J116" s="32" t="s">
        <v>463</v>
      </c>
      <c r="K116" s="186" t="s">
        <v>464</v>
      </c>
      <c r="L116" s="32" t="s">
        <v>63</v>
      </c>
      <c r="M116" s="32" t="s">
        <v>63</v>
      </c>
      <c r="N116" s="87">
        <v>39.428699999999999</v>
      </c>
      <c r="O116" s="87">
        <v>28.94</v>
      </c>
      <c r="P116" s="88">
        <v>60</v>
      </c>
      <c r="Q116" s="88">
        <v>30</v>
      </c>
      <c r="R116" s="109">
        <v>1</v>
      </c>
      <c r="S116" s="113" t="s">
        <v>943</v>
      </c>
      <c r="T116" s="113" t="s">
        <v>943</v>
      </c>
      <c r="U116" s="32" t="s">
        <v>54</v>
      </c>
      <c r="V116" s="110" t="s">
        <v>55</v>
      </c>
      <c r="W116" s="111"/>
      <c r="X116" s="111"/>
      <c r="Y116" s="111">
        <f t="shared" si="8"/>
        <v>0</v>
      </c>
      <c r="Z116" s="32" t="s">
        <v>98</v>
      </c>
      <c r="AA116" s="41"/>
      <c r="AB116" s="20"/>
      <c r="AC116" s="32">
        <v>18</v>
      </c>
      <c r="AD116" s="32">
        <v>12</v>
      </c>
      <c r="AE116" s="20"/>
      <c r="AF116" s="20"/>
      <c r="AG116" s="20"/>
      <c r="AH116" s="20"/>
      <c r="AI116" s="20"/>
      <c r="AJ116" s="20"/>
    </row>
    <row r="117" spans="1:36" s="55" customFormat="1" ht="24.95" customHeight="1">
      <c r="A117" s="31">
        <f t="shared" si="11"/>
        <v>20</v>
      </c>
      <c r="B117" s="26" t="s">
        <v>486</v>
      </c>
      <c r="C117" s="26">
        <f t="shared" si="10"/>
        <v>20</v>
      </c>
      <c r="D117" s="11" t="s">
        <v>487</v>
      </c>
      <c r="E117" s="26" t="s">
        <v>488</v>
      </c>
      <c r="F117" s="68" t="s">
        <v>944</v>
      </c>
      <c r="G117" s="187" t="s">
        <v>489</v>
      </c>
      <c r="H117" s="32">
        <v>1991</v>
      </c>
      <c r="I117" s="32" t="s">
        <v>490</v>
      </c>
      <c r="J117" s="32">
        <v>199558</v>
      </c>
      <c r="K117" s="37">
        <v>33595</v>
      </c>
      <c r="L117" s="32">
        <v>11311</v>
      </c>
      <c r="M117" s="37">
        <v>32423</v>
      </c>
      <c r="N117" s="87">
        <v>121.50409999999999</v>
      </c>
      <c r="O117" s="87">
        <v>121.50409999999999</v>
      </c>
      <c r="P117" s="88">
        <v>118</v>
      </c>
      <c r="Q117" s="88">
        <v>88</v>
      </c>
      <c r="R117" s="109">
        <v>5</v>
      </c>
      <c r="S117" s="37">
        <v>29302</v>
      </c>
      <c r="T117" s="37">
        <v>39605</v>
      </c>
      <c r="U117" s="32" t="s">
        <v>54</v>
      </c>
      <c r="V117" s="110" t="s">
        <v>55</v>
      </c>
      <c r="W117" s="114">
        <v>2.839</v>
      </c>
      <c r="X117" s="114">
        <v>3.9849999999999999</v>
      </c>
      <c r="Y117" s="111">
        <f t="shared" si="8"/>
        <v>6.8239999999999998</v>
      </c>
      <c r="Z117" s="32" t="s">
        <v>56</v>
      </c>
      <c r="AA117" s="41"/>
      <c r="AB117" s="20"/>
      <c r="AC117" s="32">
        <v>78</v>
      </c>
      <c r="AD117" s="32">
        <v>10</v>
      </c>
      <c r="AE117" s="20"/>
      <c r="AF117" s="20"/>
      <c r="AG117" s="20"/>
      <c r="AH117" s="20"/>
      <c r="AI117" s="20"/>
      <c r="AJ117" s="20"/>
    </row>
    <row r="118" spans="1:36" s="55" customFormat="1" ht="38.25" customHeight="1">
      <c r="A118" s="31">
        <f t="shared" si="11"/>
        <v>21</v>
      </c>
      <c r="B118" s="26" t="s">
        <v>497</v>
      </c>
      <c r="C118" s="26">
        <f t="shared" si="10"/>
        <v>21</v>
      </c>
      <c r="D118" s="11" t="s">
        <v>498</v>
      </c>
      <c r="E118" s="26" t="s">
        <v>499</v>
      </c>
      <c r="F118" s="68" t="s">
        <v>945</v>
      </c>
      <c r="G118" s="32" t="s">
        <v>69</v>
      </c>
      <c r="H118" s="37">
        <v>40384</v>
      </c>
      <c r="I118" s="32" t="s">
        <v>500</v>
      </c>
      <c r="J118" s="32" t="s">
        <v>501</v>
      </c>
      <c r="K118" s="37">
        <v>40444</v>
      </c>
      <c r="L118" s="32" t="s">
        <v>63</v>
      </c>
      <c r="M118" s="32" t="s">
        <v>63</v>
      </c>
      <c r="N118" s="87">
        <v>53.821800000000003</v>
      </c>
      <c r="O118" s="87">
        <v>53.821800000000003</v>
      </c>
      <c r="P118" s="88">
        <v>80</v>
      </c>
      <c r="Q118" s="88">
        <v>72</v>
      </c>
      <c r="R118" s="109">
        <v>2</v>
      </c>
      <c r="S118" s="186" t="s">
        <v>502</v>
      </c>
      <c r="T118" s="113"/>
      <c r="U118" s="32" t="s">
        <v>54</v>
      </c>
      <c r="V118" s="110" t="s">
        <v>55</v>
      </c>
      <c r="W118" s="114">
        <v>1.7869999999999999</v>
      </c>
      <c r="X118" s="114">
        <v>1.423</v>
      </c>
      <c r="Y118" s="111">
        <f t="shared" si="8"/>
        <v>3.21</v>
      </c>
      <c r="Z118" s="32" t="s">
        <v>56</v>
      </c>
      <c r="AA118" s="41"/>
      <c r="AB118" s="20"/>
      <c r="AC118" s="32">
        <v>57</v>
      </c>
      <c r="AD118" s="32">
        <v>15</v>
      </c>
      <c r="AE118" s="20"/>
      <c r="AF118" s="20"/>
      <c r="AG118" s="20"/>
      <c r="AH118" s="20"/>
      <c r="AI118" s="20"/>
      <c r="AJ118" s="20"/>
    </row>
    <row r="119" spans="1:36" s="55" customFormat="1" ht="50.1" customHeight="1">
      <c r="A119" s="31">
        <f t="shared" si="11"/>
        <v>22</v>
      </c>
      <c r="B119" s="26" t="s">
        <v>503</v>
      </c>
      <c r="C119" s="26">
        <f t="shared" si="10"/>
        <v>22</v>
      </c>
      <c r="D119" s="11" t="s">
        <v>504</v>
      </c>
      <c r="E119" s="11" t="s">
        <v>212</v>
      </c>
      <c r="F119" s="25" t="s">
        <v>505</v>
      </c>
      <c r="G119" s="187" t="s">
        <v>506</v>
      </c>
      <c r="H119" s="32">
        <v>2012</v>
      </c>
      <c r="I119" s="32" t="s">
        <v>507</v>
      </c>
      <c r="J119" s="32">
        <v>201232647</v>
      </c>
      <c r="K119" s="37">
        <v>41178</v>
      </c>
      <c r="L119" s="187" t="s">
        <v>508</v>
      </c>
      <c r="M119" s="37">
        <v>42655</v>
      </c>
      <c r="N119" s="87">
        <v>420.42169999999999</v>
      </c>
      <c r="O119" s="87">
        <v>420.42169999999999</v>
      </c>
      <c r="P119" s="88">
        <v>450</v>
      </c>
      <c r="Q119" s="88">
        <v>203</v>
      </c>
      <c r="R119" s="109">
        <v>4</v>
      </c>
      <c r="S119" s="37">
        <v>43079</v>
      </c>
      <c r="T119" s="113"/>
      <c r="U119" s="32" t="s">
        <v>54</v>
      </c>
      <c r="V119" s="110" t="s">
        <v>55</v>
      </c>
      <c r="W119" s="114">
        <v>12.026999999999999</v>
      </c>
      <c r="X119" s="114">
        <v>3.27</v>
      </c>
      <c r="Y119" s="111">
        <f t="shared" si="8"/>
        <v>15.297000000000001</v>
      </c>
      <c r="Z119" s="32" t="s">
        <v>56</v>
      </c>
      <c r="AA119" s="41"/>
      <c r="AB119" s="20"/>
      <c r="AC119" s="12">
        <v>162</v>
      </c>
      <c r="AD119" s="12">
        <v>41</v>
      </c>
      <c r="AE119" s="20"/>
      <c r="AF119" s="20"/>
      <c r="AG119" s="20"/>
      <c r="AH119" s="20"/>
      <c r="AI119" s="20"/>
      <c r="AJ119" s="20"/>
    </row>
    <row r="120" spans="1:36" s="55" customFormat="1" ht="33" customHeight="1">
      <c r="A120" s="31">
        <f t="shared" si="11"/>
        <v>23</v>
      </c>
      <c r="B120" s="26" t="s">
        <v>509</v>
      </c>
      <c r="C120" s="26">
        <f t="shared" si="10"/>
        <v>23</v>
      </c>
      <c r="D120" s="11" t="s">
        <v>510</v>
      </c>
      <c r="E120" s="11" t="s">
        <v>511</v>
      </c>
      <c r="F120" s="25" t="s">
        <v>512</v>
      </c>
      <c r="G120" s="187" t="s">
        <v>513</v>
      </c>
      <c r="H120" s="37">
        <v>43153</v>
      </c>
      <c r="I120" s="32" t="s">
        <v>514</v>
      </c>
      <c r="J120" s="32" t="s">
        <v>515</v>
      </c>
      <c r="K120" s="37">
        <v>43252</v>
      </c>
      <c r="L120" s="32" t="s">
        <v>63</v>
      </c>
      <c r="M120" s="32" t="s">
        <v>63</v>
      </c>
      <c r="N120" s="87">
        <v>54.705300000000001</v>
      </c>
      <c r="O120" s="87">
        <v>54.705300000000001</v>
      </c>
      <c r="P120" s="88">
        <v>88</v>
      </c>
      <c r="Q120" s="88">
        <v>52</v>
      </c>
      <c r="R120" s="109">
        <v>1</v>
      </c>
      <c r="S120" s="154" t="s">
        <v>946</v>
      </c>
      <c r="T120" s="113">
        <v>43686</v>
      </c>
      <c r="U120" s="32" t="s">
        <v>54</v>
      </c>
      <c r="V120" s="110" t="s">
        <v>55</v>
      </c>
      <c r="W120" s="114">
        <v>1.6964999999999999</v>
      </c>
      <c r="X120" s="114">
        <v>2.1604999999999999</v>
      </c>
      <c r="Y120" s="111">
        <f t="shared" si="8"/>
        <v>3.8570000000000002</v>
      </c>
      <c r="Z120" s="32" t="s">
        <v>56</v>
      </c>
      <c r="AA120" s="41"/>
      <c r="AB120" s="20"/>
      <c r="AC120" s="12">
        <v>42</v>
      </c>
      <c r="AD120" s="12">
        <v>10</v>
      </c>
      <c r="AE120" s="20"/>
      <c r="AF120" s="20"/>
      <c r="AG120" s="20"/>
      <c r="AH120" s="20"/>
      <c r="AI120" s="20"/>
      <c r="AJ120" s="20"/>
    </row>
    <row r="121" spans="1:36" s="55" customFormat="1" ht="34.5" customHeight="1">
      <c r="A121" s="31">
        <f t="shared" si="11"/>
        <v>24</v>
      </c>
      <c r="B121" s="26" t="s">
        <v>528</v>
      </c>
      <c r="C121" s="26">
        <f t="shared" si="10"/>
        <v>24</v>
      </c>
      <c r="D121" s="11" t="s">
        <v>529</v>
      </c>
      <c r="E121" s="11" t="s">
        <v>530</v>
      </c>
      <c r="F121" s="25" t="s">
        <v>531</v>
      </c>
      <c r="G121" s="187" t="s">
        <v>532</v>
      </c>
      <c r="H121" s="37">
        <v>43428</v>
      </c>
      <c r="I121" s="187" t="s">
        <v>533</v>
      </c>
      <c r="J121" s="32" t="s">
        <v>534</v>
      </c>
      <c r="K121" s="37">
        <v>43672</v>
      </c>
      <c r="L121" s="32"/>
      <c r="M121" s="32"/>
      <c r="N121" s="87">
        <v>36.808100000000003</v>
      </c>
      <c r="O121" s="87">
        <v>36.808100000000003</v>
      </c>
      <c r="P121" s="88">
        <v>72</v>
      </c>
      <c r="Q121" s="88">
        <v>50</v>
      </c>
      <c r="R121" s="109"/>
      <c r="S121" s="154" t="s">
        <v>947</v>
      </c>
      <c r="T121" s="154" t="s">
        <v>947</v>
      </c>
      <c r="U121" s="32" t="s">
        <v>54</v>
      </c>
      <c r="V121" s="110" t="s">
        <v>55</v>
      </c>
      <c r="W121" s="111"/>
      <c r="X121" s="111"/>
      <c r="Y121" s="111">
        <f t="shared" si="8"/>
        <v>0</v>
      </c>
      <c r="Z121" s="32" t="s">
        <v>98</v>
      </c>
      <c r="AA121" s="41"/>
      <c r="AB121" s="20"/>
      <c r="AC121" s="12">
        <v>42</v>
      </c>
      <c r="AD121" s="12">
        <v>8</v>
      </c>
      <c r="AE121" s="20"/>
      <c r="AF121" s="20"/>
      <c r="AG121" s="20"/>
      <c r="AH121" s="20"/>
      <c r="AI121" s="20"/>
      <c r="AJ121" s="20"/>
    </row>
    <row r="122" spans="1:36" s="55" customFormat="1" ht="35.25" customHeight="1">
      <c r="A122" s="31">
        <f t="shared" ref="A122:A131" si="12">A121+1</f>
        <v>25</v>
      </c>
      <c r="B122" s="26" t="s">
        <v>535</v>
      </c>
      <c r="C122" s="26">
        <f t="shared" si="10"/>
        <v>25</v>
      </c>
      <c r="D122" s="25" t="s">
        <v>536</v>
      </c>
      <c r="E122" s="11" t="s">
        <v>537</v>
      </c>
      <c r="F122" s="148" t="s">
        <v>948</v>
      </c>
      <c r="G122" s="187" t="s">
        <v>538</v>
      </c>
      <c r="H122" s="37">
        <v>43111</v>
      </c>
      <c r="I122" s="187" t="s">
        <v>539</v>
      </c>
      <c r="J122" s="32" t="s">
        <v>540</v>
      </c>
      <c r="K122" s="37">
        <v>43672</v>
      </c>
      <c r="L122" s="32"/>
      <c r="M122" s="32"/>
      <c r="N122" s="87">
        <v>11.9659</v>
      </c>
      <c r="O122" s="87">
        <v>11.9659</v>
      </c>
      <c r="P122" s="88">
        <v>32</v>
      </c>
      <c r="Q122" s="88">
        <v>32</v>
      </c>
      <c r="R122" s="109">
        <v>1</v>
      </c>
      <c r="S122" s="236" t="s">
        <v>949</v>
      </c>
      <c r="T122" s="237"/>
      <c r="U122" s="32" t="s">
        <v>54</v>
      </c>
      <c r="V122" s="110" t="s">
        <v>55</v>
      </c>
      <c r="W122" s="111"/>
      <c r="X122" s="111"/>
      <c r="Y122" s="111">
        <f t="shared" si="8"/>
        <v>0</v>
      </c>
      <c r="Z122" s="32" t="s">
        <v>98</v>
      </c>
      <c r="AA122" s="41"/>
      <c r="AB122" s="20"/>
      <c r="AC122" s="12">
        <v>25</v>
      </c>
      <c r="AD122" s="12">
        <v>7</v>
      </c>
      <c r="AE122" s="20"/>
      <c r="AF122" s="20"/>
      <c r="AG122" s="20"/>
      <c r="AH122" s="20"/>
      <c r="AI122" s="20"/>
      <c r="AJ122" s="20"/>
    </row>
    <row r="123" spans="1:36" s="55" customFormat="1" ht="39" customHeight="1">
      <c r="A123" s="31">
        <f t="shared" si="12"/>
        <v>26</v>
      </c>
      <c r="B123" s="26" t="s">
        <v>541</v>
      </c>
      <c r="C123" s="26">
        <f t="shared" si="10"/>
        <v>26</v>
      </c>
      <c r="D123" s="11" t="s">
        <v>542</v>
      </c>
      <c r="E123" s="26" t="s">
        <v>543</v>
      </c>
      <c r="F123" s="24" t="s">
        <v>544</v>
      </c>
      <c r="G123" s="32">
        <v>9150075319</v>
      </c>
      <c r="H123" s="37">
        <v>41662</v>
      </c>
      <c r="I123" s="32" t="s">
        <v>545</v>
      </c>
      <c r="J123" s="32">
        <v>201430105</v>
      </c>
      <c r="K123" s="37">
        <v>41701</v>
      </c>
      <c r="L123" s="32" t="s">
        <v>63</v>
      </c>
      <c r="M123" s="32" t="s">
        <v>63</v>
      </c>
      <c r="N123" s="87">
        <v>31.854600000000001</v>
      </c>
      <c r="O123" s="87">
        <v>31.854600000000001</v>
      </c>
      <c r="P123" s="88">
        <v>50</v>
      </c>
      <c r="Q123" s="88">
        <v>43</v>
      </c>
      <c r="R123" s="109">
        <v>2</v>
      </c>
      <c r="S123" s="186" t="s">
        <v>546</v>
      </c>
      <c r="T123" s="113"/>
      <c r="U123" s="32" t="s">
        <v>54</v>
      </c>
      <c r="V123" s="110" t="s">
        <v>55</v>
      </c>
      <c r="W123" s="114">
        <v>2.6659999999999999</v>
      </c>
      <c r="X123" s="114">
        <v>1.3180000000000001</v>
      </c>
      <c r="Y123" s="111">
        <f t="shared" si="8"/>
        <v>3.984</v>
      </c>
      <c r="Z123" s="32" t="s">
        <v>56</v>
      </c>
      <c r="AA123" s="41"/>
      <c r="AB123" s="20"/>
      <c r="AC123" s="32">
        <v>34</v>
      </c>
      <c r="AD123" s="32">
        <v>9</v>
      </c>
      <c r="AE123" s="20"/>
      <c r="AF123" s="20"/>
      <c r="AG123" s="20"/>
      <c r="AH123" s="20"/>
      <c r="AI123" s="20"/>
      <c r="AJ123" s="20"/>
    </row>
    <row r="124" spans="1:36" s="55" customFormat="1" ht="24.95" customHeight="1">
      <c r="A124" s="31">
        <f t="shared" si="12"/>
        <v>27</v>
      </c>
      <c r="B124" s="26" t="s">
        <v>547</v>
      </c>
      <c r="C124" s="26">
        <f t="shared" si="10"/>
        <v>27</v>
      </c>
      <c r="D124" s="25" t="s">
        <v>554</v>
      </c>
      <c r="E124" s="26" t="s">
        <v>555</v>
      </c>
      <c r="F124" s="24" t="s">
        <v>556</v>
      </c>
      <c r="G124" s="187" t="s">
        <v>557</v>
      </c>
      <c r="H124" s="32">
        <v>1990</v>
      </c>
      <c r="I124" s="32" t="s">
        <v>558</v>
      </c>
      <c r="J124" s="32" t="s">
        <v>559</v>
      </c>
      <c r="K124" s="37">
        <v>33048</v>
      </c>
      <c r="L124" s="32" t="s">
        <v>63</v>
      </c>
      <c r="M124" s="32" t="s">
        <v>63</v>
      </c>
      <c r="N124" s="87">
        <v>36.403799999999997</v>
      </c>
      <c r="O124" s="87">
        <v>36.403799999999997</v>
      </c>
      <c r="P124" s="88">
        <v>46</v>
      </c>
      <c r="Q124" s="88">
        <v>37</v>
      </c>
      <c r="R124" s="109">
        <v>3</v>
      </c>
      <c r="S124" s="37">
        <v>35725</v>
      </c>
      <c r="T124" s="37">
        <v>39582</v>
      </c>
      <c r="U124" s="32" t="s">
        <v>54</v>
      </c>
      <c r="V124" s="110" t="s">
        <v>55</v>
      </c>
      <c r="W124" s="114">
        <v>2.14</v>
      </c>
      <c r="X124" s="111"/>
      <c r="Y124" s="111">
        <f t="shared" si="8"/>
        <v>2.14</v>
      </c>
      <c r="Z124" s="32" t="s">
        <v>56</v>
      </c>
      <c r="AA124" s="41"/>
      <c r="AB124" s="20"/>
      <c r="AC124" s="32">
        <v>29</v>
      </c>
      <c r="AD124" s="32">
        <v>8</v>
      </c>
      <c r="AE124" s="20"/>
      <c r="AF124" s="20"/>
      <c r="AG124" s="20"/>
      <c r="AH124" s="20"/>
      <c r="AI124" s="20"/>
      <c r="AJ124" s="20"/>
    </row>
    <row r="125" spans="1:36" s="55" customFormat="1" ht="24.95" customHeight="1">
      <c r="A125" s="31">
        <f t="shared" si="12"/>
        <v>28</v>
      </c>
      <c r="B125" s="26" t="s">
        <v>581</v>
      </c>
      <c r="C125" s="26">
        <f t="shared" si="10"/>
        <v>28</v>
      </c>
      <c r="D125" s="11" t="s">
        <v>582</v>
      </c>
      <c r="E125" s="26" t="s">
        <v>583</v>
      </c>
      <c r="F125" s="24" t="s">
        <v>584</v>
      </c>
      <c r="G125" s="187" t="s">
        <v>585</v>
      </c>
      <c r="H125" s="37">
        <v>42822</v>
      </c>
      <c r="I125" s="187" t="s">
        <v>586</v>
      </c>
      <c r="J125" s="32" t="s">
        <v>587</v>
      </c>
      <c r="K125" s="37">
        <v>42844</v>
      </c>
      <c r="L125" s="32" t="s">
        <v>63</v>
      </c>
      <c r="M125" s="32" t="s">
        <v>63</v>
      </c>
      <c r="N125" s="87">
        <v>20.441500000000001</v>
      </c>
      <c r="O125" s="87">
        <v>20.441500000000001</v>
      </c>
      <c r="P125" s="88">
        <v>36</v>
      </c>
      <c r="Q125" s="88">
        <v>33</v>
      </c>
      <c r="R125" s="109">
        <v>2</v>
      </c>
      <c r="S125" s="113" t="s">
        <v>949</v>
      </c>
      <c r="T125" s="113"/>
      <c r="U125" s="32" t="s">
        <v>54</v>
      </c>
      <c r="V125" s="110" t="s">
        <v>55</v>
      </c>
      <c r="W125" s="111"/>
      <c r="X125" s="111"/>
      <c r="Y125" s="111">
        <f t="shared" si="8"/>
        <v>0</v>
      </c>
      <c r="Z125" s="32" t="s">
        <v>98</v>
      </c>
      <c r="AA125" s="41"/>
      <c r="AB125" s="20"/>
      <c r="AC125" s="32">
        <v>26</v>
      </c>
      <c r="AD125" s="32">
        <v>7</v>
      </c>
      <c r="AE125" s="20"/>
      <c r="AF125" s="20"/>
      <c r="AG125" s="20"/>
      <c r="AH125" s="20"/>
      <c r="AI125" s="20"/>
      <c r="AJ125" s="20"/>
    </row>
    <row r="126" spans="1:36" s="55" customFormat="1" ht="28.5">
      <c r="A126" s="31">
        <f t="shared" si="12"/>
        <v>29</v>
      </c>
      <c r="B126" s="26" t="s">
        <v>588</v>
      </c>
      <c r="C126" s="26">
        <f t="shared" si="10"/>
        <v>29</v>
      </c>
      <c r="D126" s="11" t="s">
        <v>589</v>
      </c>
      <c r="E126" s="26" t="s">
        <v>590</v>
      </c>
      <c r="F126" s="24" t="s">
        <v>591</v>
      </c>
      <c r="G126" s="187" t="s">
        <v>592</v>
      </c>
      <c r="H126" s="32">
        <v>2013</v>
      </c>
      <c r="I126" s="32" t="s">
        <v>593</v>
      </c>
      <c r="J126" s="32" t="s">
        <v>594</v>
      </c>
      <c r="K126" s="37">
        <v>41376</v>
      </c>
      <c r="L126" s="32" t="s">
        <v>63</v>
      </c>
      <c r="M126" s="32" t="s">
        <v>63</v>
      </c>
      <c r="N126" s="87">
        <v>37.805799999999998</v>
      </c>
      <c r="O126" s="87">
        <v>37.805799999999998</v>
      </c>
      <c r="P126" s="88">
        <v>85</v>
      </c>
      <c r="Q126" s="88">
        <v>72</v>
      </c>
      <c r="R126" s="109">
        <v>1</v>
      </c>
      <c r="S126" s="37">
        <v>41929</v>
      </c>
      <c r="T126" s="37"/>
      <c r="U126" s="32" t="s">
        <v>54</v>
      </c>
      <c r="V126" s="110" t="s">
        <v>55</v>
      </c>
      <c r="W126" s="114">
        <v>2.9809999999999999</v>
      </c>
      <c r="X126" s="114">
        <v>0.14000000000000001</v>
      </c>
      <c r="Y126" s="111">
        <f t="shared" si="8"/>
        <v>3.121</v>
      </c>
      <c r="Z126" s="32" t="s">
        <v>56</v>
      </c>
      <c r="AA126" s="41"/>
      <c r="AB126" s="20"/>
      <c r="AC126" s="32">
        <v>57</v>
      </c>
      <c r="AD126" s="32">
        <v>15</v>
      </c>
      <c r="AE126" s="20"/>
      <c r="AF126" s="20"/>
      <c r="AG126" s="20"/>
      <c r="AH126" s="20"/>
      <c r="AI126" s="20"/>
      <c r="AJ126" s="20"/>
    </row>
    <row r="127" spans="1:36" s="55" customFormat="1" ht="28.5">
      <c r="A127" s="31">
        <f t="shared" si="12"/>
        <v>30</v>
      </c>
      <c r="B127" s="26" t="s">
        <v>601</v>
      </c>
      <c r="C127" s="26">
        <f t="shared" si="10"/>
        <v>30</v>
      </c>
      <c r="D127" s="25" t="s">
        <v>602</v>
      </c>
      <c r="E127" s="26" t="s">
        <v>603</v>
      </c>
      <c r="F127" s="24" t="s">
        <v>604</v>
      </c>
      <c r="G127" s="32">
        <v>9496680322</v>
      </c>
      <c r="H127" s="32">
        <v>2012</v>
      </c>
      <c r="I127" s="32" t="s">
        <v>605</v>
      </c>
      <c r="J127" s="32">
        <v>201232427</v>
      </c>
      <c r="K127" s="37">
        <v>41108</v>
      </c>
      <c r="L127" s="32" t="s">
        <v>63</v>
      </c>
      <c r="M127" s="32" t="s">
        <v>63</v>
      </c>
      <c r="N127" s="87">
        <v>57.569400000000002</v>
      </c>
      <c r="O127" s="87">
        <v>57.569400000000002</v>
      </c>
      <c r="P127" s="88">
        <v>75</v>
      </c>
      <c r="Q127" s="88">
        <v>70</v>
      </c>
      <c r="R127" s="109">
        <v>4</v>
      </c>
      <c r="S127" s="151" t="s">
        <v>950</v>
      </c>
      <c r="T127" s="113"/>
      <c r="U127" s="32" t="s">
        <v>54</v>
      </c>
      <c r="V127" s="110" t="s">
        <v>55</v>
      </c>
      <c r="W127" s="114">
        <v>1.3220000000000001</v>
      </c>
      <c r="X127" s="114">
        <v>1.5409999999999999</v>
      </c>
      <c r="Y127" s="111">
        <f t="shared" si="8"/>
        <v>2.863</v>
      </c>
      <c r="Z127" s="32" t="s">
        <v>56</v>
      </c>
      <c r="AA127" s="41"/>
      <c r="AB127" s="20"/>
      <c r="AC127" s="32">
        <v>56</v>
      </c>
      <c r="AD127" s="32">
        <v>17</v>
      </c>
      <c r="AE127" s="20"/>
      <c r="AF127" s="20"/>
      <c r="AG127" s="20"/>
      <c r="AH127" s="20"/>
      <c r="AI127" s="20"/>
      <c r="AJ127" s="20"/>
    </row>
    <row r="128" spans="1:36" s="55" customFormat="1" ht="24.95" customHeight="1">
      <c r="A128" s="31">
        <f t="shared" si="12"/>
        <v>31</v>
      </c>
      <c r="B128" s="26" t="s">
        <v>620</v>
      </c>
      <c r="C128" s="26">
        <f t="shared" si="10"/>
        <v>31</v>
      </c>
      <c r="D128" s="11" t="s">
        <v>621</v>
      </c>
      <c r="E128" s="26" t="s">
        <v>622</v>
      </c>
      <c r="F128" s="24" t="s">
        <v>623</v>
      </c>
      <c r="G128" s="32">
        <v>9275240282</v>
      </c>
      <c r="H128" s="32"/>
      <c r="I128" s="32" t="s">
        <v>624</v>
      </c>
      <c r="J128" s="32">
        <v>201428529</v>
      </c>
      <c r="K128" s="37">
        <v>41656</v>
      </c>
      <c r="L128" s="32" t="s">
        <v>63</v>
      </c>
      <c r="M128" s="32" t="s">
        <v>63</v>
      </c>
      <c r="N128" s="87">
        <v>89.668300000000002</v>
      </c>
      <c r="O128" s="87">
        <v>84.303799999999995</v>
      </c>
      <c r="P128" s="88">
        <v>90</v>
      </c>
      <c r="Q128" s="88">
        <v>90</v>
      </c>
      <c r="R128" s="109">
        <v>2</v>
      </c>
      <c r="S128" s="151" t="s">
        <v>950</v>
      </c>
      <c r="T128" s="113"/>
      <c r="U128" s="32" t="s">
        <v>54</v>
      </c>
      <c r="V128" s="110" t="s">
        <v>55</v>
      </c>
      <c r="W128" s="114">
        <v>2.8340000000000001</v>
      </c>
      <c r="X128" s="111"/>
      <c r="Y128" s="111">
        <f t="shared" si="8"/>
        <v>2.8340000000000001</v>
      </c>
      <c r="Z128" s="32" t="s">
        <v>56</v>
      </c>
      <c r="AA128" s="41"/>
      <c r="AB128" s="20"/>
      <c r="AC128" s="32">
        <v>72</v>
      </c>
      <c r="AD128" s="32">
        <v>18</v>
      </c>
      <c r="AE128" s="20"/>
      <c r="AF128" s="20"/>
      <c r="AG128" s="20"/>
      <c r="AH128" s="20"/>
      <c r="AI128" s="20"/>
      <c r="AJ128" s="20"/>
    </row>
    <row r="129" spans="1:36" s="55" customFormat="1" ht="24.95" customHeight="1">
      <c r="A129" s="31">
        <f t="shared" si="12"/>
        <v>32</v>
      </c>
      <c r="B129" s="26" t="s">
        <v>625</v>
      </c>
      <c r="C129" s="26">
        <f t="shared" si="10"/>
        <v>32</v>
      </c>
      <c r="D129" s="11" t="s">
        <v>626</v>
      </c>
      <c r="E129" s="26" t="s">
        <v>627</v>
      </c>
      <c r="F129" s="24" t="s">
        <v>628</v>
      </c>
      <c r="G129" s="32">
        <v>9359451764</v>
      </c>
      <c r="H129" s="32">
        <v>2011</v>
      </c>
      <c r="I129" s="32" t="s">
        <v>629</v>
      </c>
      <c r="J129" s="32" t="s">
        <v>630</v>
      </c>
      <c r="K129" s="37">
        <v>40715</v>
      </c>
      <c r="L129" s="32" t="s">
        <v>63</v>
      </c>
      <c r="M129" s="32" t="s">
        <v>63</v>
      </c>
      <c r="N129" s="87">
        <v>130.50649999999999</v>
      </c>
      <c r="O129" s="87">
        <v>130.50649999999999</v>
      </c>
      <c r="P129" s="88">
        <v>174</v>
      </c>
      <c r="Q129" s="88">
        <v>148</v>
      </c>
      <c r="R129" s="109">
        <v>4</v>
      </c>
      <c r="S129" s="37">
        <v>41254</v>
      </c>
      <c r="T129" s="37" t="s">
        <v>951</v>
      </c>
      <c r="U129" s="32" t="s">
        <v>54</v>
      </c>
      <c r="V129" s="110" t="s">
        <v>55</v>
      </c>
      <c r="W129" s="114">
        <v>4.7750000000000004</v>
      </c>
      <c r="X129" s="114">
        <v>3.4281000000000001</v>
      </c>
      <c r="Y129" s="111">
        <f t="shared" si="8"/>
        <v>8.2030999999999992</v>
      </c>
      <c r="Z129" s="32" t="s">
        <v>56</v>
      </c>
      <c r="AA129" s="41"/>
      <c r="AB129" s="20"/>
      <c r="AC129" s="32">
        <v>118</v>
      </c>
      <c r="AD129" s="32">
        <v>30</v>
      </c>
      <c r="AE129" s="20"/>
      <c r="AF129" s="20"/>
      <c r="AG129" s="20"/>
      <c r="AH129" s="20"/>
      <c r="AI129" s="20"/>
      <c r="AJ129" s="20"/>
    </row>
    <row r="130" spans="1:36" s="55" customFormat="1" ht="32.25" customHeight="1">
      <c r="A130" s="31">
        <f t="shared" si="12"/>
        <v>33</v>
      </c>
      <c r="B130" s="26" t="s">
        <v>631</v>
      </c>
      <c r="C130" s="26">
        <f t="shared" si="10"/>
        <v>33</v>
      </c>
      <c r="D130" s="25" t="s">
        <v>632</v>
      </c>
      <c r="E130" s="26" t="s">
        <v>633</v>
      </c>
      <c r="F130" s="24" t="s">
        <v>634</v>
      </c>
      <c r="G130" s="187" t="s">
        <v>635</v>
      </c>
      <c r="H130" s="32">
        <v>2001</v>
      </c>
      <c r="I130" s="32" t="s">
        <v>636</v>
      </c>
      <c r="J130" s="32">
        <v>1200100346</v>
      </c>
      <c r="K130" s="37">
        <v>37215</v>
      </c>
      <c r="L130" s="32" t="s">
        <v>63</v>
      </c>
      <c r="M130" s="32" t="s">
        <v>63</v>
      </c>
      <c r="N130" s="87">
        <v>56.785200000000003</v>
      </c>
      <c r="O130" s="87">
        <v>56.785200000000003</v>
      </c>
      <c r="P130" s="88">
        <v>66</v>
      </c>
      <c r="Q130" s="88">
        <v>47</v>
      </c>
      <c r="R130" s="109">
        <v>3</v>
      </c>
      <c r="S130" s="37">
        <v>39397</v>
      </c>
      <c r="T130" s="37">
        <v>40869</v>
      </c>
      <c r="U130" s="32" t="s">
        <v>54</v>
      </c>
      <c r="V130" s="110" t="s">
        <v>55</v>
      </c>
      <c r="W130" s="114">
        <v>3.26</v>
      </c>
      <c r="X130" s="114">
        <v>1.986</v>
      </c>
      <c r="Y130" s="111">
        <f t="shared" si="8"/>
        <v>5.2460000000000004</v>
      </c>
      <c r="Z130" s="32" t="s">
        <v>56</v>
      </c>
      <c r="AA130" s="41"/>
      <c r="AB130" s="20"/>
      <c r="AC130" s="32">
        <v>37</v>
      </c>
      <c r="AD130" s="32">
        <v>40</v>
      </c>
      <c r="AE130" s="20"/>
      <c r="AF130" s="20"/>
      <c r="AG130" s="20"/>
      <c r="AH130" s="20"/>
      <c r="AI130" s="20"/>
      <c r="AJ130" s="20"/>
    </row>
    <row r="131" spans="1:36" s="55" customFormat="1" ht="32.25" customHeight="1">
      <c r="A131" s="31">
        <f t="shared" si="12"/>
        <v>34</v>
      </c>
      <c r="B131" s="26" t="s">
        <v>637</v>
      </c>
      <c r="C131" s="26">
        <f t="shared" si="10"/>
        <v>34</v>
      </c>
      <c r="D131" s="25" t="s">
        <v>638</v>
      </c>
      <c r="E131" s="26" t="s">
        <v>639</v>
      </c>
      <c r="F131" s="24" t="s">
        <v>640</v>
      </c>
      <c r="G131" s="187" t="s">
        <v>641</v>
      </c>
      <c r="H131" s="32">
        <v>2001</v>
      </c>
      <c r="I131" s="32" t="s">
        <v>642</v>
      </c>
      <c r="J131" s="32" t="s">
        <v>643</v>
      </c>
      <c r="K131" s="37">
        <v>37006</v>
      </c>
      <c r="L131" s="32" t="s">
        <v>63</v>
      </c>
      <c r="M131" s="32" t="s">
        <v>63</v>
      </c>
      <c r="N131" s="87">
        <v>29.9239</v>
      </c>
      <c r="O131" s="87">
        <v>29.9239</v>
      </c>
      <c r="P131" s="88">
        <v>54</v>
      </c>
      <c r="Q131" s="88">
        <v>31</v>
      </c>
      <c r="R131" s="109">
        <v>2</v>
      </c>
      <c r="S131" s="151" t="s">
        <v>950</v>
      </c>
      <c r="T131" s="113"/>
      <c r="U131" s="32" t="s">
        <v>54</v>
      </c>
      <c r="V131" s="110" t="s">
        <v>55</v>
      </c>
      <c r="W131" s="111"/>
      <c r="X131" s="111"/>
      <c r="Y131" s="111">
        <f t="shared" si="8"/>
        <v>0</v>
      </c>
      <c r="Z131" s="32" t="s">
        <v>98</v>
      </c>
      <c r="AA131" s="41"/>
      <c r="AB131" s="20"/>
      <c r="AC131" s="32">
        <v>25</v>
      </c>
      <c r="AD131" s="32">
        <v>6</v>
      </c>
      <c r="AE131" s="20"/>
      <c r="AF131" s="20"/>
      <c r="AG131" s="20"/>
      <c r="AH131" s="20"/>
      <c r="AI131" s="20"/>
      <c r="AJ131" s="20"/>
    </row>
    <row r="132" spans="1:36" s="55" customFormat="1" ht="32.25" customHeight="1">
      <c r="A132" s="31">
        <f t="shared" ref="A132:A142" si="13">A131+1</f>
        <v>35</v>
      </c>
      <c r="B132" s="26" t="s">
        <v>644</v>
      </c>
      <c r="C132" s="26">
        <f t="shared" si="10"/>
        <v>35</v>
      </c>
      <c r="D132" s="25" t="s">
        <v>638</v>
      </c>
      <c r="E132" s="26" t="s">
        <v>645</v>
      </c>
      <c r="F132" s="24" t="s">
        <v>646</v>
      </c>
      <c r="G132" s="32" t="s">
        <v>69</v>
      </c>
      <c r="H132" s="32">
        <v>1977</v>
      </c>
      <c r="I132" s="32" t="s">
        <v>647</v>
      </c>
      <c r="J132" s="32">
        <v>199700174</v>
      </c>
      <c r="K132" s="37">
        <v>37299</v>
      </c>
      <c r="L132" s="32" t="s">
        <v>63</v>
      </c>
      <c r="M132" s="32" t="s">
        <v>63</v>
      </c>
      <c r="N132" s="87">
        <v>134.89400000000001</v>
      </c>
      <c r="O132" s="87">
        <v>134.89400000000001</v>
      </c>
      <c r="P132" s="88">
        <v>110</v>
      </c>
      <c r="Q132" s="88">
        <v>93</v>
      </c>
      <c r="R132" s="109">
        <v>3</v>
      </c>
      <c r="S132" s="37">
        <v>31068</v>
      </c>
      <c r="T132" s="113" t="s">
        <v>952</v>
      </c>
      <c r="U132" s="32" t="s">
        <v>54</v>
      </c>
      <c r="V132" s="110" t="s">
        <v>55</v>
      </c>
      <c r="W132" s="114">
        <v>2.48</v>
      </c>
      <c r="X132" s="114">
        <v>1.3759999999999999</v>
      </c>
      <c r="Y132" s="111">
        <f t="shared" si="8"/>
        <v>3.8559999999999999</v>
      </c>
      <c r="Z132" s="32" t="s">
        <v>56</v>
      </c>
      <c r="AA132" s="41"/>
      <c r="AB132" s="20"/>
      <c r="AC132" s="32">
        <v>83</v>
      </c>
      <c r="AD132" s="32">
        <v>10</v>
      </c>
      <c r="AE132" s="20"/>
      <c r="AF132" s="20"/>
      <c r="AG132" s="20"/>
      <c r="AH132" s="20"/>
      <c r="AI132" s="20"/>
      <c r="AJ132" s="20"/>
    </row>
    <row r="133" spans="1:36" s="55" customFormat="1" ht="24.95" customHeight="1">
      <c r="A133" s="31">
        <f t="shared" si="13"/>
        <v>36</v>
      </c>
      <c r="B133" s="26" t="s">
        <v>655</v>
      </c>
      <c r="C133" s="26">
        <f t="shared" si="10"/>
        <v>36</v>
      </c>
      <c r="D133" s="25" t="s">
        <v>656</v>
      </c>
      <c r="E133" s="26" t="s">
        <v>657</v>
      </c>
      <c r="F133" s="24" t="s">
        <v>658</v>
      </c>
      <c r="G133" s="187" t="s">
        <v>659</v>
      </c>
      <c r="H133" s="32">
        <v>1982</v>
      </c>
      <c r="I133" s="32" t="s">
        <v>660</v>
      </c>
      <c r="J133" s="32">
        <v>117158</v>
      </c>
      <c r="K133" s="37">
        <v>30617</v>
      </c>
      <c r="L133" s="32">
        <v>611061</v>
      </c>
      <c r="M133" s="37">
        <v>32259</v>
      </c>
      <c r="N133" s="87">
        <v>49.790399999999998</v>
      </c>
      <c r="O133" s="87">
        <v>49.790399999999998</v>
      </c>
      <c r="P133" s="88">
        <v>96</v>
      </c>
      <c r="Q133" s="88">
        <v>87</v>
      </c>
      <c r="R133" s="109">
        <v>4</v>
      </c>
      <c r="S133" s="37">
        <v>30918</v>
      </c>
      <c r="T133" s="186" t="s">
        <v>372</v>
      </c>
      <c r="U133" s="32" t="s">
        <v>54</v>
      </c>
      <c r="V133" s="110" t="s">
        <v>55</v>
      </c>
      <c r="W133" s="114">
        <v>4.5579999999999998</v>
      </c>
      <c r="X133" s="114">
        <v>0.1</v>
      </c>
      <c r="Y133" s="111">
        <f t="shared" si="8"/>
        <v>4.6580000000000004</v>
      </c>
      <c r="Z133" s="32" t="s">
        <v>56</v>
      </c>
      <c r="AA133" s="41"/>
      <c r="AB133" s="20"/>
      <c r="AC133" s="32">
        <v>69</v>
      </c>
      <c r="AD133" s="32">
        <v>18</v>
      </c>
      <c r="AE133" s="20"/>
      <c r="AF133" s="20"/>
      <c r="AG133" s="20"/>
      <c r="AH133" s="20"/>
      <c r="AI133" s="20"/>
      <c r="AJ133" s="20"/>
    </row>
    <row r="134" spans="1:36" s="55" customFormat="1" ht="24.95" customHeight="1">
      <c r="A134" s="31">
        <f t="shared" si="13"/>
        <v>37</v>
      </c>
      <c r="B134" s="26" t="s">
        <v>689</v>
      </c>
      <c r="C134" s="26">
        <f t="shared" si="10"/>
        <v>37</v>
      </c>
      <c r="D134" s="11" t="s">
        <v>690</v>
      </c>
      <c r="E134" s="26" t="s">
        <v>691</v>
      </c>
      <c r="F134" s="24" t="s">
        <v>692</v>
      </c>
      <c r="G134" s="187" t="s">
        <v>693</v>
      </c>
      <c r="H134" s="37">
        <v>41668</v>
      </c>
      <c r="I134" s="32" t="s">
        <v>694</v>
      </c>
      <c r="J134" s="32" t="s">
        <v>695</v>
      </c>
      <c r="K134" s="37">
        <v>41724</v>
      </c>
      <c r="L134" s="32" t="s">
        <v>63</v>
      </c>
      <c r="M134" s="32" t="s">
        <v>63</v>
      </c>
      <c r="N134" s="87">
        <v>14.9559</v>
      </c>
      <c r="O134" s="87">
        <v>14.9559</v>
      </c>
      <c r="P134" s="88">
        <v>17</v>
      </c>
      <c r="Q134" s="88">
        <v>14</v>
      </c>
      <c r="R134" s="109">
        <v>1</v>
      </c>
      <c r="S134" s="37">
        <v>42037</v>
      </c>
      <c r="T134" s="113"/>
      <c r="U134" s="32" t="s">
        <v>54</v>
      </c>
      <c r="V134" s="110" t="s">
        <v>55</v>
      </c>
      <c r="W134" s="114">
        <v>1.3069999999999999</v>
      </c>
      <c r="X134" s="114">
        <v>0.8</v>
      </c>
      <c r="Y134" s="111">
        <f t="shared" si="8"/>
        <v>2.1070000000000002</v>
      </c>
      <c r="Z134" s="32" t="s">
        <v>56</v>
      </c>
      <c r="AA134" s="41"/>
      <c r="AB134" s="20"/>
      <c r="AC134" s="32">
        <v>11</v>
      </c>
      <c r="AD134" s="32">
        <v>3</v>
      </c>
      <c r="AE134" s="20"/>
      <c r="AF134" s="20"/>
      <c r="AG134" s="20"/>
      <c r="AH134" s="20"/>
      <c r="AI134" s="20"/>
      <c r="AJ134" s="20"/>
    </row>
    <row r="135" spans="1:36" s="55" customFormat="1" ht="24.95" customHeight="1">
      <c r="A135" s="31">
        <f t="shared" si="13"/>
        <v>38</v>
      </c>
      <c r="B135" s="26" t="s">
        <v>696</v>
      </c>
      <c r="C135" s="26">
        <f t="shared" si="10"/>
        <v>38</v>
      </c>
      <c r="D135" s="11" t="s">
        <v>953</v>
      </c>
      <c r="E135" s="26" t="s">
        <v>697</v>
      </c>
      <c r="F135" s="24" t="s">
        <v>698</v>
      </c>
      <c r="G135" s="187" t="s">
        <v>699</v>
      </c>
      <c r="H135" s="32">
        <v>1988</v>
      </c>
      <c r="I135" s="32" t="s">
        <v>700</v>
      </c>
      <c r="J135" s="32">
        <v>156416</v>
      </c>
      <c r="K135" s="37">
        <v>32434</v>
      </c>
      <c r="L135" s="32">
        <v>14161</v>
      </c>
      <c r="M135" s="37">
        <v>34348</v>
      </c>
      <c r="N135" s="87">
        <v>838.98059999999998</v>
      </c>
      <c r="O135" s="87">
        <v>817.5471</v>
      </c>
      <c r="P135" s="88">
        <v>935</v>
      </c>
      <c r="Q135" s="88">
        <v>896</v>
      </c>
      <c r="R135" s="109">
        <v>7</v>
      </c>
      <c r="S135" s="37">
        <v>35685</v>
      </c>
      <c r="T135" s="37">
        <v>39729</v>
      </c>
      <c r="U135" s="32" t="s">
        <v>54</v>
      </c>
      <c r="V135" s="110" t="s">
        <v>55</v>
      </c>
      <c r="W135" s="114">
        <v>9.77</v>
      </c>
      <c r="X135" s="114">
        <v>4.6100000000000003</v>
      </c>
      <c r="Y135" s="111">
        <f t="shared" si="8"/>
        <v>14.38</v>
      </c>
      <c r="Z135" s="32" t="s">
        <v>56</v>
      </c>
      <c r="AA135" s="41"/>
      <c r="AB135" s="20"/>
      <c r="AC135" s="32">
        <v>717</v>
      </c>
      <c r="AD135" s="32">
        <v>179</v>
      </c>
      <c r="AE135" s="20"/>
      <c r="AF135" s="20"/>
      <c r="AG135" s="20"/>
      <c r="AH135" s="20"/>
      <c r="AI135" s="20"/>
      <c r="AJ135" s="20"/>
    </row>
    <row r="136" spans="1:36" s="55" customFormat="1" ht="24.95" customHeight="1">
      <c r="A136" s="31">
        <f t="shared" si="13"/>
        <v>39</v>
      </c>
      <c r="B136" s="26" t="s">
        <v>722</v>
      </c>
      <c r="C136" s="26">
        <f t="shared" si="10"/>
        <v>39</v>
      </c>
      <c r="D136" s="11" t="s">
        <v>723</v>
      </c>
      <c r="E136" s="26" t="s">
        <v>724</v>
      </c>
      <c r="F136" s="24" t="s">
        <v>725</v>
      </c>
      <c r="G136" s="187" t="s">
        <v>726</v>
      </c>
      <c r="H136" s="32">
        <v>1986</v>
      </c>
      <c r="I136" s="32" t="s">
        <v>727</v>
      </c>
      <c r="J136" s="32">
        <v>120449</v>
      </c>
      <c r="K136" s="37">
        <v>32811</v>
      </c>
      <c r="L136" s="32">
        <v>14210</v>
      </c>
      <c r="M136" s="37">
        <v>34382</v>
      </c>
      <c r="N136" s="87">
        <v>265.64589999999998</v>
      </c>
      <c r="O136" s="87">
        <v>264.36239999999998</v>
      </c>
      <c r="P136" s="88">
        <v>282</v>
      </c>
      <c r="Q136" s="88">
        <v>239</v>
      </c>
      <c r="R136" s="109">
        <v>8</v>
      </c>
      <c r="S136" s="37">
        <v>31868</v>
      </c>
      <c r="T136" s="37">
        <v>39144</v>
      </c>
      <c r="U136" s="32" t="s">
        <v>54</v>
      </c>
      <c r="V136" s="110" t="s">
        <v>55</v>
      </c>
      <c r="W136" s="114">
        <v>9.1334999999999997</v>
      </c>
      <c r="X136" s="114">
        <v>1.6032</v>
      </c>
      <c r="Y136" s="111">
        <f t="shared" si="8"/>
        <v>10.736700000000001</v>
      </c>
      <c r="Z136" s="32" t="s">
        <v>56</v>
      </c>
      <c r="AA136" s="41"/>
      <c r="AB136" s="20"/>
      <c r="AC136" s="32">
        <v>191</v>
      </c>
      <c r="AD136" s="32">
        <v>48</v>
      </c>
      <c r="AE136" s="20"/>
      <c r="AF136" s="20"/>
      <c r="AG136" s="20"/>
      <c r="AH136" s="20"/>
      <c r="AI136" s="20"/>
      <c r="AJ136" s="20"/>
    </row>
    <row r="137" spans="1:36" s="55" customFormat="1" ht="24.95" customHeight="1">
      <c r="A137" s="31">
        <f t="shared" si="13"/>
        <v>40</v>
      </c>
      <c r="B137" s="26" t="s">
        <v>735</v>
      </c>
      <c r="C137" s="26">
        <f t="shared" si="10"/>
        <v>40</v>
      </c>
      <c r="D137" s="11" t="s">
        <v>736</v>
      </c>
      <c r="E137" s="26" t="s">
        <v>737</v>
      </c>
      <c r="F137" s="30" t="s">
        <v>957</v>
      </c>
      <c r="G137" s="193" t="s">
        <v>738</v>
      </c>
      <c r="H137" s="32">
        <v>1977</v>
      </c>
      <c r="I137" s="32" t="s">
        <v>739</v>
      </c>
      <c r="J137" s="32">
        <v>199700394</v>
      </c>
      <c r="K137" s="37">
        <v>35758</v>
      </c>
      <c r="L137" s="32">
        <v>11403</v>
      </c>
      <c r="M137" s="37">
        <v>32476</v>
      </c>
      <c r="N137" s="87">
        <v>489.99529999999999</v>
      </c>
      <c r="O137" s="87">
        <v>485.11369999999999</v>
      </c>
      <c r="P137" s="88">
        <v>514</v>
      </c>
      <c r="Q137" s="88">
        <v>420</v>
      </c>
      <c r="R137" s="109">
        <v>5</v>
      </c>
      <c r="S137" s="37">
        <v>28370</v>
      </c>
      <c r="T137" s="37">
        <v>40457</v>
      </c>
      <c r="U137" s="32" t="s">
        <v>54</v>
      </c>
      <c r="V137" s="110" t="s">
        <v>55</v>
      </c>
      <c r="W137" s="114">
        <v>11.398999999999999</v>
      </c>
      <c r="X137" s="114">
        <v>3.1339999999999999</v>
      </c>
      <c r="Y137" s="111">
        <f t="shared" si="8"/>
        <v>14.532999999999999</v>
      </c>
      <c r="Z137" s="32" t="s">
        <v>56</v>
      </c>
      <c r="AA137" s="41"/>
      <c r="AB137" s="20"/>
      <c r="AC137" s="32">
        <v>336</v>
      </c>
      <c r="AD137" s="32">
        <v>84</v>
      </c>
      <c r="AE137" s="20"/>
      <c r="AF137" s="20"/>
      <c r="AG137" s="20"/>
      <c r="AH137" s="20"/>
      <c r="AI137" s="20"/>
      <c r="AJ137" s="20"/>
    </row>
    <row r="138" spans="1:36" s="55" customFormat="1" ht="24.95" customHeight="1">
      <c r="A138" s="31">
        <f t="shared" si="13"/>
        <v>41</v>
      </c>
      <c r="B138" s="26" t="s">
        <v>752</v>
      </c>
      <c r="C138" s="26">
        <f t="shared" si="10"/>
        <v>41</v>
      </c>
      <c r="D138" s="11" t="s">
        <v>753</v>
      </c>
      <c r="E138" s="26" t="s">
        <v>754</v>
      </c>
      <c r="F138" s="24" t="s">
        <v>755</v>
      </c>
      <c r="G138" s="187" t="s">
        <v>756</v>
      </c>
      <c r="H138" s="32">
        <v>1979</v>
      </c>
      <c r="I138" s="32" t="s">
        <v>757</v>
      </c>
      <c r="J138" s="32">
        <v>120786</v>
      </c>
      <c r="K138" s="37">
        <v>33433</v>
      </c>
      <c r="L138" s="32">
        <v>11369</v>
      </c>
      <c r="M138" s="37">
        <v>32469</v>
      </c>
      <c r="N138" s="87">
        <v>434.40230000000003</v>
      </c>
      <c r="O138" s="87">
        <v>427.01749999999998</v>
      </c>
      <c r="P138" s="88">
        <v>454</v>
      </c>
      <c r="Q138" s="88">
        <v>372</v>
      </c>
      <c r="R138" s="109">
        <v>5</v>
      </c>
      <c r="S138" s="37">
        <v>33433</v>
      </c>
      <c r="T138" s="37">
        <v>40453</v>
      </c>
      <c r="U138" s="32" t="s">
        <v>54</v>
      </c>
      <c r="V138" s="110" t="s">
        <v>55</v>
      </c>
      <c r="W138" s="114">
        <v>9.9420000000000002</v>
      </c>
      <c r="X138" s="114">
        <v>1.2</v>
      </c>
      <c r="Y138" s="111">
        <f t="shared" si="8"/>
        <v>11.141999999999999</v>
      </c>
      <c r="Z138" s="32" t="s">
        <v>56</v>
      </c>
      <c r="AA138" s="41"/>
      <c r="AB138" s="20"/>
      <c r="AC138" s="32">
        <v>298</v>
      </c>
      <c r="AD138" s="32">
        <v>74</v>
      </c>
      <c r="AE138" s="20"/>
      <c r="AF138" s="20"/>
      <c r="AG138" s="20"/>
      <c r="AH138" s="20"/>
      <c r="AI138" s="20"/>
      <c r="AJ138" s="20"/>
    </row>
    <row r="139" spans="1:36" s="55" customFormat="1" ht="24.95" customHeight="1">
      <c r="A139" s="31">
        <f t="shared" si="13"/>
        <v>42</v>
      </c>
      <c r="B139" s="26" t="s">
        <v>774</v>
      </c>
      <c r="C139" s="26">
        <f t="shared" si="10"/>
        <v>42</v>
      </c>
      <c r="D139" s="11" t="s">
        <v>775</v>
      </c>
      <c r="E139" s="26" t="s">
        <v>776</v>
      </c>
      <c r="F139" s="24" t="s">
        <v>777</v>
      </c>
      <c r="G139" s="32">
        <v>9070864417</v>
      </c>
      <c r="H139" s="187" t="s">
        <v>778</v>
      </c>
      <c r="I139" s="187" t="s">
        <v>779</v>
      </c>
      <c r="J139" s="32" t="s">
        <v>780</v>
      </c>
      <c r="K139" s="37">
        <v>43676</v>
      </c>
      <c r="L139" s="32" t="s">
        <v>63</v>
      </c>
      <c r="M139" s="37"/>
      <c r="N139" s="87">
        <v>14.7537</v>
      </c>
      <c r="O139" s="87">
        <v>14.7537</v>
      </c>
      <c r="P139" s="88">
        <v>17</v>
      </c>
      <c r="Q139" s="88">
        <v>17</v>
      </c>
      <c r="R139" s="109">
        <v>1</v>
      </c>
      <c r="S139" s="186" t="s">
        <v>781</v>
      </c>
      <c r="T139" s="186" t="s">
        <v>782</v>
      </c>
      <c r="U139" s="32" t="s">
        <v>54</v>
      </c>
      <c r="V139" s="110" t="s">
        <v>55</v>
      </c>
      <c r="W139" s="114">
        <v>1.54</v>
      </c>
      <c r="X139" s="111"/>
      <c r="Y139" s="111">
        <f t="shared" si="8"/>
        <v>1.54</v>
      </c>
      <c r="Z139" s="32" t="s">
        <v>56</v>
      </c>
      <c r="AA139" s="41"/>
      <c r="AB139" s="20"/>
      <c r="AC139" s="32">
        <v>10</v>
      </c>
      <c r="AD139" s="32">
        <v>7</v>
      </c>
      <c r="AE139" s="20"/>
      <c r="AF139" s="20"/>
      <c r="AG139" s="20"/>
      <c r="AH139" s="20"/>
      <c r="AI139" s="20"/>
      <c r="AJ139" s="20"/>
    </row>
    <row r="140" spans="1:36" s="55" customFormat="1" ht="24.95" customHeight="1">
      <c r="A140" s="31">
        <f t="shared" si="13"/>
        <v>43</v>
      </c>
      <c r="B140" s="26" t="s">
        <v>797</v>
      </c>
      <c r="C140" s="26">
        <f t="shared" si="10"/>
        <v>43</v>
      </c>
      <c r="D140" s="11" t="s">
        <v>798</v>
      </c>
      <c r="E140" s="26" t="s">
        <v>799</v>
      </c>
      <c r="F140" s="24" t="s">
        <v>800</v>
      </c>
      <c r="G140" s="187" t="s">
        <v>801</v>
      </c>
      <c r="H140" s="37">
        <v>43413</v>
      </c>
      <c r="I140" s="187" t="s">
        <v>802</v>
      </c>
      <c r="J140" s="32" t="s">
        <v>803</v>
      </c>
      <c r="K140" s="37">
        <v>43676</v>
      </c>
      <c r="L140" s="32"/>
      <c r="M140" s="37"/>
      <c r="N140" s="87">
        <v>16.9589</v>
      </c>
      <c r="O140" s="87">
        <v>16.9589</v>
      </c>
      <c r="P140" s="88">
        <v>50</v>
      </c>
      <c r="Q140" s="88">
        <v>30</v>
      </c>
      <c r="R140" s="109">
        <v>1</v>
      </c>
      <c r="S140" s="113">
        <v>43984</v>
      </c>
      <c r="T140" s="113" t="s">
        <v>954</v>
      </c>
      <c r="U140" s="32" t="s">
        <v>54</v>
      </c>
      <c r="V140" s="110" t="s">
        <v>55</v>
      </c>
      <c r="W140" s="114">
        <v>1.9</v>
      </c>
      <c r="X140" s="111"/>
      <c r="Y140" s="111">
        <f t="shared" si="8"/>
        <v>1.9</v>
      </c>
      <c r="Z140" s="32" t="s">
        <v>56</v>
      </c>
      <c r="AA140" s="41"/>
      <c r="AB140" s="20"/>
      <c r="AC140" s="32">
        <v>25</v>
      </c>
      <c r="AD140" s="32">
        <v>5</v>
      </c>
      <c r="AE140" s="20"/>
      <c r="AF140" s="20"/>
      <c r="AG140" s="20"/>
      <c r="AH140" s="20"/>
      <c r="AI140" s="20"/>
      <c r="AJ140" s="20"/>
    </row>
    <row r="141" spans="1:36" s="55" customFormat="1" ht="24.95" customHeight="1">
      <c r="A141" s="31">
        <f t="shared" si="13"/>
        <v>44</v>
      </c>
      <c r="B141" s="26" t="s">
        <v>830</v>
      </c>
      <c r="C141" s="26">
        <f t="shared" si="10"/>
        <v>44</v>
      </c>
      <c r="D141" s="11" t="s">
        <v>831</v>
      </c>
      <c r="E141" s="26" t="s">
        <v>832</v>
      </c>
      <c r="F141" s="24" t="s">
        <v>833</v>
      </c>
      <c r="G141" s="32">
        <v>9950126719</v>
      </c>
      <c r="H141" s="37">
        <v>41751</v>
      </c>
      <c r="I141" s="32" t="s">
        <v>834</v>
      </c>
      <c r="J141" s="32" t="s">
        <v>835</v>
      </c>
      <c r="K141" s="37">
        <v>41926</v>
      </c>
      <c r="L141" s="32" t="s">
        <v>63</v>
      </c>
      <c r="M141" s="32" t="s">
        <v>63</v>
      </c>
      <c r="N141" s="87">
        <v>45.046700000000001</v>
      </c>
      <c r="O141" s="87">
        <v>45.046700000000001</v>
      </c>
      <c r="P141" s="88">
        <v>43</v>
      </c>
      <c r="Q141" s="88">
        <v>43</v>
      </c>
      <c r="R141" s="109">
        <v>2</v>
      </c>
      <c r="S141" s="37">
        <v>42052</v>
      </c>
      <c r="T141" s="171" t="s">
        <v>955</v>
      </c>
      <c r="U141" s="32" t="s">
        <v>54</v>
      </c>
      <c r="V141" s="110" t="s">
        <v>55</v>
      </c>
      <c r="W141" s="114">
        <v>1</v>
      </c>
      <c r="X141" s="114">
        <v>2.02</v>
      </c>
      <c r="Y141" s="111">
        <f t="shared" si="8"/>
        <v>3.02</v>
      </c>
      <c r="Z141" s="32" t="s">
        <v>56</v>
      </c>
      <c r="AA141" s="41"/>
      <c r="AB141" s="20"/>
      <c r="AC141" s="32">
        <v>34</v>
      </c>
      <c r="AD141" s="32">
        <v>9</v>
      </c>
      <c r="AE141" s="20"/>
      <c r="AF141" s="20"/>
      <c r="AG141" s="20"/>
      <c r="AH141" s="20"/>
      <c r="AI141" s="20"/>
      <c r="AJ141" s="20"/>
    </row>
    <row r="142" spans="1:36" s="55" customFormat="1" ht="24.95" customHeight="1">
      <c r="A142" s="31">
        <f t="shared" si="13"/>
        <v>45</v>
      </c>
      <c r="B142" s="26" t="s">
        <v>846</v>
      </c>
      <c r="C142" s="26">
        <f t="shared" si="10"/>
        <v>45</v>
      </c>
      <c r="D142" s="11" t="s">
        <v>847</v>
      </c>
      <c r="E142" s="26" t="s">
        <v>848</v>
      </c>
      <c r="F142" s="24" t="s">
        <v>849</v>
      </c>
      <c r="G142" s="187" t="s">
        <v>850</v>
      </c>
      <c r="H142" s="37">
        <v>41680</v>
      </c>
      <c r="I142" s="32" t="s">
        <v>851</v>
      </c>
      <c r="J142" s="32" t="s">
        <v>852</v>
      </c>
      <c r="K142" s="37">
        <v>41725</v>
      </c>
      <c r="L142" s="32" t="s">
        <v>63</v>
      </c>
      <c r="M142" s="32" t="s">
        <v>63</v>
      </c>
      <c r="N142" s="87">
        <v>19.9664</v>
      </c>
      <c r="O142" s="87">
        <v>19.9664</v>
      </c>
      <c r="P142" s="88">
        <v>39</v>
      </c>
      <c r="Q142" s="88">
        <v>39</v>
      </c>
      <c r="R142" s="109">
        <v>2</v>
      </c>
      <c r="S142" s="37">
        <v>2014</v>
      </c>
      <c r="T142" s="37">
        <v>2019</v>
      </c>
      <c r="U142" s="35" t="s">
        <v>54</v>
      </c>
      <c r="V142" s="127" t="s">
        <v>55</v>
      </c>
      <c r="W142" s="152">
        <v>2.347</v>
      </c>
      <c r="X142" s="152">
        <v>0.65500000000000003</v>
      </c>
      <c r="Y142" s="111">
        <f t="shared" si="8"/>
        <v>3.0019999999999998</v>
      </c>
      <c r="Z142" s="35" t="s">
        <v>56</v>
      </c>
      <c r="AA142" s="46"/>
      <c r="AB142" s="20"/>
      <c r="AC142" s="32">
        <v>26</v>
      </c>
      <c r="AD142" s="32">
        <v>13</v>
      </c>
      <c r="AE142" s="20"/>
      <c r="AF142" s="20"/>
      <c r="AG142" s="20"/>
      <c r="AH142" s="20"/>
      <c r="AI142" s="20"/>
      <c r="AJ142" s="20"/>
    </row>
    <row r="143" spans="1:36" s="5" customFormat="1" ht="24.95" customHeight="1">
      <c r="A143" s="155">
        <f>A142</f>
        <v>45</v>
      </c>
      <c r="B143" s="9" t="s">
        <v>896</v>
      </c>
      <c r="C143" s="18">
        <f>C142</f>
        <v>45</v>
      </c>
      <c r="D143" s="43"/>
      <c r="E143" s="10"/>
      <c r="F143" s="10"/>
      <c r="G143" s="156"/>
      <c r="H143" s="10"/>
      <c r="I143" s="10"/>
      <c r="J143" s="10"/>
      <c r="K143" s="10"/>
      <c r="L143" s="10"/>
      <c r="M143" s="10"/>
      <c r="N143" s="161">
        <f>SUM(N98:N142)</f>
        <v>5844.5662000000002</v>
      </c>
      <c r="O143" s="161">
        <f>SUM(O98:O142)</f>
        <v>5733.1683000000003</v>
      </c>
      <c r="P143" s="161">
        <f>SUM(P98:P142)</f>
        <v>6553</v>
      </c>
      <c r="Q143" s="161">
        <f>SUM(Q98:Q142)</f>
        <v>4976</v>
      </c>
      <c r="R143" s="161">
        <f>SUM(R98:R142)</f>
        <v>120</v>
      </c>
      <c r="S143" s="10"/>
      <c r="T143" s="10"/>
      <c r="U143" s="10"/>
      <c r="V143" s="14"/>
      <c r="W143" s="15"/>
      <c r="X143" s="15"/>
      <c r="Y143" s="15"/>
      <c r="Z143" s="15"/>
      <c r="AA143" s="19"/>
      <c r="AC143" s="175"/>
      <c r="AD143" s="175"/>
    </row>
    <row r="144" spans="1:36" s="5" customFormat="1" ht="19.5" customHeight="1">
      <c r="A144" s="155">
        <f>A143+A96+A50</f>
        <v>129</v>
      </c>
      <c r="B144" s="9" t="s">
        <v>956</v>
      </c>
      <c r="C144" s="155">
        <f>C143+C96+C50</f>
        <v>131</v>
      </c>
      <c r="D144" s="43"/>
      <c r="E144" s="10"/>
      <c r="F144" s="10"/>
      <c r="G144" s="156"/>
      <c r="H144" s="10"/>
      <c r="I144" s="10"/>
      <c r="J144" s="10"/>
      <c r="K144" s="10"/>
      <c r="L144" s="10"/>
      <c r="M144" s="10"/>
      <c r="N144" s="162">
        <f>N143+N96+N50</f>
        <v>12005.845300000001</v>
      </c>
      <c r="O144" s="162">
        <f>O143+O96+O50</f>
        <v>11767.9763</v>
      </c>
      <c r="P144" s="162">
        <f>P143+P96+P50</f>
        <v>14985</v>
      </c>
      <c r="Q144" s="162">
        <f>Q143+Q96+Q50</f>
        <v>11391</v>
      </c>
      <c r="R144" s="162">
        <f>R143+R96+R50</f>
        <v>315</v>
      </c>
      <c r="S144" s="10"/>
      <c r="T144" s="10"/>
      <c r="U144" s="10"/>
      <c r="V144" s="172"/>
      <c r="W144" s="16"/>
      <c r="X144" s="16"/>
      <c r="Y144" s="16"/>
      <c r="Z144" s="16"/>
      <c r="AA144" s="176"/>
      <c r="AC144" s="175"/>
      <c r="AD144" s="175"/>
    </row>
    <row r="145" spans="1:18" ht="19.5" customHeight="1">
      <c r="C145" s="3"/>
      <c r="D145" s="48"/>
      <c r="N145" s="163">
        <f>N144-465.55</f>
        <v>11540.2953</v>
      </c>
      <c r="O145" s="164"/>
      <c r="P145" s="163">
        <f>P144-595</f>
        <v>14390</v>
      </c>
      <c r="Q145" s="173"/>
      <c r="R145" s="173"/>
    </row>
    <row r="146" spans="1:18">
      <c r="A146" s="7">
        <v>131</v>
      </c>
      <c r="C146" s="4">
        <v>129</v>
      </c>
      <c r="D146" s="51" t="s">
        <v>24</v>
      </c>
      <c r="M146" s="6" t="s">
        <v>24</v>
      </c>
      <c r="N146" s="60">
        <v>12100.382</v>
      </c>
      <c r="O146" s="60">
        <v>11752.9791</v>
      </c>
      <c r="P146" s="165">
        <v>14965</v>
      </c>
    </row>
    <row r="147" spans="1:18">
      <c r="A147" s="4">
        <f>A144-A146</f>
        <v>-2</v>
      </c>
      <c r="C147" s="4">
        <f>C144-C146</f>
        <v>2</v>
      </c>
    </row>
    <row r="148" spans="1:18">
      <c r="N148" s="166">
        <f>N144-N146</f>
        <v>-94.536699999998703</v>
      </c>
      <c r="O148" s="166">
        <f>O144-O146</f>
        <v>14.997199999997999</v>
      </c>
      <c r="P148" s="166">
        <f>P144-P146</f>
        <v>20</v>
      </c>
    </row>
    <row r="150" spans="1:18">
      <c r="A150" s="61"/>
      <c r="B150" s="6" t="s">
        <v>897</v>
      </c>
      <c r="N150" s="60" t="e">
        <f>#REF!+N144</f>
        <v>#REF!</v>
      </c>
      <c r="O150" s="60" t="e">
        <f>#REF!+O144</f>
        <v>#REF!</v>
      </c>
      <c r="P150" s="60" t="e">
        <f>#REF!+P144</f>
        <v>#REF!</v>
      </c>
      <c r="Q150" s="60" t="e">
        <f>#REF!+Q144</f>
        <v>#REF!</v>
      </c>
      <c r="R150" s="60" t="e">
        <f>#REF!+R144</f>
        <v>#REF!</v>
      </c>
    </row>
    <row r="151" spans="1:18">
      <c r="D151" s="157" t="s">
        <v>898</v>
      </c>
      <c r="N151" s="167">
        <v>29.841100000000001</v>
      </c>
      <c r="O151" s="168" t="s">
        <v>899</v>
      </c>
    </row>
    <row r="152" spans="1:18">
      <c r="D152" s="157" t="s">
        <v>900</v>
      </c>
      <c r="N152" s="169">
        <v>79.695599999999999</v>
      </c>
      <c r="O152" s="168" t="s">
        <v>899</v>
      </c>
    </row>
    <row r="153" spans="1:18">
      <c r="N153" s="167">
        <f>SUM(N151:N152)</f>
        <v>109.5367</v>
      </c>
    </row>
    <row r="154" spans="1:18">
      <c r="N154" s="167"/>
    </row>
    <row r="155" spans="1:18">
      <c r="A155" s="158"/>
      <c r="B155" s="6" t="s">
        <v>901</v>
      </c>
    </row>
    <row r="156" spans="1:18">
      <c r="A156" s="159"/>
      <c r="B156" s="6" t="s">
        <v>902</v>
      </c>
      <c r="N156" s="170" t="e">
        <f>N150+'CSJ-MNOH-SQ'!J9</f>
        <v>#REF!</v>
      </c>
      <c r="O156" s="170" t="e">
        <f>O150+'CSJ-MNOH-SQ'!K9</f>
        <v>#REF!</v>
      </c>
      <c r="P156" s="170" t="e">
        <f>P150+'CSJ-MNOH-SQ'!L9</f>
        <v>#REF!</v>
      </c>
    </row>
    <row r="157" spans="1:18">
      <c r="A157" s="160"/>
      <c r="B157" s="6" t="s">
        <v>903</v>
      </c>
    </row>
    <row r="158" spans="1:18">
      <c r="N158" s="60" t="e">
        <f>A144+#REF!</f>
        <v>#REF!</v>
      </c>
      <c r="O158" s="60" t="e">
        <f>N158+'CSJ-MNOH-SQ'!A9</f>
        <v>#REF!</v>
      </c>
      <c r="P158" s="170" t="e">
        <f>O158-9</f>
        <v>#REF!</v>
      </c>
    </row>
    <row r="159" spans="1:18">
      <c r="R159" s="174">
        <f>P144+'CSJ-MNOH-SQ'!L9</f>
        <v>14985</v>
      </c>
    </row>
  </sheetData>
  <autoFilter ref="A1:AD159" xr:uid="{00000000-0009-0000-0000-00000A000000}"/>
  <mergeCells count="30">
    <mergeCell ref="A51:E51"/>
    <mergeCell ref="S122:T122"/>
    <mergeCell ref="A23:A24"/>
    <mergeCell ref="B23:B24"/>
    <mergeCell ref="C5:C6"/>
    <mergeCell ref="D5:D6"/>
    <mergeCell ref="E5:E6"/>
    <mergeCell ref="F5:F6"/>
    <mergeCell ref="G5:G6"/>
    <mergeCell ref="H5:H6"/>
    <mergeCell ref="I5:I6"/>
    <mergeCell ref="N5:N6"/>
    <mergeCell ref="N23:N24"/>
    <mergeCell ref="O5:O6"/>
    <mergeCell ref="O23:O24"/>
    <mergeCell ref="P5:P6"/>
    <mergeCell ref="J5:K5"/>
    <mergeCell ref="L5:M5"/>
    <mergeCell ref="W5:Y5"/>
    <mergeCell ref="AC5:AD5"/>
    <mergeCell ref="A7:E7"/>
    <mergeCell ref="Q5:Q6"/>
    <mergeCell ref="R5:R6"/>
    <mergeCell ref="S5:S6"/>
    <mergeCell ref="T5:T6"/>
    <mergeCell ref="U5:U6"/>
    <mergeCell ref="V5:V6"/>
    <mergeCell ref="Z5:Z6"/>
    <mergeCell ref="AA5:AA6"/>
    <mergeCell ref="A5:B6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CSJ-MNOH-SQ</vt:lpstr>
      <vt:lpstr>ALBAY</vt:lpstr>
      <vt:lpstr>'CSJ-MNOH-SQ'!Print_Area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 .</dc:creator>
  <cp:lastModifiedBy>Nia01</cp:lastModifiedBy>
  <cp:lastPrinted>2025-10-29T08:03:16Z</cp:lastPrinted>
  <dcterms:created xsi:type="dcterms:W3CDTF">2024-01-30T00:35:00Z</dcterms:created>
  <dcterms:modified xsi:type="dcterms:W3CDTF">2025-11-03T07:16:20Z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ED6AE18DE8684C1AB3493B5F7588749F_13</vt:lpwstr>
  </property>
  <property fmtid="{D5CDD505-2E9C-101B-9397-08002B2CF9AE}" pid="3" name="KSOProductBuildVer">
    <vt:lpwstr>1033-12.2.0.21931</vt:lpwstr>
  </property>
</Properties>
</file>