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IA\Desktop\RPB\2025\masterlist\"/>
    </mc:Choice>
  </mc:AlternateContent>
  <xr:revisionPtr revIDLastSave="0" documentId="13_ncr:1_{7A48D2C8-5CDD-44B4-9711-EF82371840B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REGIONAL OFFICE" sheetId="2" r:id="rId2"/>
    <sheet name="ACIMO" sheetId="3" r:id="rId3"/>
    <sheet name="CNIMO" sheetId="4" r:id="rId4"/>
    <sheet name="CSIMO" sheetId="5" r:id="rId5"/>
    <sheet name="SMIMO" sheetId="6" r:id="rId6"/>
  </sheets>
  <definedNames>
    <definedName name="_xlnm._FilterDatabase" localSheetId="1" hidden="1">'REGIONAL OFFICE'!$A$1:$G$48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9" i="6" l="1"/>
  <c r="A101" i="6"/>
  <c r="A102" i="6" s="1"/>
  <c r="A103" i="6" s="1"/>
  <c r="A104" i="6" s="1"/>
  <c r="A105" i="6" s="1"/>
  <c r="A106" i="6" s="1"/>
  <c r="A107" i="6" s="1"/>
  <c r="A108" i="6" s="1"/>
  <c r="A109" i="6" s="1"/>
  <c r="A49" i="6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29" i="6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" i="6"/>
  <c r="A5" i="6" s="1"/>
  <c r="A6" i="6" s="1"/>
  <c r="A7" i="6" s="1"/>
  <c r="A8" i="6" s="1"/>
  <c r="A9" i="6" s="1"/>
  <c r="A10" i="6" s="1"/>
  <c r="A11" i="6" s="1"/>
  <c r="D270" i="5"/>
  <c r="D109" i="4"/>
  <c r="D108" i="4"/>
  <c r="D8" i="1" s="1"/>
  <c r="D107" i="4"/>
  <c r="D7" i="1" s="1"/>
  <c r="D106" i="4"/>
  <c r="D105" i="4"/>
  <c r="A129" i="3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D157" i="3" s="1"/>
  <c r="A71" i="3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57" i="3"/>
  <c r="A58" i="3" s="1"/>
  <c r="A59" i="3" s="1"/>
  <c r="A60" i="3" s="1"/>
  <c r="A61" i="3" s="1"/>
  <c r="A62" i="3" s="1"/>
  <c r="A63" i="3" s="1"/>
  <c r="A64" i="3" s="1"/>
  <c r="A65" i="3" s="1"/>
  <c r="A22" i="3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21" i="3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D175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" i="2"/>
  <c r="D6" i="1"/>
  <c r="D5" i="1"/>
  <c r="D158" i="3" l="1"/>
  <c r="D10" i="1" s="1"/>
  <c r="D9" i="1"/>
  <c r="D1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3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CARP-IC</t>
        </r>
      </text>
    </comment>
    <comment ref="C14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CARP-IC</t>
        </r>
      </text>
    </comment>
    <comment ref="C29" authorId="0" shapeId="0" xr:uid="{00000000-0006-0000-0100-000003000000}">
      <text>
        <r>
          <rPr>
            <sz val="10"/>
            <color rgb="FF000000"/>
            <rFont val="Arial"/>
            <family val="2"/>
            <scheme val="minor"/>
          </rPr>
          <t>REGION 1</t>
        </r>
      </text>
    </comment>
    <comment ref="C37" authorId="0" shapeId="0" xr:uid="{00000000-0006-0000-0100-000006000000}">
      <text>
        <r>
          <rPr>
            <sz val="10"/>
            <color rgb="FF000000"/>
            <rFont val="Arial"/>
            <family val="2"/>
            <scheme val="minor"/>
          </rPr>
          <t>CARP-IC</t>
        </r>
      </text>
    </comment>
    <comment ref="C38" authorId="0" shapeId="0" xr:uid="{00000000-0006-0000-0100-000005000000}">
      <text>
        <r>
          <rPr>
            <sz val="10"/>
            <color rgb="FF000000"/>
            <rFont val="Arial"/>
            <family val="2"/>
            <scheme val="minor"/>
          </rPr>
          <t>CARP-IC</t>
        </r>
      </text>
    </comment>
    <comment ref="C43" authorId="0" shapeId="0" xr:uid="{00000000-0006-0000-0100-000004000000}">
      <text>
        <r>
          <rPr>
            <sz val="10"/>
            <color rgb="FF000000"/>
            <rFont val="Arial"/>
            <family val="2"/>
            <scheme val="minor"/>
          </rPr>
          <t>CARP-IC</t>
        </r>
      </text>
    </comment>
  </commentList>
</comments>
</file>

<file path=xl/sharedStrings.xml><?xml version="1.0" encoding="utf-8"?>
<sst xmlns="http://schemas.openxmlformats.org/spreadsheetml/2006/main" count="3051" uniqueCount="946">
  <si>
    <t>Employment Status</t>
  </si>
  <si>
    <t>Number of Employees</t>
  </si>
  <si>
    <t>PERMANENT/CO-TERMINUS</t>
  </si>
  <si>
    <t>CASUAL (COB)</t>
  </si>
  <si>
    <t>CASUAL (Project-Charged)</t>
  </si>
  <si>
    <t>JOB ORDER</t>
  </si>
  <si>
    <t>CONTRACT OF SERVICE</t>
  </si>
  <si>
    <t>Total</t>
  </si>
  <si>
    <t>AS OF JULY 2026</t>
  </si>
  <si>
    <t>No.</t>
  </si>
  <si>
    <t>ID No.</t>
  </si>
  <si>
    <t>Name</t>
  </si>
  <si>
    <t>Designation / Position</t>
  </si>
  <si>
    <t>Sex</t>
  </si>
  <si>
    <t>Date of Birth</t>
  </si>
  <si>
    <t>Office</t>
  </si>
  <si>
    <t>Albia, Jiselle E.</t>
  </si>
  <si>
    <t>Chief, Finance Section/Chief Corporate Accountant B</t>
  </si>
  <si>
    <t>F</t>
  </si>
  <si>
    <t>08/21/1988</t>
  </si>
  <si>
    <t>Finance Section</t>
  </si>
  <si>
    <t>Amisola, Jonnah Rose R.</t>
  </si>
  <si>
    <t>Engineering Assistant A</t>
  </si>
  <si>
    <t>Construction Management Section</t>
  </si>
  <si>
    <t>Antonio, Jesus P.</t>
  </si>
  <si>
    <t>Utility Worker A</t>
  </si>
  <si>
    <t>M</t>
  </si>
  <si>
    <t>Administrative Section</t>
  </si>
  <si>
    <t>Aquino, Ailyn P.</t>
  </si>
  <si>
    <t>Senior Engineer A</t>
  </si>
  <si>
    <t>Operations and Maintenance Section</t>
  </si>
  <si>
    <t>Azurias, Angelita V.</t>
  </si>
  <si>
    <t>Data Encoder</t>
  </si>
  <si>
    <t>Planning and Design Section</t>
  </si>
  <si>
    <t>Azurias, Joie T.</t>
  </si>
  <si>
    <t>Heavy Equipment Operator</t>
  </si>
  <si>
    <t>Equipment Section</t>
  </si>
  <si>
    <t>Balane, Annette</t>
  </si>
  <si>
    <t>Chief, Construction Section/Senior Engineer A</t>
  </si>
  <si>
    <t>Balondo, Eduardo A.</t>
  </si>
  <si>
    <t>Chief, Equipment Section /Principal Engineer C</t>
  </si>
  <si>
    <t>Baraero, Ma. Cleofe B.</t>
  </si>
  <si>
    <t>Public Relations Officer A</t>
  </si>
  <si>
    <t>Office of the Regional Manager</t>
  </si>
  <si>
    <t>Bayrante, Job Jr. B.</t>
  </si>
  <si>
    <t>Administrative Officer IV (Accounting)</t>
  </si>
  <si>
    <t>Briton, Kimberly A.</t>
  </si>
  <si>
    <t>Senior Accounting Processor B</t>
  </si>
  <si>
    <t>Brusas, Abel P.</t>
  </si>
  <si>
    <t>Senior Supply Officer</t>
  </si>
  <si>
    <t>Buen, Virgilio S.</t>
  </si>
  <si>
    <t>Driver Mechanic B</t>
  </si>
  <si>
    <t>Caceres, Lovely D.</t>
  </si>
  <si>
    <t>Senior Irrigators Development Officer</t>
  </si>
  <si>
    <t>Institutional Development Section</t>
  </si>
  <si>
    <t>Cariaga, Almera C.</t>
  </si>
  <si>
    <t>Financial Planning Specialist B</t>
  </si>
  <si>
    <t>Celevante, Neil Juan T.</t>
  </si>
  <si>
    <t>Industrial Security Guard A</t>
  </si>
  <si>
    <t>Chavez, Mary Grace V.</t>
  </si>
  <si>
    <t>Senior Data Encoder</t>
  </si>
  <si>
    <t>Cuya, Eden Kris S.</t>
  </si>
  <si>
    <t>Acting Chief, Planning &amp; Design Section/Senior Engineer A</t>
  </si>
  <si>
    <t>De Lima, Marivic R.</t>
  </si>
  <si>
    <t>Acting Division Manager, EOD/Principal Engineer A</t>
  </si>
  <si>
    <t>De Vera, Gaudencio M.</t>
  </si>
  <si>
    <t>Regional Manager A</t>
  </si>
  <si>
    <t>Diego, Dionisio C.</t>
  </si>
  <si>
    <t>Dineros, Gemabelle M.</t>
  </si>
  <si>
    <t>Cashier A</t>
  </si>
  <si>
    <t>Escolano, Analene J.</t>
  </si>
  <si>
    <t>Acting Chief, Administrative Section/Senior Industrial Relations Management/ Development Officer A</t>
  </si>
  <si>
    <t>Esperida, Roger Jr. A.</t>
  </si>
  <si>
    <t>Federis, Jerry Ivan R.</t>
  </si>
  <si>
    <t>Gozon, Russell D.</t>
  </si>
  <si>
    <t>06/23/1984</t>
  </si>
  <si>
    <t>Joven, Carla Marthy T.</t>
  </si>
  <si>
    <t>Madrid, Jane Mitchille Valerie A.</t>
  </si>
  <si>
    <t>Senior Computer Services Programmer</t>
  </si>
  <si>
    <t>Medrano, Mary Grace P.</t>
  </si>
  <si>
    <t>Irrigators Development Officer A</t>
  </si>
  <si>
    <t>Oatemar, Marilou O.</t>
  </si>
  <si>
    <t>Chief, Institutional Development Section / Supervising Irrigators Development Officer</t>
  </si>
  <si>
    <t>Otordos, Christine Mae M.</t>
  </si>
  <si>
    <t>Panuelos, Romeo Jr. A.</t>
  </si>
  <si>
    <t>Posugac, Charliemagne Señar</t>
  </si>
  <si>
    <t>Storekeeper B</t>
  </si>
  <si>
    <t>03/04/1993</t>
  </si>
  <si>
    <t>Ramos, Mark Lo B.</t>
  </si>
  <si>
    <t>Supervising Engineer A</t>
  </si>
  <si>
    <t>Rañola, Chazzie L.</t>
  </si>
  <si>
    <t>Rebadulla, Joseph A.</t>
  </si>
  <si>
    <t>Division Manager A</t>
  </si>
  <si>
    <t>Office of the Division Manager, AFD</t>
  </si>
  <si>
    <t>Renta, Roel R.</t>
  </si>
  <si>
    <t>Requiro, Joseph Christopher A.</t>
  </si>
  <si>
    <t>Chief, Equipment Section/Supervising Engineer A (ME)</t>
  </si>
  <si>
    <t>Rubi, Nicole D.</t>
  </si>
  <si>
    <t>Senior Accounting Processor A</t>
  </si>
  <si>
    <t>Santos, Anne A.</t>
  </si>
  <si>
    <t>Sarmiento, Ma. Sarah E.</t>
  </si>
  <si>
    <t>Engineer A</t>
  </si>
  <si>
    <t>Sentillas, Conrado R.</t>
  </si>
  <si>
    <t>Templonuevo, Andre F.</t>
  </si>
  <si>
    <t>Senior Draftsman</t>
  </si>
  <si>
    <t>Varde, George A.</t>
  </si>
  <si>
    <t>***NOTHING FOLLOWS***</t>
  </si>
  <si>
    <t>Agaton, Collen Kate N.</t>
  </si>
  <si>
    <t>Alferez, Karen N.</t>
  </si>
  <si>
    <t>Attorney IV</t>
  </si>
  <si>
    <t>Arejola, Arnelfa P.</t>
  </si>
  <si>
    <t>Administrative Services Chief C</t>
  </si>
  <si>
    <t>Bala, Nelson L.</t>
  </si>
  <si>
    <t>Driver Mechanic A</t>
  </si>
  <si>
    <t>Barateta, Michelle C.</t>
  </si>
  <si>
    <t>Supply Officer III</t>
  </si>
  <si>
    <t>Barro, Monica Viva Cia L.</t>
  </si>
  <si>
    <t>Cashiering Assistant</t>
  </si>
  <si>
    <t>04/02/2002</t>
  </si>
  <si>
    <t>Belano, Angelo B.</t>
  </si>
  <si>
    <t>03/30/1994</t>
  </si>
  <si>
    <t>Bustilla, Lycah Barbara A.</t>
  </si>
  <si>
    <t>Cajurao, Mary Evangeline P.</t>
  </si>
  <si>
    <t>05/01/1993</t>
  </si>
  <si>
    <t>Camata, Alvin Rex B.</t>
  </si>
  <si>
    <t>Senior Artist-Illustrator</t>
  </si>
  <si>
    <t>Claveron, Russell Ann P.</t>
  </si>
  <si>
    <t>Nurse I</t>
  </si>
  <si>
    <t>Dela Cruz, Cly John L.</t>
  </si>
  <si>
    <t>Domacena, Glen Emil B.</t>
  </si>
  <si>
    <t>Dorado, Jovelle Ira M.</t>
  </si>
  <si>
    <t>Economist A</t>
  </si>
  <si>
    <t>11/04/2001</t>
  </si>
  <si>
    <t>Endriga, Karina A.</t>
  </si>
  <si>
    <t>Procurement Analyst A</t>
  </si>
  <si>
    <t>Cañaveral, Claudine E.</t>
  </si>
  <si>
    <t>Garcia, Joas Christian O.</t>
  </si>
  <si>
    <t>Senior Computer Operator</t>
  </si>
  <si>
    <t>Isorena, Johanna Marie P.</t>
  </si>
  <si>
    <t>Data Analyst-Controller</t>
  </si>
  <si>
    <t>Jabonillo, Rhinysheel E.</t>
  </si>
  <si>
    <t>Lagonoy, Rowena A.</t>
  </si>
  <si>
    <t>Industrial Relations Management/Development Officer A</t>
  </si>
  <si>
    <t>Laynes, Ma. Annellie L.</t>
  </si>
  <si>
    <t>Legal Researcher III</t>
  </si>
  <si>
    <t>Loveña, Michael C.</t>
  </si>
  <si>
    <t>Marcelo, Kevin Joseph N.</t>
  </si>
  <si>
    <t>08/24/1996</t>
  </si>
  <si>
    <t>Orante, Ted John Jr. G.</t>
  </si>
  <si>
    <t>Computer Services Programmer B</t>
  </si>
  <si>
    <t>Panis, Joel B.</t>
  </si>
  <si>
    <t>Sales, Paul Eric S.</t>
  </si>
  <si>
    <t>Sarmiento, Kevin John L.</t>
  </si>
  <si>
    <t>Sinag, Bayani Jr. C.</t>
  </si>
  <si>
    <t>Tirao, Joshua C.</t>
  </si>
  <si>
    <t>Vargas, Lazaro V A.</t>
  </si>
  <si>
    <t>Procurement Assistant A</t>
  </si>
  <si>
    <t>Venecio, Jad SJ.</t>
  </si>
  <si>
    <t>Welder A</t>
  </si>
  <si>
    <t>Victorio, Vanessa M.</t>
  </si>
  <si>
    <t>Baider, Tom John R.</t>
  </si>
  <si>
    <t>Dela Cruz, Clarisza Cielo P.</t>
  </si>
  <si>
    <t>Dorosan, Mia France B.</t>
  </si>
  <si>
    <t>Garchitorena, Gabrielle Nicole F.</t>
  </si>
  <si>
    <t>Information Systems Researcher</t>
  </si>
  <si>
    <t>Hernandez, Elizabeth T.</t>
  </si>
  <si>
    <t>Ilarde, Sunny A.</t>
  </si>
  <si>
    <t>Electrical Foreman</t>
  </si>
  <si>
    <t>Laureño, Paterno D.</t>
  </si>
  <si>
    <t>Driver-Mechanic A</t>
  </si>
  <si>
    <t>Marasigan, Grace R.</t>
  </si>
  <si>
    <t>Cashier C</t>
  </si>
  <si>
    <t>Olaes, Ariel G.</t>
  </si>
  <si>
    <t>Senior Cartographer A</t>
  </si>
  <si>
    <t>Perez, John Kyle F.</t>
  </si>
  <si>
    <t>Environmental Specialist B</t>
  </si>
  <si>
    <t>Reyes, Erwin R.</t>
  </si>
  <si>
    <t>Senior Geologist</t>
  </si>
  <si>
    <t>Rojas, Arnilo E.</t>
  </si>
  <si>
    <t>Reproduction Machine Operator II (B)</t>
  </si>
  <si>
    <t>Silerio, Jona C.</t>
  </si>
  <si>
    <t>Office of the Division Manager, EOD</t>
  </si>
  <si>
    <t>Vender, Manuel Benard D.</t>
  </si>
  <si>
    <t>Watchman II</t>
  </si>
  <si>
    <t>Agapito, John A.</t>
  </si>
  <si>
    <t>Accounting Processor B</t>
  </si>
  <si>
    <t>Aquino, Richard P.</t>
  </si>
  <si>
    <t>Archivido, Jordan O.</t>
  </si>
  <si>
    <t>Data-Encoder Controller</t>
  </si>
  <si>
    <t>Asuncion, Vanessa D.</t>
  </si>
  <si>
    <t>Accounting Processor A</t>
  </si>
  <si>
    <t>Barcela, Mary Jean Q.</t>
  </si>
  <si>
    <t>Bernal, Ionna Fay M.</t>
  </si>
  <si>
    <t>Operation and Maintenance Section</t>
  </si>
  <si>
    <t>Bobadilla, Warren Jay D.</t>
  </si>
  <si>
    <t>Bolina, Aldjohn L.</t>
  </si>
  <si>
    <t>Bornalo, Bernie P.</t>
  </si>
  <si>
    <t>Brillo, Shaira Mae B.</t>
  </si>
  <si>
    <t>Buen, Ma. Princess Julma T.</t>
  </si>
  <si>
    <t>Canapin, Jovenel D.</t>
  </si>
  <si>
    <t>Cledera, Santiago III L.</t>
  </si>
  <si>
    <t>Senior Audio-Visual Systems Technician</t>
  </si>
  <si>
    <t>Dasco, Owen A.</t>
  </si>
  <si>
    <t>Automotive Mechanic C</t>
  </si>
  <si>
    <t>De Leon, Gary B.</t>
  </si>
  <si>
    <t>Administrative Services Aide</t>
  </si>
  <si>
    <t>Enguero, Alinhur D.</t>
  </si>
  <si>
    <t>Escober, Jillian R.</t>
  </si>
  <si>
    <t>Clerk Processor B</t>
  </si>
  <si>
    <t>Fabricante, Jane Yvette N.</t>
  </si>
  <si>
    <t>Gutierrez, Efren A.</t>
  </si>
  <si>
    <t>Computer Operator</t>
  </si>
  <si>
    <t>Hernandez, Josephine  M.</t>
  </si>
  <si>
    <t>Administration Services Assistant B</t>
  </si>
  <si>
    <t>Hidalgo, Frances Danielle S.</t>
  </si>
  <si>
    <t>Property/Supply Assistant A</t>
  </si>
  <si>
    <t>Javier, Jennery N.</t>
  </si>
  <si>
    <t>Administrative Aide III (Utility Worker A)</t>
  </si>
  <si>
    <t>Librojo, Jerome B.</t>
  </si>
  <si>
    <t>Carpenter A</t>
  </si>
  <si>
    <t>Ludana, Jim B.</t>
  </si>
  <si>
    <t>Mahayhay, Melvin A.</t>
  </si>
  <si>
    <t>Survey Aide A</t>
  </si>
  <si>
    <t>Nabor, Franz Patrick N.</t>
  </si>
  <si>
    <t>Nasayao, Nomelyn C.</t>
  </si>
  <si>
    <t>Public Relations Assistant A</t>
  </si>
  <si>
    <t>Nazareno, Jonhalven C.</t>
  </si>
  <si>
    <t>Ordiales, Reyson B.</t>
  </si>
  <si>
    <t>Ordoñez, Christine Melody P.</t>
  </si>
  <si>
    <t>Industrial Relations Development Officer B</t>
  </si>
  <si>
    <t>Palacio, Sheena Marie U.</t>
  </si>
  <si>
    <t>Perez, Gerald A.</t>
  </si>
  <si>
    <t>Electrician Foreman</t>
  </si>
  <si>
    <t>Po, Mike Remuel M.</t>
  </si>
  <si>
    <t>Pollos, Christian B.</t>
  </si>
  <si>
    <t>Regalado, Emerson D.</t>
  </si>
  <si>
    <t>Watchman III</t>
  </si>
  <si>
    <t>Reganit, Jona M.</t>
  </si>
  <si>
    <t>Storekeeper C</t>
  </si>
  <si>
    <t>Roxas, Reymart V.</t>
  </si>
  <si>
    <t>Tipay, Danilo B.</t>
  </si>
  <si>
    <t>Venecio, Marlon C.</t>
  </si>
  <si>
    <t>Villamonte, Glazelle P.</t>
  </si>
  <si>
    <t>Agliones, Sheryl B.</t>
  </si>
  <si>
    <t>Engineer B</t>
  </si>
  <si>
    <t>Armendi, Adrian P.</t>
  </si>
  <si>
    <t>Banzuela, Francis Sebastian F.</t>
  </si>
  <si>
    <t>Bataller, Erica Joy E.</t>
  </si>
  <si>
    <t>Colar-Vera, Rosemarie E.</t>
  </si>
  <si>
    <t>Dorosan, Joji P.</t>
  </si>
  <si>
    <t>Legal Assistant</t>
  </si>
  <si>
    <t>Estefani, Stephanie S.</t>
  </si>
  <si>
    <t>Hila, Jenny L.</t>
  </si>
  <si>
    <t>Agronomist B</t>
  </si>
  <si>
    <t>Manlangit, May Ann H.</t>
  </si>
  <si>
    <t>Ondivilla, Lourian Mae R.</t>
  </si>
  <si>
    <t>Pante, Beverly C.</t>
  </si>
  <si>
    <t>Geologist A</t>
  </si>
  <si>
    <t>Pasiona, Elna Patricia</t>
  </si>
  <si>
    <t>Rojas, Julianne P.</t>
  </si>
  <si>
    <t>Salire, Mac Daryll C.</t>
  </si>
  <si>
    <t>Management Systems Analyst (GIS Analyst)</t>
  </si>
  <si>
    <t>Villamante, Joela P.</t>
  </si>
  <si>
    <t>Yome, Noe M.</t>
  </si>
  <si>
    <t>Senior Environmental Analyst</t>
  </si>
  <si>
    <t>AS OF JULY 20, 2026</t>
  </si>
  <si>
    <t>SO, Mark Cloyd G.</t>
  </si>
  <si>
    <t>Acting Division Manager/Supervising Engineer A</t>
  </si>
  <si>
    <t>Albay Office</t>
  </si>
  <si>
    <t>BERDIN, Ian Feliciano III P.</t>
  </si>
  <si>
    <t>BALONDO, Senen A.</t>
  </si>
  <si>
    <t xml:space="preserve">Industrial Security Guard A </t>
  </si>
  <si>
    <t>PAJE, Jojo O.</t>
  </si>
  <si>
    <t>DURAN, Maureen R.</t>
  </si>
  <si>
    <t>Corporate Accounts Analyst</t>
  </si>
  <si>
    <t>PANTE, Lech Fidel C.</t>
  </si>
  <si>
    <t>NACARIO, John Bernard S.</t>
  </si>
  <si>
    <t>Water Resources Facilities Operator B</t>
  </si>
  <si>
    <t>REODIQUE, Nestor S.</t>
  </si>
  <si>
    <t>MARQUEZ, Angelo V.</t>
  </si>
  <si>
    <t>Sr. Engineer A</t>
  </si>
  <si>
    <t>Catanduanes Sub-Office</t>
  </si>
  <si>
    <t>MANLANGIT, Vilma M.</t>
  </si>
  <si>
    <t>Sr. Accounting Processor B</t>
  </si>
  <si>
    <t>DAYUPAY, Jennimel R.</t>
  </si>
  <si>
    <t>REYES, Conchita R.</t>
  </si>
  <si>
    <t>Irrigator's Development Officer A</t>
  </si>
  <si>
    <t>ABILA, Ela Mae S.</t>
  </si>
  <si>
    <t>Procurement Analyst B</t>
  </si>
  <si>
    <t>ADELANTE, Isagani Jr. P.</t>
  </si>
  <si>
    <t>ALNAS, Mark Anjo T.</t>
  </si>
  <si>
    <t>ARABACA, Gilbert S.</t>
  </si>
  <si>
    <t>BALINGASA, Aliza May D.</t>
  </si>
  <si>
    <t>BALITA, Marcos B.</t>
  </si>
  <si>
    <t>BELGADO, Ma. Dolores S.</t>
  </si>
  <si>
    <t>CALPE, Amy B.</t>
  </si>
  <si>
    <t>CLARIÑO, Roland O.</t>
  </si>
  <si>
    <t>COMPLETO, Jessica B.</t>
  </si>
  <si>
    <t>DEDASE, Luisito O.</t>
  </si>
  <si>
    <t>Property Officer B</t>
  </si>
  <si>
    <t>DELA CRUZ, Alexandra Mae L.</t>
  </si>
  <si>
    <t>DELGADO, Alexandra Joy M.</t>
  </si>
  <si>
    <t>ETCOBANEZ, Myra M.</t>
  </si>
  <si>
    <t>Administrative Services Officer B</t>
  </si>
  <si>
    <t>FRANCIA, Aldrin P.</t>
  </si>
  <si>
    <t>LANUZO, Rey B.</t>
  </si>
  <si>
    <t>LLAVE, Rodolfo Jr. G.</t>
  </si>
  <si>
    <t>MASAGCA, Richiel A.</t>
  </si>
  <si>
    <t>Engineering Assistant B</t>
  </si>
  <si>
    <t>NASH, Noel B.</t>
  </si>
  <si>
    <t>NATE, Modesto Harley S.</t>
  </si>
  <si>
    <t>Supervising Irrigators Development Officer</t>
  </si>
  <si>
    <t>OLAVIAGA, Joel O.</t>
  </si>
  <si>
    <t>PARAISO, Rosemarie A.</t>
  </si>
  <si>
    <t>PEPAÑO, Raymond B.</t>
  </si>
  <si>
    <t>REBADAJO, Don A.</t>
  </si>
  <si>
    <t>RENON, Regine C.</t>
  </si>
  <si>
    <t>RESENTES, Richard R.</t>
  </si>
  <si>
    <t>RINGAD, Ella N.</t>
  </si>
  <si>
    <t>Data Analyst - Controller</t>
  </si>
  <si>
    <t>RONCESVALLES, Jordan P.</t>
  </si>
  <si>
    <t>RULL, Alexander E.</t>
  </si>
  <si>
    <t>SALEM, Mark L.</t>
  </si>
  <si>
    <t>SAN BUENAVENTURA, Dante A.</t>
  </si>
  <si>
    <t>SARION, Jane Amy R.</t>
  </si>
  <si>
    <t>NACARIO, Richard S.</t>
  </si>
  <si>
    <t>Administrative Services Assistant B</t>
  </si>
  <si>
    <t>ORAYE, Noel Jr. B.</t>
  </si>
  <si>
    <t>Foreman A</t>
  </si>
  <si>
    <t>DETERA, Dale Derick L.</t>
  </si>
  <si>
    <t>DACILLO, Milany B.</t>
  </si>
  <si>
    <t>Senior Water Resources Facilities Technician</t>
  </si>
  <si>
    <t>JACOB, Elizabeth J.</t>
  </si>
  <si>
    <t>Sr. Irrigator's Development Officer A</t>
  </si>
  <si>
    <t>PEÑAFLOR, Jemar B.</t>
  </si>
  <si>
    <t>PONGPONG, Carlito C.</t>
  </si>
  <si>
    <t>PONTILLAS, Segfrido A.</t>
  </si>
  <si>
    <t>ROBLEDO, Marilou A.</t>
  </si>
  <si>
    <t>LONTAC, Carl Louie B.</t>
  </si>
  <si>
    <t>AGRIPA, John Lloyd M.</t>
  </si>
  <si>
    <t>Automotive Mechanic I</t>
  </si>
  <si>
    <t>ALVAREZ, Ma. Cristina R.</t>
  </si>
  <si>
    <t>Corporate Budget Assistant</t>
  </si>
  <si>
    <t>ARCILLA, Ma. Elaine E.</t>
  </si>
  <si>
    <t>Clerk Processor A</t>
  </si>
  <si>
    <t>ATANANTE, Jay Ar P.</t>
  </si>
  <si>
    <t>Utility Worker B</t>
  </si>
  <si>
    <t>AYCARDO, Raymond Gil C.</t>
  </si>
  <si>
    <t>AYDALLA, Ramon Jr. C.</t>
  </si>
  <si>
    <t>Clerk Processor C</t>
  </si>
  <si>
    <t>AZUTEA, Mark Charl's N.</t>
  </si>
  <si>
    <t>BANGA, Arnulfo Natividad B.</t>
  </si>
  <si>
    <t>BANTOG, Marie Angeli D.</t>
  </si>
  <si>
    <t>837811</t>
  </si>
  <si>
    <t>BOMBITA, Jerwin P.</t>
  </si>
  <si>
    <t>BONAPOS, Reese P.</t>
  </si>
  <si>
    <t>Data Encoder-Controller</t>
  </si>
  <si>
    <t>BRIOSO, John Learry A.</t>
  </si>
  <si>
    <t>CABILES, John Patrick B.</t>
  </si>
  <si>
    <t>CELLANO, Jhedson S.</t>
  </si>
  <si>
    <t>Research Assistant A</t>
  </si>
  <si>
    <t>CONCEPCION, Don R.</t>
  </si>
  <si>
    <t xml:space="preserve">Survey Aide B </t>
  </si>
  <si>
    <t>CREDO, Patricia Gillyn L.</t>
  </si>
  <si>
    <t>Administrative Services Officer III</t>
  </si>
  <si>
    <t>CULLAT, Isagani C.</t>
  </si>
  <si>
    <t>Utilities/Customer Services Assistant C</t>
  </si>
  <si>
    <t>DINERO, Pedrito Bigayan</t>
  </si>
  <si>
    <t>DINGLASAN, Bryann Frederick R.</t>
  </si>
  <si>
    <t>Utilities/Customer Services Assistant E</t>
  </si>
  <si>
    <t>ESTRADA, Sheena Mae N.</t>
  </si>
  <si>
    <t>GUADALUPE, Ulysses</t>
  </si>
  <si>
    <t>LLEVA, Ronald A.</t>
  </si>
  <si>
    <t>LONTAC, Christian Levy Jr. B.</t>
  </si>
  <si>
    <t>MARIÑAS, Rejean L.</t>
  </si>
  <si>
    <t>MATOCINOS, Harrish O.</t>
  </si>
  <si>
    <t>MAYOR, Darlene Mae C.</t>
  </si>
  <si>
    <t xml:space="preserve">Sr. Accounting Processor A </t>
  </si>
  <si>
    <t>NAVARRO, Mark Renen Q.</t>
  </si>
  <si>
    <t>Survey Aide B</t>
  </si>
  <si>
    <t>NAYVE, Nando M.</t>
  </si>
  <si>
    <t>OLAGUER, Francis B.</t>
  </si>
  <si>
    <t>OLIVERA, Loewe Mae B.</t>
  </si>
  <si>
    <t>OROGO, Marc David O.</t>
  </si>
  <si>
    <t>Data Encoder II</t>
  </si>
  <si>
    <t>PAJE, John Kenneth P.</t>
  </si>
  <si>
    <t xml:space="preserve">Driver Mechanic B </t>
  </si>
  <si>
    <t>PANARIGAN, Rafael P.</t>
  </si>
  <si>
    <t xml:space="preserve">Driver Mechanic A </t>
  </si>
  <si>
    <t>PAPA, John Paul R.</t>
  </si>
  <si>
    <t>PELIGAN, Eduardo J.</t>
  </si>
  <si>
    <t xml:space="preserve">Survey Aide A </t>
  </si>
  <si>
    <t>PELIGAN, Sammy P.</t>
  </si>
  <si>
    <t>PEÑAFLOR, Jessica V.</t>
  </si>
  <si>
    <t>Information Officer A</t>
  </si>
  <si>
    <t>PEREZ, Azelle Joi De Torres</t>
  </si>
  <si>
    <t>PETILLA, Crisna</t>
  </si>
  <si>
    <t>POLIDARIO, Haji P.</t>
  </si>
  <si>
    <t>POLIDARIO, Mark Angelo P.</t>
  </si>
  <si>
    <t>PROPOGO, Luisito P.</t>
  </si>
  <si>
    <t>PUTIAN, Benjamin Beato</t>
  </si>
  <si>
    <t>RAMOS, Ramon A.</t>
  </si>
  <si>
    <t>RAPOSA, Albert S.</t>
  </si>
  <si>
    <t>Driver Mech A</t>
  </si>
  <si>
    <t>REGALARIO, Norberto Reduta</t>
  </si>
  <si>
    <t>RENEGADO, Christian P.</t>
  </si>
  <si>
    <t>REORA, Cesar M.</t>
  </si>
  <si>
    <t>ROBAS, Maria Beatrice</t>
  </si>
  <si>
    <t>Sr. Accounting Processor A</t>
  </si>
  <si>
    <t>RODA, April Jane B.</t>
  </si>
  <si>
    <t>TORIO, Jomel M.</t>
  </si>
  <si>
    <t>Admin. Services Asst. B</t>
  </si>
  <si>
    <t>TURREDA, Diane V</t>
  </si>
  <si>
    <t>Accounting Procesor A</t>
  </si>
  <si>
    <t>VIÑAS, Noel Z.</t>
  </si>
  <si>
    <t>VIÑAS, Raymond R.</t>
  </si>
  <si>
    <t>AMADOS, Jeric A.</t>
  </si>
  <si>
    <t>BEO, Edilberto Jr. R.</t>
  </si>
  <si>
    <t xml:space="preserve">Irrigator's Development Officer A </t>
  </si>
  <si>
    <t>BERZUELA, Jose Domingo C.</t>
  </si>
  <si>
    <t>CALABINES, Lyle Kenneth A.</t>
  </si>
  <si>
    <t>CAPINO, Hendryx D.</t>
  </si>
  <si>
    <t>DOLZ, Jevielyn A.</t>
  </si>
  <si>
    <t xml:space="preserve">Sr. Engineer B </t>
  </si>
  <si>
    <t>JACOB, Gail Nicole J.</t>
  </si>
  <si>
    <t>Irrigator's Dev. Officer A</t>
  </si>
  <si>
    <t>JUAREZ, Francisco Jr. B.</t>
  </si>
  <si>
    <t>LUMBAO, Joshua A.</t>
  </si>
  <si>
    <t>MANLANGIT, Dindo Z.</t>
  </si>
  <si>
    <t>MANLANGIT, Gio Dominick M.</t>
  </si>
  <si>
    <t>MARBELLA, Mark Christian R.</t>
  </si>
  <si>
    <t>MELGAR, Frederick T.</t>
  </si>
  <si>
    <t>MESTIOLA, Marvin A.</t>
  </si>
  <si>
    <t>Sr. Engineer B</t>
  </si>
  <si>
    <t>MONILLA, Christian Joshua T.</t>
  </si>
  <si>
    <t>NAVARRO, Gerald M.</t>
  </si>
  <si>
    <t>PEÑAFIEL, Jun Shane M.</t>
  </si>
  <si>
    <t>PERALTA, Von Jayvee A.</t>
  </si>
  <si>
    <t>SIGUENZA, Jewel A.</t>
  </si>
  <si>
    <t>TAPIA, Kayceelyn M.</t>
  </si>
  <si>
    <t>VIBAR, Donel P.</t>
  </si>
  <si>
    <t>Villaluz, Edmundo T.</t>
  </si>
  <si>
    <t>Principal Engineer A</t>
  </si>
  <si>
    <t>IMO Manager</t>
  </si>
  <si>
    <t>Abanto, Michael Louie Q.</t>
  </si>
  <si>
    <t>Operations Section/ Equipment Unit</t>
  </si>
  <si>
    <t>Abraham, Mario M.</t>
  </si>
  <si>
    <t>Administrative Section/ General Services</t>
  </si>
  <si>
    <t>Avila, Archie B.</t>
  </si>
  <si>
    <t>Engineering Section</t>
  </si>
  <si>
    <t>Capistrano, Ricky M.</t>
  </si>
  <si>
    <t>Operations Section/ O&amp;M</t>
  </si>
  <si>
    <t>Dela Cruz, Ernesto Jr. O.</t>
  </si>
  <si>
    <t>Diaz, Joven R.</t>
  </si>
  <si>
    <t>Eboña, Joan M.</t>
  </si>
  <si>
    <t>Encinares, Emelie A.</t>
  </si>
  <si>
    <t>Administrative Section/ Human Resource Unit</t>
  </si>
  <si>
    <t>Espeso, Alejandro B.</t>
  </si>
  <si>
    <t>Sr. Water Resources Facilities Technician</t>
  </si>
  <si>
    <t>Operations Section</t>
  </si>
  <si>
    <t>King, Roger Allan B.</t>
  </si>
  <si>
    <t>Office of the IMO Manager</t>
  </si>
  <si>
    <t>Magana, Jesus Y.</t>
  </si>
  <si>
    <t>Collection Representative A</t>
  </si>
  <si>
    <t>Naing, Sonny M.</t>
  </si>
  <si>
    <t>Tributo, Catherine B.</t>
  </si>
  <si>
    <t>Finance Section/ Cash</t>
  </si>
  <si>
    <t>Victoria Jr., Danilo V.</t>
  </si>
  <si>
    <t>Zaratar, Nerhu P.</t>
  </si>
  <si>
    <t>Villamonte, Mariano R.</t>
  </si>
  <si>
    <t>Operations Section/ Institutional Development Unit</t>
  </si>
  <si>
    <t>Abarca, Romy L.</t>
  </si>
  <si>
    <t>Engineering Assistan B</t>
  </si>
  <si>
    <t>Agot, Joy Ann Rachel P.</t>
  </si>
  <si>
    <t>Almonte, Kristine Joe P.</t>
  </si>
  <si>
    <t>Engineering Section/ Planning</t>
  </si>
  <si>
    <t>Argente, Joemel J.</t>
  </si>
  <si>
    <t>Engineering Section/ Design</t>
  </si>
  <si>
    <t>Azagra, Ronellyn A.</t>
  </si>
  <si>
    <t>Administrative Section/ Property/ BAC Support</t>
  </si>
  <si>
    <t>Baliwag, Arvin P.</t>
  </si>
  <si>
    <t>Dizon, Leslie Ravien P.</t>
  </si>
  <si>
    <t>Eboña, Rene Dick A.</t>
  </si>
  <si>
    <t>Factor, Romnel E.</t>
  </si>
  <si>
    <t>Engineering Section/ Construction</t>
  </si>
  <si>
    <t>Ilagan, Ella Mae B.</t>
  </si>
  <si>
    <t>Lamadrid, John Rey F.</t>
  </si>
  <si>
    <t>Senior Irrigator's Development Officer</t>
  </si>
  <si>
    <t>Lopez, John Paul S.</t>
  </si>
  <si>
    <t>Magana, Samuel S.</t>
  </si>
  <si>
    <t>Mariano, Mike Angelo</t>
  </si>
  <si>
    <t>Administrative Section/ Property</t>
  </si>
  <si>
    <t>Najera, Irish Jay S.</t>
  </si>
  <si>
    <t>Narvasa, Lyn B.</t>
  </si>
  <si>
    <t>Odi, Edmar P.</t>
  </si>
  <si>
    <t>Orendain, Kerven E.</t>
  </si>
  <si>
    <t>Oya, Noriel Emmanuel D.</t>
  </si>
  <si>
    <t>Palero, Jefferson E.</t>
  </si>
  <si>
    <t>Panis, Irene T.</t>
  </si>
  <si>
    <t>Ricafrente, Roel M.</t>
  </si>
  <si>
    <t>Roldan, Jenny C.</t>
  </si>
  <si>
    <t>Taberara, Nelson A.</t>
  </si>
  <si>
    <t>Vibar, Allan G.</t>
  </si>
  <si>
    <t>Villaflores, April Joy C.</t>
  </si>
  <si>
    <t>Finance Section/ Accounting Unit</t>
  </si>
  <si>
    <t>Zaleta, Herman V.</t>
  </si>
  <si>
    <t>Zaleta, Ma. Carmi V.</t>
  </si>
  <si>
    <t>Finance Section/ Accounting</t>
  </si>
  <si>
    <t>Casuga, Shirley K.</t>
  </si>
  <si>
    <t>Talento, Ismael S.</t>
  </si>
  <si>
    <t>Research Assistant B</t>
  </si>
  <si>
    <t>Abad, Eloiza M.</t>
  </si>
  <si>
    <t>Aberia, Catherine V.</t>
  </si>
  <si>
    <t>Baylon, Ma. Fatima Beatriz B.</t>
  </si>
  <si>
    <t>Briones, Zaqueo P.</t>
  </si>
  <si>
    <t>Evangelista, Donnalyn M.</t>
  </si>
  <si>
    <t>Flores, Joana Victoria A.</t>
  </si>
  <si>
    <t>Ibana, Machiavellian M.</t>
  </si>
  <si>
    <t>Maligat, Gerly M.</t>
  </si>
  <si>
    <t>Engineering Section/ Planning Unit</t>
  </si>
  <si>
    <t>Manlangit, Edwin A.</t>
  </si>
  <si>
    <t>Morandarte, Ian Kristoffer Y.</t>
  </si>
  <si>
    <t>Ocampo, Michelle B.</t>
  </si>
  <si>
    <t>Administrative Section/ COA</t>
  </si>
  <si>
    <t>Pandi, Bing-Bong C.</t>
  </si>
  <si>
    <t>Ricafrente, Rovelyn C.</t>
  </si>
  <si>
    <t>Riñon, Robert T.</t>
  </si>
  <si>
    <t>Operations Section / Equipment Unit</t>
  </si>
  <si>
    <t>Valencia, Ranelle M.</t>
  </si>
  <si>
    <t>Finance Section/ Accounting/ Bookkeeper</t>
  </si>
  <si>
    <t>Jardin, Jan Leo D.</t>
  </si>
  <si>
    <t>Jardin, Manuel A.</t>
  </si>
  <si>
    <t>12/12/1993</t>
  </si>
  <si>
    <t>Magana, Ariel S.</t>
  </si>
  <si>
    <t>09/10/1975</t>
  </si>
  <si>
    <t>Magana, Dante S.</t>
  </si>
  <si>
    <t>04/06/1969</t>
  </si>
  <si>
    <t>Zantua, Elmer S.R.</t>
  </si>
  <si>
    <t>07/24/1977</t>
  </si>
  <si>
    <t>Frayna, Lemwel J.</t>
  </si>
  <si>
    <t>12/22/1979</t>
  </si>
  <si>
    <t>Operations Section &amp; O&amp;M</t>
  </si>
  <si>
    <t>Fuertes, Anleo E.</t>
  </si>
  <si>
    <t>02/04/1982</t>
  </si>
  <si>
    <t>Quintela, Arnel R.</t>
  </si>
  <si>
    <t>04/21/1972</t>
  </si>
  <si>
    <t>Valles, Eddieson E.</t>
  </si>
  <si>
    <t>02/23/1984</t>
  </si>
  <si>
    <t>Villa, Rolando D.</t>
  </si>
  <si>
    <t>03/05/1974</t>
  </si>
  <si>
    <t>Abanto, Ramil S.</t>
  </si>
  <si>
    <t>04/23/1987</t>
  </si>
  <si>
    <t>Abarca, John Renzo R.</t>
  </si>
  <si>
    <t>01/30/1997</t>
  </si>
  <si>
    <t>Abenoja, Allan F.</t>
  </si>
  <si>
    <t>10/08/1982</t>
  </si>
  <si>
    <t>Abriol, Christian R.</t>
  </si>
  <si>
    <t>11/06/1998</t>
  </si>
  <si>
    <t>Delos Santos, Emil G.</t>
  </si>
  <si>
    <t>12/20/1982</t>
  </si>
  <si>
    <t>Gapoy, Mark Anthony I.</t>
  </si>
  <si>
    <t>12/23/1987</t>
  </si>
  <si>
    <t>Samonte, Leonardo A.</t>
  </si>
  <si>
    <t>02/06/1977</t>
  </si>
  <si>
    <t>Briones, Elisa Mae A.</t>
  </si>
  <si>
    <t>Francisco, Jennefer D.</t>
  </si>
  <si>
    <t>Environmental Analyst</t>
  </si>
  <si>
    <t xml:space="preserve">Rañola, Carol L. </t>
  </si>
  <si>
    <t>Camarines Sur IMO - Head Office</t>
  </si>
  <si>
    <t>Aguilar, Elthon S.</t>
  </si>
  <si>
    <t>Driver-Mechanic B</t>
  </si>
  <si>
    <t>Aguilar, Joel S. Jr.</t>
  </si>
  <si>
    <t>Beraquit, Raejane Mae A.</t>
  </si>
  <si>
    <t>Industrial Relations Management/Development Officer C</t>
  </si>
  <si>
    <t>Cabiles, Andrew B.</t>
  </si>
  <si>
    <t>Senior Irrigators' Development Officer A</t>
  </si>
  <si>
    <t>Floriano, Don Jose S.</t>
  </si>
  <si>
    <t>Gaddi, Nori Nilo A.</t>
  </si>
  <si>
    <t>Madrid, Albert Felix A.</t>
  </si>
  <si>
    <t>Montes, Eleanor R.</t>
  </si>
  <si>
    <t>Senior Financial Planning Analyst</t>
  </si>
  <si>
    <t>Ragodon, Dennis P.</t>
  </si>
  <si>
    <t>Reyes, Dave Randel Y.</t>
  </si>
  <si>
    <t>Saboco, Anna Rose R.</t>
  </si>
  <si>
    <t>Toribio, Maridel F.</t>
  </si>
  <si>
    <t>Varde, Dexter A.</t>
  </si>
  <si>
    <t>Vargas, Joan T.</t>
  </si>
  <si>
    <t>Nolasco, Domingo N.</t>
  </si>
  <si>
    <t>Mendez, June Ivy C.</t>
  </si>
  <si>
    <t>Libmanan-Cabusao Pump Irrigation System</t>
  </si>
  <si>
    <t>Alarcon, Reynald A.</t>
  </si>
  <si>
    <t>De Vera, John Knielvert E.</t>
  </si>
  <si>
    <t>Mirabueno, Mary Jane C.</t>
  </si>
  <si>
    <t>Tigman-Hinagyanan-Inarihan River Irrigation System</t>
  </si>
  <si>
    <t>Chica, Jonathan A.</t>
  </si>
  <si>
    <t>Cornejo, Mark Ryan L.</t>
  </si>
  <si>
    <t>Del Mundo, Roderick B.</t>
  </si>
  <si>
    <t>Pante, Joel A.</t>
  </si>
  <si>
    <t>Romero, Carlito S.</t>
  </si>
  <si>
    <t>Sarcedo, Mariano A.</t>
  </si>
  <si>
    <t>Yanto, Eustaquio Jr. A.</t>
  </si>
  <si>
    <t>Ayoro, Domingo S.</t>
  </si>
  <si>
    <t>Cagaycay River Irrigation System</t>
  </si>
  <si>
    <t>Narvasa, Wilson B.</t>
  </si>
  <si>
    <t>Rinconada Integrated Irrigation System</t>
  </si>
  <si>
    <t>Abala, Marlo S.</t>
  </si>
  <si>
    <t>Baria, Janeth B.</t>
  </si>
  <si>
    <t>De Vera, Ernesto B.</t>
  </si>
  <si>
    <t>De Vera, Ernie G.</t>
  </si>
  <si>
    <t>Enoc, Catherine B.</t>
  </si>
  <si>
    <t>Favenir, Efren D.</t>
  </si>
  <si>
    <t>Lagatic, Teborcio P.</t>
  </si>
  <si>
    <t>Mancera, Rommel N.</t>
  </si>
  <si>
    <t>Moralde, Nick George D.</t>
  </si>
  <si>
    <t>Noblefranca, Alex L.</t>
  </si>
  <si>
    <t>Palenzuela, Jose D.</t>
  </si>
  <si>
    <t>Paz, Orly H.</t>
  </si>
  <si>
    <t>Ponciano, Irene F.</t>
  </si>
  <si>
    <t>Saltarin, Roberto C.</t>
  </si>
  <si>
    <t>Ballaran, Rea Rochelle B.</t>
  </si>
  <si>
    <t>Hermogeno, Ruth Maria Magdalena P.</t>
  </si>
  <si>
    <t>Albaño, Mark Anthony D.</t>
  </si>
  <si>
    <t>Hydrologist</t>
  </si>
  <si>
    <t>Anagao, Clarice S.</t>
  </si>
  <si>
    <t>Apa, Russel R.</t>
  </si>
  <si>
    <t>Arroyo, Mariano Jr. E.</t>
  </si>
  <si>
    <t>Asares, Angelica Mae D.</t>
  </si>
  <si>
    <t>Records Officer D</t>
  </si>
  <si>
    <t xml:space="preserve">Balondo, Ed Brian M. </t>
  </si>
  <si>
    <t>Buena, Ace B.</t>
  </si>
  <si>
    <t>Bustilla, Gil P.</t>
  </si>
  <si>
    <t>Cabrera, Justine E.</t>
  </si>
  <si>
    <t>Cañaveral, Jose Leo L.</t>
  </si>
  <si>
    <t>Cleofas, Jaspher C.</t>
  </si>
  <si>
    <t>Dela Cruz, Marciano Jr. S.</t>
  </si>
  <si>
    <t>Derit, Riza M.</t>
  </si>
  <si>
    <t>Detal, Dennis A.</t>
  </si>
  <si>
    <t>Funes, Gilbert B.</t>
  </si>
  <si>
    <t>Guevarra, Divina A.</t>
  </si>
  <si>
    <t>Laynes, Angellie L.</t>
  </si>
  <si>
    <t>Llantos, Ma. Thea Jane L.</t>
  </si>
  <si>
    <t>Marcelo, Kate Icon N.</t>
  </si>
  <si>
    <t>Monge, April Joy S.</t>
  </si>
  <si>
    <t>Montecillo, Dante T.</t>
  </si>
  <si>
    <t>Montecillo, Marc Ryan D.</t>
  </si>
  <si>
    <t>Nayve, Reycia N.</t>
  </si>
  <si>
    <t>Senior Corporate Accounts Analyst</t>
  </si>
  <si>
    <t>Odiame, Elaine C.</t>
  </si>
  <si>
    <t>Olaguer, Vic Angelo S.</t>
  </si>
  <si>
    <t>Orlanda, Mariz T.</t>
  </si>
  <si>
    <t>Orosco, Renz Lizter H.</t>
  </si>
  <si>
    <t>Panganiban, Leo Jaireh T.</t>
  </si>
  <si>
    <t>Pante, Rodel P.</t>
  </si>
  <si>
    <t>Quinoñes, Innah D.</t>
  </si>
  <si>
    <t>Requiro, Tim A.</t>
  </si>
  <si>
    <t>Automotive/Train Mechanic A</t>
  </si>
  <si>
    <t>Sape, Juan Jr. A.</t>
  </si>
  <si>
    <t>Sargento, Mary France M.</t>
  </si>
  <si>
    <t>Records Assistant</t>
  </si>
  <si>
    <t>Serilo, Robel Alba</t>
  </si>
  <si>
    <t>Soto, Billy Jones A.</t>
  </si>
  <si>
    <t>Taday, Ellyn Marou B.</t>
  </si>
  <si>
    <t>Baldemor, Allan T.</t>
  </si>
  <si>
    <t>Plant Mechanic B</t>
  </si>
  <si>
    <t>Daza, Augusto S.</t>
  </si>
  <si>
    <t>Obin, Ma. Cecilia C.</t>
  </si>
  <si>
    <t>Espanto, Jan Karlo S.</t>
  </si>
  <si>
    <t>Orbina, Phidippides F.</t>
  </si>
  <si>
    <t>Bersabe, Sarah P.</t>
  </si>
  <si>
    <t>Brito, Cris I.</t>
  </si>
  <si>
    <t>Segundo, Eldie V.</t>
  </si>
  <si>
    <t>Bregala, Herson B.</t>
  </si>
  <si>
    <t>Margaja, Geovanni C.</t>
  </si>
  <si>
    <t xml:space="preserve">Luna, Krystal Mae E. </t>
  </si>
  <si>
    <t>Gavica, Edgardo Jr. C</t>
  </si>
  <si>
    <t>Palacay, Elsie F.</t>
  </si>
  <si>
    <t>Baluca, Paciano E.</t>
  </si>
  <si>
    <t xml:space="preserve">Samson, Enrique D. </t>
  </si>
  <si>
    <t>Driver</t>
  </si>
  <si>
    <t xml:space="preserve">Abelinde, Dynalyn I. </t>
  </si>
  <si>
    <t>Abonalla, Armando F.</t>
  </si>
  <si>
    <t>Foreman B</t>
  </si>
  <si>
    <t>Abonalla, Gerry F.</t>
  </si>
  <si>
    <t>Abonalla, Neil F. Sr.</t>
  </si>
  <si>
    <t>Aguilar, Richie S.</t>
  </si>
  <si>
    <t xml:space="preserve">Antonio, Salvacion N. </t>
  </si>
  <si>
    <t>Aquino, Mark Lorence P.</t>
  </si>
  <si>
    <t>Draftsman A</t>
  </si>
  <si>
    <t>Archivido, Jayson O.</t>
  </si>
  <si>
    <t xml:space="preserve">Avila, Alaisa D. </t>
  </si>
  <si>
    <t>Avila, Aldrin D.</t>
  </si>
  <si>
    <t xml:space="preserve">Azurias, Hernel Viean G. </t>
  </si>
  <si>
    <t>Baesa, Dennis L.</t>
  </si>
  <si>
    <t>Bambilla, Bernie A.</t>
  </si>
  <si>
    <t xml:space="preserve">Baynas, Owen D. </t>
  </si>
  <si>
    <t>Blazado, Narciso P.</t>
  </si>
  <si>
    <t>Brandes, Noriel S.</t>
  </si>
  <si>
    <t>Briña, Jenny Anne</t>
  </si>
  <si>
    <t>Cal, Marlo B.</t>
  </si>
  <si>
    <t xml:space="preserve">Chavez, John Paulo B. </t>
  </si>
  <si>
    <t>Storekeeper D</t>
  </si>
  <si>
    <t>Conde, Crystel B.</t>
  </si>
  <si>
    <t>Clerk Processor D</t>
  </si>
  <si>
    <t>De Belen, John Aga R.</t>
  </si>
  <si>
    <t>De Belen, Milan R.</t>
  </si>
  <si>
    <t>Dela Cruz, Leonil S.</t>
  </si>
  <si>
    <t xml:space="preserve">Delloro, Angelika A. </t>
  </si>
  <si>
    <t xml:space="preserve">Diones, Kathrine Ivy A. </t>
  </si>
  <si>
    <t>Gobaton, Monroe P.</t>
  </si>
  <si>
    <t>Mason A</t>
  </si>
  <si>
    <t>Gonzaga, Ryan Francis B.</t>
  </si>
  <si>
    <t>Incela, Jomar P.</t>
  </si>
  <si>
    <t>Lomeda, Robert B.</t>
  </si>
  <si>
    <t xml:space="preserve">Madrid, Mabelle C. </t>
  </si>
  <si>
    <t xml:space="preserve">Malanyaon, Randy N. </t>
  </si>
  <si>
    <t>Nagales, Isidro L.</t>
  </si>
  <si>
    <t>Omillano, Maryrose B.</t>
  </si>
  <si>
    <t>Orcales, Mark Anthony M.</t>
  </si>
  <si>
    <t>Padro, Jesimar I.</t>
  </si>
  <si>
    <t xml:space="preserve">Perilla, Maria Aissa D. </t>
  </si>
  <si>
    <t xml:space="preserve">Plantado, Domibelle V. </t>
  </si>
  <si>
    <t>Prestado, Elmer N.</t>
  </si>
  <si>
    <t>Rellosa, Ben Jearom P.</t>
  </si>
  <si>
    <t>Rios, Gil Domenick</t>
  </si>
  <si>
    <t>Rios, Ronie D.</t>
  </si>
  <si>
    <t>Romero, Carlo S.</t>
  </si>
  <si>
    <t>Salamanque, Melvin N.</t>
  </si>
  <si>
    <t xml:space="preserve">Sambo, Erwin Ernesto I. </t>
  </si>
  <si>
    <t xml:space="preserve">Sarto, Merla E. </t>
  </si>
  <si>
    <t>Sentillas, Jommel B</t>
  </si>
  <si>
    <t>Tripon, Mark Vinci R.</t>
  </si>
  <si>
    <t>Welder B</t>
  </si>
  <si>
    <t>Varde, Henry A.</t>
  </si>
  <si>
    <t>Adan, Arvin Bryan V.</t>
  </si>
  <si>
    <t>Cabrera, Marcelo Jr. R.</t>
  </si>
  <si>
    <t>Gantong, Ella Marie R.</t>
  </si>
  <si>
    <t>Lijon, Elgin Jose P.</t>
  </si>
  <si>
    <t>Marasigan, Bobby A.</t>
  </si>
  <si>
    <t>Bustamante, Gemma O.</t>
  </si>
  <si>
    <t>Paz, Melody R.</t>
  </si>
  <si>
    <t>Paz, Norman S.</t>
  </si>
  <si>
    <t>Pelagio, Rochelle Mae V.</t>
  </si>
  <si>
    <t>Ramos, Rudy G. Jr.</t>
  </si>
  <si>
    <t>Samar, Christopher C.</t>
  </si>
  <si>
    <t>Water Resources Facilities Tender A</t>
  </si>
  <si>
    <t>Sario, Leo R.</t>
  </si>
  <si>
    <t>Vargas, Jecco M.</t>
  </si>
  <si>
    <t>Baldemor, Arnulfo T.</t>
  </si>
  <si>
    <t>Buban, Albert C.</t>
  </si>
  <si>
    <t>Condes, Edwin A.</t>
  </si>
  <si>
    <t>Diaz, June P.</t>
  </si>
  <si>
    <t>Romero, Jane S.</t>
  </si>
  <si>
    <t>Romero, Sherwin S.</t>
  </si>
  <si>
    <t>Salva, Nicanor I.</t>
  </si>
  <si>
    <t>Sto. Tomas, Jonas L.</t>
  </si>
  <si>
    <t>Villanueva, Celeste N.</t>
  </si>
  <si>
    <t>Adolfo, Alex Q.</t>
  </si>
  <si>
    <t>Aserdano, Arnel</t>
  </si>
  <si>
    <t>Cano, Edilberto C.</t>
  </si>
  <si>
    <t>Carinan, Ken C.</t>
  </si>
  <si>
    <t>Clavo, Lorna E.</t>
  </si>
  <si>
    <t>Clavo, Ronald M.</t>
  </si>
  <si>
    <t>De Jesus, Sanny R.</t>
  </si>
  <si>
    <t>Gasga, Victor D.</t>
  </si>
  <si>
    <t>Huit, Erika Mae T.</t>
  </si>
  <si>
    <t>Paga, Gerald A.</t>
  </si>
  <si>
    <t>Pano, Marcelo Jr. P.</t>
  </si>
  <si>
    <t>Papaya, Carl Jude G.</t>
  </si>
  <si>
    <t>Saonoy, Aaron P.</t>
  </si>
  <si>
    <t>Siruma, Alexis P.</t>
  </si>
  <si>
    <t>Arcilla, Marlou S.</t>
  </si>
  <si>
    <t>Bulacan, Paul Jeffrey T.</t>
  </si>
  <si>
    <t>Constante, Emerson C.</t>
  </si>
  <si>
    <t>Delantar, Melvin S.</t>
  </si>
  <si>
    <t>Gobaton, Ambrosio P.</t>
  </si>
  <si>
    <t>Ibañez, Marlo N.</t>
  </si>
  <si>
    <t>Ignao, Jayson R.</t>
  </si>
  <si>
    <t>Ignao, Santiago Jr. R.</t>
  </si>
  <si>
    <t>Ilarde, Joshua M.</t>
  </si>
  <si>
    <t>Maderazo, Christian R.</t>
  </si>
  <si>
    <t>Manlangit, Nick J.</t>
  </si>
  <si>
    <t>Muit, Angeline V.</t>
  </si>
  <si>
    <t>Tagum, Rodessa Shayne T.</t>
  </si>
  <si>
    <t>Valiente, James D.</t>
  </si>
  <si>
    <t>Zoilo, Manuel R.</t>
  </si>
  <si>
    <t>Muit, Jerom C.</t>
  </si>
  <si>
    <t>Caceres, Gervacio</t>
  </si>
  <si>
    <t>Argete, Kristopher S.</t>
  </si>
  <si>
    <t>Information System Researcher I</t>
  </si>
  <si>
    <t>Atis, Patrick M.</t>
  </si>
  <si>
    <t>Baesa, Stephanie M.</t>
  </si>
  <si>
    <t>Senior Draftsman A</t>
  </si>
  <si>
    <t>Balbis, Abegail</t>
  </si>
  <si>
    <t>Bedes, Arriane P.</t>
  </si>
  <si>
    <t>Information Officer C</t>
  </si>
  <si>
    <t>Bobos, Margarito S.</t>
  </si>
  <si>
    <t>Dela Cruz, Shelamie A.</t>
  </si>
  <si>
    <t xml:space="preserve">Doblon, Jeffrey S. </t>
  </si>
  <si>
    <t>Plant Electrician C</t>
  </si>
  <si>
    <t>Dominguez, Justin Marcoux</t>
  </si>
  <si>
    <t>Echague, Abelardo L.</t>
  </si>
  <si>
    <t>Elaurza, Mar Boni L.</t>
  </si>
  <si>
    <t>Espela, Mark Ian D.</t>
  </si>
  <si>
    <t>Francisco, Michael H.</t>
  </si>
  <si>
    <t>Mogol, Rodelynn M.</t>
  </si>
  <si>
    <t>Environmental Management Specialist B</t>
  </si>
  <si>
    <t>Oliva, Ryan C.</t>
  </si>
  <si>
    <t>Palacay, Jomare B.</t>
  </si>
  <si>
    <t>Rabe, Inah Rafaela Marie D.</t>
  </si>
  <si>
    <t>Rubis, Joey D.</t>
  </si>
  <si>
    <t>Segundo, Joachim C.</t>
  </si>
  <si>
    <t>Vargas, Fershian Shay B.</t>
  </si>
  <si>
    <t>Villamonte, Rachelle P.</t>
  </si>
  <si>
    <t>Villar, Daliah O.</t>
  </si>
  <si>
    <t>Villaralvo, Petrus Juan Zadrach R.</t>
  </si>
  <si>
    <t>Albos, Mark Anthony A.</t>
  </si>
  <si>
    <t>Amaro, Joseph M.</t>
  </si>
  <si>
    <t>Cleofas, Ma. Darnie B.</t>
  </si>
  <si>
    <t>Patoc, Roy Christian O.</t>
  </si>
  <si>
    <t>Asaldo, Ana Rose E.</t>
  </si>
  <si>
    <t>Cea, Ronnie L.</t>
  </si>
  <si>
    <t>Chica, Jonas V.</t>
  </si>
  <si>
    <t>Cornejo, Christine V.</t>
  </si>
  <si>
    <t>Ragodon, Gene Francis C.</t>
  </si>
  <si>
    <t>Bacares, Divina Gracia I.</t>
  </si>
  <si>
    <t>Revilla, Marcia A.</t>
  </si>
  <si>
    <t>Rodriguez, Michelle C.</t>
  </si>
  <si>
    <t>Saonoy, Siena P.</t>
  </si>
  <si>
    <t>Velasco, Jose Genaro I.</t>
  </si>
  <si>
    <t>Villanueva, Jose Darwin III V.</t>
  </si>
  <si>
    <t>Arcilla, Mario S.</t>
  </si>
  <si>
    <t>Espiritu, Sharmeine</t>
  </si>
  <si>
    <t>Gonowon, Andrew Shane P.</t>
  </si>
  <si>
    <t>Intia, Francisco A. Jr.</t>
  </si>
  <si>
    <t>Llacer, Jarome P.</t>
  </si>
  <si>
    <t>Orillosa, Erica Mae T.</t>
  </si>
  <si>
    <t>Baynas, Jessie D.</t>
  </si>
  <si>
    <t>Principal Engineer A/Acting Division Manager</t>
  </si>
  <si>
    <t>Sorsogon-Masbate Irrigation Management Office</t>
  </si>
  <si>
    <t>Correa, Carl James M.</t>
  </si>
  <si>
    <t>Water Res.Fac. Operator B</t>
  </si>
  <si>
    <t>Domanico, Marichu E.</t>
  </si>
  <si>
    <t>Senior Water Resources Fac. Tech</t>
  </si>
  <si>
    <t>Marco, Ariel L.</t>
  </si>
  <si>
    <t>Senior IDO</t>
  </si>
  <si>
    <t>Nopre, Sherwin Rois R.</t>
  </si>
  <si>
    <t>Fauni, Annie R.</t>
  </si>
  <si>
    <t>Federis, Jona E.</t>
  </si>
  <si>
    <t>Valeriano, Maridol G.</t>
  </si>
  <si>
    <t>Albino, Francisco Jr. P.</t>
  </si>
  <si>
    <t>Aninipot, Cynthia E.</t>
  </si>
  <si>
    <t>Administration Services Assistant C</t>
  </si>
  <si>
    <t>Bolandro, Aleah Lalaine S.</t>
  </si>
  <si>
    <t>Dometita, Jezra D.</t>
  </si>
  <si>
    <t>Furigay, Neling M.</t>
  </si>
  <si>
    <t>Irrigators Dev't Officer A</t>
  </si>
  <si>
    <t>Granado, Jerry G.</t>
  </si>
  <si>
    <t>Administrative Aide lV(Watchman)</t>
  </si>
  <si>
    <t>Tamboong, Alfie G.</t>
  </si>
  <si>
    <t>Administrative Aide lll (UW-A)</t>
  </si>
  <si>
    <t>Ulmido, Julei Andrea L.</t>
  </si>
  <si>
    <t>Tenorio, Richille L.</t>
  </si>
  <si>
    <t>Abas, Archie A.</t>
  </si>
  <si>
    <t>Abejuela, Mark Anthony G.</t>
  </si>
  <si>
    <t>Administrative Aide l</t>
  </si>
  <si>
    <t>Albao, Joselito L.</t>
  </si>
  <si>
    <t>Ariscon, Christine V.</t>
  </si>
  <si>
    <t>Baleza, Mark Glenn S.</t>
  </si>
  <si>
    <t>Barruga, Vicente D.</t>
  </si>
  <si>
    <t>Borilla, Ruben E.</t>
  </si>
  <si>
    <t>Senior Mason</t>
  </si>
  <si>
    <t>Carpon, Janielle Chloe G.</t>
  </si>
  <si>
    <t>Carpon, Genaro Jr. G.</t>
  </si>
  <si>
    <t>Casilao, Jonathan G.</t>
  </si>
  <si>
    <t>Dometita, Arnold D.</t>
  </si>
  <si>
    <t>Haya, Cammille B.</t>
  </si>
  <si>
    <t>Masip, Sheree Ann L.</t>
  </si>
  <si>
    <t>Padura, Marites M.</t>
  </si>
  <si>
    <t>Property/Supply Officer C</t>
  </si>
  <si>
    <t>Serrano, Rica</t>
  </si>
  <si>
    <t>Agcaoili, John Dexter H.</t>
  </si>
  <si>
    <t>Aguilar, Rene Jr. V.</t>
  </si>
  <si>
    <t>Administrative Aide III</t>
  </si>
  <si>
    <t>Alianza, Bea Louise V.</t>
  </si>
  <si>
    <t>Procurement Assistant B</t>
  </si>
  <si>
    <t>Andaya, John Dominic D.</t>
  </si>
  <si>
    <t>Drafstman B</t>
  </si>
  <si>
    <t>Balalilhe, Ronnie Jr. B.</t>
  </si>
  <si>
    <t>Bayoca, Jake Menil E.</t>
  </si>
  <si>
    <t>Bayoca, Rudy D.</t>
  </si>
  <si>
    <t>Chavez, Jersen B.</t>
  </si>
  <si>
    <t>Coquia, Angelo D.</t>
  </si>
  <si>
    <t>Desengaño, Calixto D.</t>
  </si>
  <si>
    <t>Diaz, Sandrick M.</t>
  </si>
  <si>
    <t>Dicen, John Allen E.</t>
  </si>
  <si>
    <t>Diesta, Ferdinand D.</t>
  </si>
  <si>
    <t>Discarga, Rodelyn O.</t>
  </si>
  <si>
    <t>Domanico, Salvador D.</t>
  </si>
  <si>
    <t>Mason B</t>
  </si>
  <si>
    <t>Dometita, Ermin D.</t>
  </si>
  <si>
    <t>Dometia, Romel D.</t>
  </si>
  <si>
    <t>Doncillo, Armando D.</t>
  </si>
  <si>
    <t>Industrial Security Guard B</t>
  </si>
  <si>
    <t>Duran, Kent Andrei R.</t>
  </si>
  <si>
    <t>Elquiero, Erwin C.</t>
  </si>
  <si>
    <t>Enaje, John Lennan E.</t>
  </si>
  <si>
    <t>Entico, Kenneth C.</t>
  </si>
  <si>
    <t>Escandor, Jagel Mae S.</t>
  </si>
  <si>
    <t>Administrative Assistant II</t>
  </si>
  <si>
    <t>Escobedo, Jeson D.</t>
  </si>
  <si>
    <t>Escueta, Zacarias D.</t>
  </si>
  <si>
    <t>Espedillon, Jeric D.</t>
  </si>
  <si>
    <t>Espera, Cyrel J.</t>
  </si>
  <si>
    <t>Esperanzate, Carlo Jay F.</t>
  </si>
  <si>
    <t>Gabling, Shiela D.</t>
  </si>
  <si>
    <t>Giba, Kristine Joy G.</t>
  </si>
  <si>
    <t>Gora, Ronin M.</t>
  </si>
  <si>
    <t>Guariña, Rhea A.</t>
  </si>
  <si>
    <t>Gumal, John Cris I.</t>
  </si>
  <si>
    <t>Jano, Marlon D.</t>
  </si>
  <si>
    <t>Heavy Equipment Operator II</t>
  </si>
  <si>
    <t>Jerusalem, Garry B.</t>
  </si>
  <si>
    <t>Jerusalem, Gilbert B.</t>
  </si>
  <si>
    <t>Labao, Sandro T.</t>
  </si>
  <si>
    <t>Leyte, Carlo E.</t>
  </si>
  <si>
    <t>Llona, Joey M.</t>
  </si>
  <si>
    <t>Luces, Noel A.</t>
  </si>
  <si>
    <t>Manaog, Hanna Mae C.</t>
  </si>
  <si>
    <t>Pacay, Gilmark</t>
  </si>
  <si>
    <t>Raquid, Catherine D.</t>
  </si>
  <si>
    <t>Relato, Roland B.</t>
  </si>
  <si>
    <t>Sabanal, Roseann Mae J.</t>
  </si>
  <si>
    <t>Draftsman -A</t>
  </si>
  <si>
    <t>Samson, Anthony Brian H.</t>
  </si>
  <si>
    <t>Sarmiento, Elmo Niño T.</t>
  </si>
  <si>
    <t>Tulod, John Angelo T.</t>
  </si>
  <si>
    <t>Altiche, Augie</t>
  </si>
  <si>
    <t>Balbedina, Mae Abba B.</t>
  </si>
  <si>
    <t>Caliva, Sheina Jane</t>
  </si>
  <si>
    <t>Dino, Jeric B.</t>
  </si>
  <si>
    <t>Duana, John Harold G.</t>
  </si>
  <si>
    <t>Espares, Raul Jr. D.</t>
  </si>
  <si>
    <t>Jintalan, Queenie Rose L.</t>
  </si>
  <si>
    <t>Legal, Christy R.</t>
  </si>
  <si>
    <t>Mariano, Veronica A.</t>
  </si>
  <si>
    <t>Rempillo, Rosselle Marione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</si>
</sst>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mm&quot;-&quot;dd&quot;-&quot;yyyy"/>
    <numFmt numFmtId="166" formatCode="mmmm&quot; &quot;d&quot;, &quot;yyyy"/>
  </numFmts>
  <fonts count="2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Courier New"/>
      <family val="3"/>
    </font>
    <font>
      <b/>
      <sz val="13"/>
      <color theme="1"/>
      <name val="Courier New"/>
      <family val="3"/>
    </font>
    <font>
      <b/>
      <sz val="14"/>
      <color theme="1"/>
      <name val="Courier New"/>
      <family val="3"/>
    </font>
    <font>
      <b/>
      <sz val="14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Courier New"/>
      <family val="3"/>
    </font>
    <font>
      <sz val="10"/>
      <color theme="1"/>
      <name val="Courier New"/>
      <family val="3"/>
    </font>
    <font>
      <sz val="11"/>
      <color rgb="FF000000"/>
      <name val="Courier New"/>
      <family val="3"/>
    </font>
    <font>
      <i/>
      <sz val="9"/>
      <color rgb="FF000000"/>
      <name val="Courier New"/>
      <family val="3"/>
    </font>
    <font>
      <sz val="10"/>
      <color rgb="FF000000"/>
      <name val="Courier New"/>
      <family val="3"/>
    </font>
    <font>
      <sz val="9"/>
      <color rgb="FF000000"/>
      <name val="Courier New"/>
      <family val="3"/>
    </font>
    <font>
      <sz val="10"/>
      <color rgb="FF000000"/>
      <name val="Courier New"/>
      <family val="3"/>
    </font>
    <font>
      <sz val="11"/>
      <color theme="1"/>
      <name val="Courier New"/>
      <family val="3"/>
    </font>
    <font>
      <sz val="11"/>
      <color rgb="FFFF0000"/>
      <name val="Courier New"/>
      <family val="3"/>
    </font>
    <font>
      <b/>
      <sz val="11"/>
      <color theme="1"/>
      <name val="Courier New"/>
      <family val="3"/>
    </font>
    <font>
      <sz val="12"/>
      <color rgb="FF000000"/>
      <name val="Courier New"/>
      <family val="3"/>
    </font>
    <font>
      <b/>
      <sz val="11"/>
      <color rgb="FF000000"/>
      <name val="Courier New"/>
      <family val="3"/>
    </font>
    <font>
      <sz val="12"/>
      <color theme="1"/>
      <name val="Courier New"/>
      <family val="3"/>
    </font>
    <font>
      <sz val="10"/>
      <color rgb="FFFF0000"/>
      <name val="Courier New"/>
      <family val="3"/>
    </font>
    <font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quotePrefix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 wrapText="1"/>
    </xf>
    <xf numFmtId="0" fontId="7" fillId="0" borderId="0" xfId="0" applyFont="1" applyAlignment="1">
      <alignment horizontal="center" vertical="center"/>
    </xf>
    <xf numFmtId="0" fontId="8" fillId="6" borderId="1" xfId="0" applyFont="1" applyFill="1" applyBorder="1" applyAlignment="1">
      <alignment vertical="center"/>
    </xf>
    <xf numFmtId="165" fontId="8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1" fillId="0" borderId="1" xfId="0" applyFont="1" applyBorder="1"/>
    <xf numFmtId="14" fontId="9" fillId="0" borderId="1" xfId="0" applyNumberFormat="1" applyFont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0" fontId="10" fillId="0" borderId="4" xfId="0" applyFont="1" applyBorder="1"/>
    <xf numFmtId="0" fontId="11" fillId="0" borderId="4" xfId="0" applyFont="1" applyBorder="1"/>
    <xf numFmtId="0" fontId="10" fillId="0" borderId="5" xfId="0" applyFont="1" applyBorder="1" applyAlignment="1">
      <alignment horizontal="center"/>
    </xf>
    <xf numFmtId="0" fontId="10" fillId="0" borderId="6" xfId="0" applyFont="1" applyBorder="1"/>
    <xf numFmtId="0" fontId="11" fillId="0" borderId="6" xfId="0" applyFont="1" applyBorder="1"/>
    <xf numFmtId="14" fontId="12" fillId="0" borderId="2" xfId="0" applyNumberFormat="1" applyFont="1" applyBorder="1" applyAlignment="1">
      <alignment horizontal="center"/>
    </xf>
    <xf numFmtId="14" fontId="12" fillId="0" borderId="7" xfId="0" applyNumberFormat="1" applyFont="1" applyBorder="1" applyAlignment="1">
      <alignment horizontal="center"/>
    </xf>
    <xf numFmtId="0" fontId="13" fillId="0" borderId="1" xfId="0" applyFont="1" applyBorder="1"/>
    <xf numFmtId="0" fontId="10" fillId="0" borderId="1" xfId="0" applyFont="1" applyBorder="1" applyAlignment="1">
      <alignment horizontal="left"/>
    </xf>
    <xf numFmtId="49" fontId="10" fillId="0" borderId="5" xfId="0" applyNumberFormat="1" applyFont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165" fontId="14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165" fontId="8" fillId="0" borderId="0" xfId="0" applyNumberFormat="1" applyFont="1" applyAlignment="1">
      <alignment horizont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165" fontId="14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1" xfId="0" quotePrefix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165" fontId="1" fillId="0" borderId="0" xfId="0" applyNumberFormat="1" applyFont="1" applyAlignment="1">
      <alignment horizontal="center"/>
    </xf>
    <xf numFmtId="166" fontId="2" fillId="0" borderId="1" xfId="0" applyNumberFormat="1" applyFont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1" fontId="10" fillId="8" borderId="0" xfId="0" applyNumberFormat="1" applyFont="1" applyFill="1" applyAlignment="1">
      <alignment horizontal="center" vertical="center"/>
    </xf>
    <xf numFmtId="0" fontId="10" fillId="8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horizontal="left" vertical="center" wrapText="1"/>
    </xf>
    <xf numFmtId="165" fontId="10" fillId="8" borderId="0" xfId="0" applyNumberFormat="1" applyFont="1" applyFill="1" applyAlignment="1">
      <alignment horizontal="center" vertical="center"/>
    </xf>
    <xf numFmtId="165" fontId="10" fillId="8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166" fontId="8" fillId="0" borderId="0" xfId="0" applyNumberFormat="1" applyFont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66" fontId="17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5" fillId="0" borderId="0" xfId="0" applyFont="1"/>
    <xf numFmtId="0" fontId="18" fillId="6" borderId="0" xfId="0" applyFont="1" applyFill="1" applyAlignment="1">
      <alignment horizontal="center" vertical="center"/>
    </xf>
    <xf numFmtId="0" fontId="10" fillId="6" borderId="1" xfId="0" applyFont="1" applyFill="1" applyBorder="1" applyAlignment="1">
      <alignment vertical="center"/>
    </xf>
    <xf numFmtId="165" fontId="18" fillId="6" borderId="0" xfId="0" applyNumberFormat="1" applyFont="1" applyFill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5" fontId="18" fillId="6" borderId="1" xfId="0" applyNumberFormat="1" applyFont="1" applyFill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165" fontId="15" fillId="0" borderId="1" xfId="0" applyNumberFormat="1" applyFont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165" fontId="19" fillId="8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 wrapText="1"/>
    </xf>
    <xf numFmtId="166" fontId="15" fillId="0" borderId="0" xfId="0" applyNumberFormat="1" applyFont="1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165" fontId="10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166" fontId="1" fillId="0" borderId="0" xfId="0" applyNumberFormat="1" applyFont="1" applyAlignment="1">
      <alignment horizontal="center"/>
    </xf>
    <xf numFmtId="0" fontId="10" fillId="0" borderId="4" xfId="0" applyFont="1" applyBorder="1" applyAlignment="1">
      <alignment horizontal="left" vertical="center"/>
    </xf>
    <xf numFmtId="165" fontId="9" fillId="0" borderId="1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165" fontId="9" fillId="8" borderId="1" xfId="0" applyNumberFormat="1" applyFont="1" applyFill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165" fontId="12" fillId="6" borderId="1" xfId="0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165" fontId="12" fillId="0" borderId="1" xfId="0" applyNumberFormat="1" applyFont="1" applyBorder="1" applyAlignment="1">
      <alignment horizontal="center" vertical="center"/>
    </xf>
    <xf numFmtId="165" fontId="20" fillId="6" borderId="1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165" fontId="10" fillId="6" borderId="0" xfId="0" applyNumberFormat="1" applyFont="1" applyFill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165" fontId="20" fillId="9" borderId="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2" fillId="4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2" fillId="7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7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4:Z10"/>
  <sheetViews>
    <sheetView workbookViewId="0"/>
  </sheetViews>
  <sheetFormatPr defaultColWidth="12.5703125" defaultRowHeight="15.75" customHeight="1" x14ac:dyDescent="0.2"/>
  <cols>
    <col min="3" max="3" width="45.5703125" customWidth="1"/>
    <col min="4" max="4" width="34.28515625" customWidth="1"/>
  </cols>
  <sheetData>
    <row r="4" spans="1:26" ht="45" customHeight="1" x14ac:dyDescent="0.2">
      <c r="A4" s="1"/>
      <c r="B4" s="1"/>
      <c r="C4" s="2" t="s">
        <v>0</v>
      </c>
      <c r="D4" s="3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5" customHeight="1" x14ac:dyDescent="0.2">
      <c r="A5" s="1"/>
      <c r="B5" s="1"/>
      <c r="C5" s="4" t="s">
        <v>2</v>
      </c>
      <c r="D5" s="3">
        <f>'REGIONAL OFFICE'!D170+ACIMO!D153+CNIMO!D105+CSIMO!D265+SMIMO!D114</f>
        <v>126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5" customHeight="1" x14ac:dyDescent="0.2">
      <c r="A6" s="1"/>
      <c r="B6" s="1"/>
      <c r="C6" s="4" t="s">
        <v>3</v>
      </c>
      <c r="D6" s="3">
        <f>'REGIONAL OFFICE'!D171+ACIMO!D154+CNIMO!D106+CSIMO!D266+SMIMO!D115</f>
        <v>147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5" customHeight="1" x14ac:dyDescent="0.2">
      <c r="A7" s="1"/>
      <c r="B7" s="1"/>
      <c r="C7" s="4" t="s">
        <v>4</v>
      </c>
      <c r="D7" s="3">
        <f>'REGIONAL OFFICE'!D172+ACIMO!D155+CNIMO!D107+CSIMO!D267+SMIMO!D116</f>
        <v>46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5" customHeight="1" x14ac:dyDescent="0.2">
      <c r="A8" s="1"/>
      <c r="B8" s="1"/>
      <c r="C8" s="4" t="s">
        <v>5</v>
      </c>
      <c r="D8" s="3">
        <f>'REGIONAL OFFICE'!D173+ACIMO!D156+CNIMO!D108+CSIMO!D268+SMIMO!D117</f>
        <v>275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5" customHeight="1" x14ac:dyDescent="0.2">
      <c r="A9" s="1"/>
      <c r="B9" s="1"/>
      <c r="C9" s="4" t="s">
        <v>6</v>
      </c>
      <c r="D9" s="3">
        <f>'REGIONAL OFFICE'!D174+ACIMO!D157+CNIMO!D109+CSIMO!D269+SMIMO!D118</f>
        <v>93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5" customHeight="1" x14ac:dyDescent="0.2">
      <c r="A10" s="1"/>
      <c r="B10" s="1"/>
      <c r="C10" s="5" t="s">
        <v>7</v>
      </c>
      <c r="D10" s="6">
        <f>'REGIONAL OFFICE'!D175+ACIMO!D158+CNIMO!D110+CSIMO!D270+SMIMO!D119</f>
        <v>687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1"/>
  <sheetViews>
    <sheetView workbookViewId="0"/>
  </sheetViews>
  <sheetFormatPr defaultColWidth="12.5703125" defaultRowHeight="15.75" customHeight="1" x14ac:dyDescent="0.2"/>
  <cols>
    <col min="1" max="1" width="7.28515625" customWidth="1"/>
    <col min="2" max="2" width="17.28515625" customWidth="1"/>
    <col min="3" max="3" width="36.85546875" customWidth="1"/>
    <col min="4" max="4" width="56.42578125" customWidth="1"/>
    <col min="6" max="6" width="14.7109375" customWidth="1"/>
    <col min="7" max="7" width="39.42578125" customWidth="1"/>
    <col min="8" max="8" width="35.140625" customWidth="1"/>
  </cols>
  <sheetData>
    <row r="1" spans="1:26" ht="41.25" customHeight="1" x14ac:dyDescent="0.2">
      <c r="A1" s="131" t="s">
        <v>8</v>
      </c>
      <c r="B1" s="132"/>
      <c r="C1" s="132"/>
      <c r="D1" s="132"/>
      <c r="E1" s="132"/>
      <c r="F1" s="132"/>
      <c r="G1" s="132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6.25" customHeight="1" x14ac:dyDescent="0.2">
      <c r="A2" s="130" t="s">
        <v>2</v>
      </c>
      <c r="B2" s="127"/>
      <c r="C2" s="127"/>
      <c r="D2" s="127"/>
      <c r="E2" s="127"/>
      <c r="F2" s="127"/>
      <c r="G2" s="128"/>
    </row>
    <row r="3" spans="1:26" ht="26.25" customHeight="1" x14ac:dyDescent="0.2">
      <c r="A3" s="2" t="s">
        <v>9</v>
      </c>
      <c r="B3" s="2" t="s">
        <v>10</v>
      </c>
      <c r="C3" s="2" t="s">
        <v>11</v>
      </c>
      <c r="D3" s="3" t="s">
        <v>12</v>
      </c>
      <c r="E3" s="2" t="s">
        <v>13</v>
      </c>
      <c r="F3" s="2" t="s">
        <v>14</v>
      </c>
      <c r="G3" s="2" t="s">
        <v>15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26.25" customHeight="1" x14ac:dyDescent="0.2">
      <c r="A4" s="9">
        <f>1</f>
        <v>1</v>
      </c>
      <c r="B4" s="9">
        <v>163547</v>
      </c>
      <c r="C4" s="10" t="s">
        <v>16</v>
      </c>
      <c r="D4" s="11" t="s">
        <v>17</v>
      </c>
      <c r="E4" s="9" t="s">
        <v>18</v>
      </c>
      <c r="F4" s="12" t="s">
        <v>19</v>
      </c>
      <c r="G4" s="10" t="s">
        <v>20</v>
      </c>
    </row>
    <row r="5" spans="1:26" ht="26.25" customHeight="1" x14ac:dyDescent="0.2">
      <c r="A5" s="9">
        <f t="shared" ref="A5:A47" si="0">A4+1</f>
        <v>2</v>
      </c>
      <c r="B5" s="9">
        <v>620930</v>
      </c>
      <c r="C5" s="10" t="s">
        <v>21</v>
      </c>
      <c r="D5" s="11" t="s">
        <v>22</v>
      </c>
      <c r="E5" s="9" t="s">
        <v>18</v>
      </c>
      <c r="F5" s="13">
        <v>33119</v>
      </c>
      <c r="G5" s="10" t="s">
        <v>23</v>
      </c>
    </row>
    <row r="6" spans="1:26" ht="26.25" customHeight="1" x14ac:dyDescent="0.2">
      <c r="A6" s="9">
        <f t="shared" si="0"/>
        <v>3</v>
      </c>
      <c r="B6" s="9">
        <v>549361</v>
      </c>
      <c r="C6" s="10" t="s">
        <v>24</v>
      </c>
      <c r="D6" s="11" t="s">
        <v>25</v>
      </c>
      <c r="E6" s="9" t="s">
        <v>26</v>
      </c>
      <c r="F6" s="13">
        <v>26708</v>
      </c>
      <c r="G6" s="10" t="s">
        <v>27</v>
      </c>
    </row>
    <row r="7" spans="1:26" ht="26.25" customHeight="1" x14ac:dyDescent="0.2">
      <c r="A7" s="9">
        <f t="shared" si="0"/>
        <v>4</v>
      </c>
      <c r="B7" s="9">
        <v>706818</v>
      </c>
      <c r="C7" s="10" t="s">
        <v>28</v>
      </c>
      <c r="D7" s="11" t="s">
        <v>29</v>
      </c>
      <c r="E7" s="9" t="s">
        <v>18</v>
      </c>
      <c r="F7" s="13">
        <v>35176</v>
      </c>
      <c r="G7" s="10" t="s">
        <v>30</v>
      </c>
    </row>
    <row r="8" spans="1:26" ht="26.25" customHeight="1" x14ac:dyDescent="0.2">
      <c r="A8" s="9">
        <f t="shared" si="0"/>
        <v>5</v>
      </c>
      <c r="B8" s="9">
        <v>333623</v>
      </c>
      <c r="C8" s="10" t="s">
        <v>31</v>
      </c>
      <c r="D8" s="11" t="s">
        <v>32</v>
      </c>
      <c r="E8" s="9" t="s">
        <v>18</v>
      </c>
      <c r="F8" s="14">
        <v>26959</v>
      </c>
      <c r="G8" s="10" t="s">
        <v>33</v>
      </c>
    </row>
    <row r="9" spans="1:26" ht="26.25" customHeight="1" x14ac:dyDescent="0.2">
      <c r="A9" s="9">
        <f t="shared" si="0"/>
        <v>6</v>
      </c>
      <c r="B9" s="9">
        <v>582940</v>
      </c>
      <c r="C9" s="10" t="s">
        <v>34</v>
      </c>
      <c r="D9" s="11" t="s">
        <v>35</v>
      </c>
      <c r="E9" s="9" t="s">
        <v>26</v>
      </c>
      <c r="F9" s="13">
        <v>29309</v>
      </c>
      <c r="G9" s="10" t="s">
        <v>36</v>
      </c>
    </row>
    <row r="10" spans="1:26" ht="26.25" customHeight="1" x14ac:dyDescent="0.2">
      <c r="A10" s="9">
        <f t="shared" si="0"/>
        <v>7</v>
      </c>
      <c r="B10" s="9">
        <v>809774</v>
      </c>
      <c r="C10" s="10" t="s">
        <v>37</v>
      </c>
      <c r="D10" s="11" t="s">
        <v>38</v>
      </c>
      <c r="E10" s="9" t="s">
        <v>18</v>
      </c>
      <c r="F10" s="13">
        <v>46216</v>
      </c>
      <c r="G10" s="10" t="s">
        <v>23</v>
      </c>
    </row>
    <row r="11" spans="1:26" ht="26.25" customHeight="1" x14ac:dyDescent="0.2">
      <c r="A11" s="9">
        <f t="shared" si="0"/>
        <v>8</v>
      </c>
      <c r="B11" s="9">
        <v>250317</v>
      </c>
      <c r="C11" s="10" t="s">
        <v>39</v>
      </c>
      <c r="D11" s="11" t="s">
        <v>40</v>
      </c>
      <c r="E11" s="9" t="s">
        <v>26</v>
      </c>
      <c r="F11" s="13">
        <v>24569</v>
      </c>
      <c r="G11" s="10" t="s">
        <v>30</v>
      </c>
    </row>
    <row r="12" spans="1:26" ht="26.25" customHeight="1" x14ac:dyDescent="0.2">
      <c r="A12" s="9">
        <f t="shared" si="0"/>
        <v>9</v>
      </c>
      <c r="B12" s="9">
        <v>482392</v>
      </c>
      <c r="C12" s="10" t="s">
        <v>41</v>
      </c>
      <c r="D12" s="11" t="s">
        <v>42</v>
      </c>
      <c r="E12" s="9" t="s">
        <v>18</v>
      </c>
      <c r="F12" s="13">
        <v>31673</v>
      </c>
      <c r="G12" s="10" t="s">
        <v>43</v>
      </c>
    </row>
    <row r="13" spans="1:26" ht="26.25" customHeight="1" x14ac:dyDescent="0.2">
      <c r="A13" s="9">
        <f t="shared" si="0"/>
        <v>10</v>
      </c>
      <c r="B13" s="9">
        <v>301467</v>
      </c>
      <c r="C13" s="10" t="s">
        <v>44</v>
      </c>
      <c r="D13" s="11" t="s">
        <v>45</v>
      </c>
      <c r="E13" s="9" t="s">
        <v>26</v>
      </c>
      <c r="F13" s="13">
        <v>34275</v>
      </c>
      <c r="G13" s="10" t="s">
        <v>20</v>
      </c>
    </row>
    <row r="14" spans="1:26" ht="26.25" customHeight="1" x14ac:dyDescent="0.2">
      <c r="A14" s="9">
        <f t="shared" si="0"/>
        <v>11</v>
      </c>
      <c r="B14" s="9">
        <v>813367</v>
      </c>
      <c r="C14" s="10" t="s">
        <v>46</v>
      </c>
      <c r="D14" s="11" t="s">
        <v>47</v>
      </c>
      <c r="E14" s="9" t="s">
        <v>18</v>
      </c>
      <c r="F14" s="13">
        <v>35012</v>
      </c>
      <c r="G14" s="10" t="s">
        <v>20</v>
      </c>
    </row>
    <row r="15" spans="1:26" ht="26.25" customHeight="1" x14ac:dyDescent="0.2">
      <c r="A15" s="9">
        <f t="shared" si="0"/>
        <v>12</v>
      </c>
      <c r="B15" s="9">
        <v>688176</v>
      </c>
      <c r="C15" s="10" t="s">
        <v>48</v>
      </c>
      <c r="D15" s="11" t="s">
        <v>49</v>
      </c>
      <c r="E15" s="9" t="s">
        <v>26</v>
      </c>
      <c r="F15" s="13">
        <v>31782</v>
      </c>
      <c r="G15" s="10" t="s">
        <v>27</v>
      </c>
    </row>
    <row r="16" spans="1:26" ht="26.25" customHeight="1" x14ac:dyDescent="0.2">
      <c r="A16" s="9">
        <f t="shared" si="0"/>
        <v>13</v>
      </c>
      <c r="B16" s="9">
        <v>826525</v>
      </c>
      <c r="C16" s="10" t="s">
        <v>50</v>
      </c>
      <c r="D16" s="11" t="s">
        <v>51</v>
      </c>
      <c r="E16" s="9" t="s">
        <v>26</v>
      </c>
      <c r="F16" s="13">
        <v>26914</v>
      </c>
      <c r="G16" s="10" t="s">
        <v>36</v>
      </c>
    </row>
    <row r="17" spans="1:7" ht="26.25" customHeight="1" x14ac:dyDescent="0.2">
      <c r="A17" s="9">
        <f t="shared" si="0"/>
        <v>14</v>
      </c>
      <c r="B17" s="9">
        <v>836007</v>
      </c>
      <c r="C17" s="10" t="s">
        <v>52</v>
      </c>
      <c r="D17" s="11" t="s">
        <v>53</v>
      </c>
      <c r="E17" s="9" t="s">
        <v>18</v>
      </c>
      <c r="F17" s="13">
        <v>34966</v>
      </c>
      <c r="G17" s="10" t="s">
        <v>54</v>
      </c>
    </row>
    <row r="18" spans="1:7" ht="26.25" customHeight="1" x14ac:dyDescent="0.2">
      <c r="A18" s="9">
        <f t="shared" si="0"/>
        <v>15</v>
      </c>
      <c r="B18" s="9">
        <v>131448</v>
      </c>
      <c r="C18" s="10" t="s">
        <v>55</v>
      </c>
      <c r="D18" s="11" t="s">
        <v>56</v>
      </c>
      <c r="E18" s="9" t="s">
        <v>18</v>
      </c>
      <c r="F18" s="14">
        <v>32427</v>
      </c>
      <c r="G18" s="10" t="s">
        <v>20</v>
      </c>
    </row>
    <row r="19" spans="1:7" ht="26.25" customHeight="1" x14ac:dyDescent="0.2">
      <c r="A19" s="9">
        <f t="shared" si="0"/>
        <v>16</v>
      </c>
      <c r="B19" s="9">
        <v>695606</v>
      </c>
      <c r="C19" s="10" t="s">
        <v>57</v>
      </c>
      <c r="D19" s="11" t="s">
        <v>58</v>
      </c>
      <c r="E19" s="9" t="s">
        <v>26</v>
      </c>
      <c r="F19" s="13">
        <v>27000</v>
      </c>
      <c r="G19" s="10" t="s">
        <v>27</v>
      </c>
    </row>
    <row r="20" spans="1:7" ht="26.25" customHeight="1" x14ac:dyDescent="0.2">
      <c r="A20" s="9">
        <f t="shared" si="0"/>
        <v>17</v>
      </c>
      <c r="B20" s="9">
        <v>171430</v>
      </c>
      <c r="C20" s="10" t="s">
        <v>59</v>
      </c>
      <c r="D20" s="11" t="s">
        <v>60</v>
      </c>
      <c r="E20" s="9" t="s">
        <v>18</v>
      </c>
      <c r="F20" s="14">
        <v>32867</v>
      </c>
      <c r="G20" s="10" t="s">
        <v>27</v>
      </c>
    </row>
    <row r="21" spans="1:7" ht="26.25" customHeight="1" x14ac:dyDescent="0.2">
      <c r="A21" s="9">
        <f t="shared" si="0"/>
        <v>18</v>
      </c>
      <c r="B21" s="9">
        <v>253696</v>
      </c>
      <c r="C21" s="10" t="s">
        <v>61</v>
      </c>
      <c r="D21" s="11" t="s">
        <v>62</v>
      </c>
      <c r="E21" s="9" t="s">
        <v>18</v>
      </c>
      <c r="F21" s="14">
        <v>33952</v>
      </c>
      <c r="G21" s="10" t="s">
        <v>33</v>
      </c>
    </row>
    <row r="22" spans="1:7" ht="26.25" customHeight="1" x14ac:dyDescent="0.2">
      <c r="A22" s="9">
        <f t="shared" si="0"/>
        <v>19</v>
      </c>
      <c r="B22" s="9">
        <v>438592</v>
      </c>
      <c r="C22" s="10" t="s">
        <v>63</v>
      </c>
      <c r="D22" s="11" t="s">
        <v>64</v>
      </c>
      <c r="E22" s="9" t="s">
        <v>18</v>
      </c>
      <c r="F22" s="13">
        <v>23166</v>
      </c>
      <c r="G22" s="10" t="s">
        <v>23</v>
      </c>
    </row>
    <row r="23" spans="1:7" ht="26.25" customHeight="1" x14ac:dyDescent="0.2">
      <c r="A23" s="9">
        <f t="shared" si="0"/>
        <v>20</v>
      </c>
      <c r="B23" s="9">
        <v>676729</v>
      </c>
      <c r="C23" s="10" t="s">
        <v>65</v>
      </c>
      <c r="D23" s="11" t="s">
        <v>66</v>
      </c>
      <c r="E23" s="9" t="s">
        <v>26</v>
      </c>
      <c r="F23" s="14">
        <v>25504</v>
      </c>
      <c r="G23" s="10" t="s">
        <v>43</v>
      </c>
    </row>
    <row r="24" spans="1:7" ht="26.25" customHeight="1" x14ac:dyDescent="0.2">
      <c r="A24" s="9">
        <f t="shared" si="0"/>
        <v>21</v>
      </c>
      <c r="B24" s="9">
        <v>671525</v>
      </c>
      <c r="C24" s="10" t="s">
        <v>67</v>
      </c>
      <c r="D24" s="11" t="s">
        <v>51</v>
      </c>
      <c r="E24" s="9" t="s">
        <v>26</v>
      </c>
      <c r="F24" s="14">
        <v>22939</v>
      </c>
      <c r="G24" s="10" t="s">
        <v>36</v>
      </c>
    </row>
    <row r="25" spans="1:7" ht="26.25" customHeight="1" x14ac:dyDescent="0.2">
      <c r="A25" s="9">
        <f t="shared" si="0"/>
        <v>22</v>
      </c>
      <c r="B25" s="9">
        <v>321907</v>
      </c>
      <c r="C25" s="10" t="s">
        <v>68</v>
      </c>
      <c r="D25" s="11" t="s">
        <v>69</v>
      </c>
      <c r="E25" s="9" t="s">
        <v>18</v>
      </c>
      <c r="F25" s="13">
        <v>30765</v>
      </c>
      <c r="G25" s="10" t="s">
        <v>20</v>
      </c>
    </row>
    <row r="26" spans="1:7" ht="27" customHeight="1" x14ac:dyDescent="0.2">
      <c r="A26" s="9">
        <f t="shared" si="0"/>
        <v>23</v>
      </c>
      <c r="B26" s="9">
        <v>898495</v>
      </c>
      <c r="C26" s="10" t="s">
        <v>70</v>
      </c>
      <c r="D26" s="15" t="s">
        <v>71</v>
      </c>
      <c r="E26" s="9" t="s">
        <v>18</v>
      </c>
      <c r="F26" s="13">
        <v>32031</v>
      </c>
      <c r="G26" s="10" t="s">
        <v>27</v>
      </c>
    </row>
    <row r="27" spans="1:7" ht="26.25" customHeight="1" x14ac:dyDescent="0.2">
      <c r="A27" s="9">
        <f t="shared" si="0"/>
        <v>24</v>
      </c>
      <c r="B27" s="9">
        <v>367032</v>
      </c>
      <c r="C27" s="10" t="s">
        <v>72</v>
      </c>
      <c r="D27" s="11" t="s">
        <v>58</v>
      </c>
      <c r="E27" s="9" t="s">
        <v>26</v>
      </c>
      <c r="F27" s="13">
        <v>27491</v>
      </c>
      <c r="G27" s="10" t="s">
        <v>27</v>
      </c>
    </row>
    <row r="28" spans="1:7" ht="26.25" customHeight="1" x14ac:dyDescent="0.2">
      <c r="A28" s="9">
        <f t="shared" si="0"/>
        <v>25</v>
      </c>
      <c r="B28" s="9">
        <v>852114</v>
      </c>
      <c r="C28" s="10" t="s">
        <v>73</v>
      </c>
      <c r="D28" s="11" t="s">
        <v>32</v>
      </c>
      <c r="E28" s="9" t="s">
        <v>26</v>
      </c>
      <c r="F28" s="13">
        <v>35280</v>
      </c>
      <c r="G28" s="10" t="s">
        <v>27</v>
      </c>
    </row>
    <row r="29" spans="1:7" ht="26.25" customHeight="1" x14ac:dyDescent="0.2">
      <c r="A29" s="9">
        <f t="shared" si="0"/>
        <v>26</v>
      </c>
      <c r="B29" s="9">
        <v>987833</v>
      </c>
      <c r="C29" s="10" t="s">
        <v>74</v>
      </c>
      <c r="D29" s="11" t="s">
        <v>51</v>
      </c>
      <c r="E29" s="9" t="s">
        <v>26</v>
      </c>
      <c r="F29" s="12" t="s">
        <v>75</v>
      </c>
      <c r="G29" s="10" t="s">
        <v>43</v>
      </c>
    </row>
    <row r="30" spans="1:7" ht="26.25" customHeight="1" x14ac:dyDescent="0.2">
      <c r="A30" s="9">
        <f t="shared" si="0"/>
        <v>27</v>
      </c>
      <c r="B30" s="9">
        <v>797270</v>
      </c>
      <c r="C30" s="10" t="s">
        <v>76</v>
      </c>
      <c r="D30" s="11" t="s">
        <v>53</v>
      </c>
      <c r="E30" s="9" t="s">
        <v>18</v>
      </c>
      <c r="F30" s="13">
        <v>31188</v>
      </c>
      <c r="G30" s="10" t="s">
        <v>54</v>
      </c>
    </row>
    <row r="31" spans="1:7" ht="26.25" customHeight="1" x14ac:dyDescent="0.2">
      <c r="A31" s="9">
        <f t="shared" si="0"/>
        <v>28</v>
      </c>
      <c r="B31" s="9">
        <v>388739</v>
      </c>
      <c r="C31" s="10" t="s">
        <v>77</v>
      </c>
      <c r="D31" s="11" t="s">
        <v>78</v>
      </c>
      <c r="E31" s="9" t="s">
        <v>18</v>
      </c>
      <c r="F31" s="14">
        <v>32440</v>
      </c>
      <c r="G31" s="10" t="s">
        <v>43</v>
      </c>
    </row>
    <row r="32" spans="1:7" ht="26.25" customHeight="1" x14ac:dyDescent="0.2">
      <c r="A32" s="9">
        <f t="shared" si="0"/>
        <v>29</v>
      </c>
      <c r="B32" s="9">
        <v>518967</v>
      </c>
      <c r="C32" s="10" t="s">
        <v>79</v>
      </c>
      <c r="D32" s="11" t="s">
        <v>80</v>
      </c>
      <c r="E32" s="9" t="s">
        <v>18</v>
      </c>
      <c r="F32" s="13">
        <v>32116</v>
      </c>
      <c r="G32" s="10" t="s">
        <v>54</v>
      </c>
    </row>
    <row r="33" spans="1:7" ht="26.25" customHeight="1" x14ac:dyDescent="0.2">
      <c r="A33" s="9">
        <f t="shared" si="0"/>
        <v>30</v>
      </c>
      <c r="B33" s="9">
        <v>628726</v>
      </c>
      <c r="C33" s="10" t="s">
        <v>81</v>
      </c>
      <c r="D33" s="11" t="s">
        <v>82</v>
      </c>
      <c r="E33" s="9" t="s">
        <v>18</v>
      </c>
      <c r="F33" s="13">
        <v>22800</v>
      </c>
      <c r="G33" s="10" t="s">
        <v>54</v>
      </c>
    </row>
    <row r="34" spans="1:7" ht="26.25" customHeight="1" x14ac:dyDescent="0.2">
      <c r="A34" s="9">
        <f t="shared" si="0"/>
        <v>31</v>
      </c>
      <c r="B34" s="9">
        <v>136268</v>
      </c>
      <c r="C34" s="10" t="s">
        <v>83</v>
      </c>
      <c r="D34" s="11" t="s">
        <v>32</v>
      </c>
      <c r="E34" s="9" t="s">
        <v>18</v>
      </c>
      <c r="F34" s="13">
        <v>37135</v>
      </c>
      <c r="G34" s="10" t="s">
        <v>20</v>
      </c>
    </row>
    <row r="35" spans="1:7" ht="26.25" customHeight="1" x14ac:dyDescent="0.2">
      <c r="A35" s="9">
        <f t="shared" si="0"/>
        <v>32</v>
      </c>
      <c r="B35" s="9">
        <v>620692</v>
      </c>
      <c r="C35" s="10" t="s">
        <v>84</v>
      </c>
      <c r="D35" s="11" t="s">
        <v>58</v>
      </c>
      <c r="E35" s="9" t="s">
        <v>26</v>
      </c>
      <c r="F35" s="13">
        <v>29010</v>
      </c>
      <c r="G35" s="10" t="s">
        <v>27</v>
      </c>
    </row>
    <row r="36" spans="1:7" ht="26.25" customHeight="1" x14ac:dyDescent="0.2">
      <c r="A36" s="9">
        <f t="shared" si="0"/>
        <v>33</v>
      </c>
      <c r="B36" s="9">
        <v>149654</v>
      </c>
      <c r="C36" s="10" t="s">
        <v>85</v>
      </c>
      <c r="D36" s="11" t="s">
        <v>86</v>
      </c>
      <c r="E36" s="9" t="s">
        <v>26</v>
      </c>
      <c r="F36" s="12" t="s">
        <v>87</v>
      </c>
      <c r="G36" s="10" t="s">
        <v>27</v>
      </c>
    </row>
    <row r="37" spans="1:7" ht="26.25" customHeight="1" x14ac:dyDescent="0.2">
      <c r="A37" s="9">
        <f t="shared" si="0"/>
        <v>34</v>
      </c>
      <c r="B37" s="9">
        <v>698289</v>
      </c>
      <c r="C37" s="10" t="s">
        <v>88</v>
      </c>
      <c r="D37" s="11" t="s">
        <v>89</v>
      </c>
      <c r="E37" s="9" t="s">
        <v>26</v>
      </c>
      <c r="F37" s="13">
        <v>34075</v>
      </c>
      <c r="G37" s="10" t="s">
        <v>30</v>
      </c>
    </row>
    <row r="38" spans="1:7" ht="26.25" customHeight="1" x14ac:dyDescent="0.2">
      <c r="A38" s="9">
        <f t="shared" si="0"/>
        <v>35</v>
      </c>
      <c r="B38" s="9">
        <v>395329</v>
      </c>
      <c r="C38" s="10" t="s">
        <v>90</v>
      </c>
      <c r="D38" s="11" t="s">
        <v>47</v>
      </c>
      <c r="E38" s="9" t="s">
        <v>18</v>
      </c>
      <c r="F38" s="13">
        <v>36051</v>
      </c>
      <c r="G38" s="10" t="s">
        <v>20</v>
      </c>
    </row>
    <row r="39" spans="1:7" ht="26.25" customHeight="1" x14ac:dyDescent="0.2">
      <c r="A39" s="9">
        <f t="shared" si="0"/>
        <v>36</v>
      </c>
      <c r="B39" s="9">
        <v>454671</v>
      </c>
      <c r="C39" s="10" t="s">
        <v>91</v>
      </c>
      <c r="D39" s="11" t="s">
        <v>92</v>
      </c>
      <c r="E39" s="9" t="s">
        <v>26</v>
      </c>
      <c r="F39" s="13">
        <v>29292</v>
      </c>
      <c r="G39" s="10" t="s">
        <v>93</v>
      </c>
    </row>
    <row r="40" spans="1:7" ht="26.25" customHeight="1" x14ac:dyDescent="0.2">
      <c r="A40" s="9">
        <f t="shared" si="0"/>
        <v>37</v>
      </c>
      <c r="B40" s="9">
        <v>907603</v>
      </c>
      <c r="C40" s="10" t="s">
        <v>94</v>
      </c>
      <c r="D40" s="11" t="s">
        <v>25</v>
      </c>
      <c r="E40" s="9" t="s">
        <v>26</v>
      </c>
      <c r="F40" s="13">
        <v>27493</v>
      </c>
      <c r="G40" s="10" t="s">
        <v>27</v>
      </c>
    </row>
    <row r="41" spans="1:7" ht="26.25" customHeight="1" x14ac:dyDescent="0.2">
      <c r="A41" s="9">
        <f t="shared" si="0"/>
        <v>38</v>
      </c>
      <c r="B41" s="9">
        <v>481988</v>
      </c>
      <c r="C41" s="10" t="s">
        <v>95</v>
      </c>
      <c r="D41" s="11" t="s">
        <v>96</v>
      </c>
      <c r="E41" s="9" t="s">
        <v>26</v>
      </c>
      <c r="F41" s="13">
        <v>35094</v>
      </c>
      <c r="G41" s="10" t="s">
        <v>36</v>
      </c>
    </row>
    <row r="42" spans="1:7" ht="26.25" customHeight="1" x14ac:dyDescent="0.2">
      <c r="A42" s="9">
        <f t="shared" si="0"/>
        <v>39</v>
      </c>
      <c r="B42" s="9">
        <v>560714</v>
      </c>
      <c r="C42" s="10" t="s">
        <v>97</v>
      </c>
      <c r="D42" s="11" t="s">
        <v>98</v>
      </c>
      <c r="E42" s="9" t="s">
        <v>18</v>
      </c>
      <c r="F42" s="13">
        <v>35563</v>
      </c>
      <c r="G42" s="10" t="s">
        <v>20</v>
      </c>
    </row>
    <row r="43" spans="1:7" ht="26.25" customHeight="1" x14ac:dyDescent="0.2">
      <c r="A43" s="9">
        <f t="shared" si="0"/>
        <v>40</v>
      </c>
      <c r="B43" s="9">
        <v>839488</v>
      </c>
      <c r="C43" s="10" t="s">
        <v>99</v>
      </c>
      <c r="D43" s="11" t="s">
        <v>53</v>
      </c>
      <c r="E43" s="9" t="s">
        <v>18</v>
      </c>
      <c r="F43" s="13">
        <v>27240</v>
      </c>
      <c r="G43" s="10" t="s">
        <v>54</v>
      </c>
    </row>
    <row r="44" spans="1:7" ht="26.25" customHeight="1" x14ac:dyDescent="0.2">
      <c r="A44" s="9">
        <f t="shared" si="0"/>
        <v>41</v>
      </c>
      <c r="B44" s="9">
        <v>432925</v>
      </c>
      <c r="C44" s="10" t="s">
        <v>100</v>
      </c>
      <c r="D44" s="11" t="s">
        <v>101</v>
      </c>
      <c r="E44" s="9" t="s">
        <v>18</v>
      </c>
      <c r="F44" s="13">
        <v>34716</v>
      </c>
      <c r="G44" s="10" t="s">
        <v>23</v>
      </c>
    </row>
    <row r="45" spans="1:7" ht="26.25" customHeight="1" x14ac:dyDescent="0.2">
      <c r="A45" s="9">
        <f t="shared" si="0"/>
        <v>42</v>
      </c>
      <c r="B45" s="9">
        <v>573674</v>
      </c>
      <c r="C45" s="10" t="s">
        <v>102</v>
      </c>
      <c r="D45" s="11" t="s">
        <v>58</v>
      </c>
      <c r="E45" s="9" t="s">
        <v>26</v>
      </c>
      <c r="F45" s="14">
        <v>23949</v>
      </c>
      <c r="G45" s="10" t="s">
        <v>27</v>
      </c>
    </row>
    <row r="46" spans="1:7" ht="26.25" customHeight="1" x14ac:dyDescent="0.2">
      <c r="A46" s="9">
        <f t="shared" si="0"/>
        <v>43</v>
      </c>
      <c r="B46" s="9">
        <v>504243</v>
      </c>
      <c r="C46" s="10" t="s">
        <v>103</v>
      </c>
      <c r="D46" s="11" t="s">
        <v>104</v>
      </c>
      <c r="E46" s="9" t="s">
        <v>26</v>
      </c>
      <c r="F46" s="13">
        <v>23193</v>
      </c>
      <c r="G46" s="10" t="s">
        <v>33</v>
      </c>
    </row>
    <row r="47" spans="1:7" ht="26.25" customHeight="1" x14ac:dyDescent="0.2">
      <c r="A47" s="9">
        <f t="shared" si="0"/>
        <v>44</v>
      </c>
      <c r="B47" s="9">
        <v>942094</v>
      </c>
      <c r="C47" s="10" t="s">
        <v>105</v>
      </c>
      <c r="D47" s="11" t="s">
        <v>58</v>
      </c>
      <c r="E47" s="9" t="s">
        <v>26</v>
      </c>
      <c r="F47" s="13">
        <v>32377</v>
      </c>
      <c r="G47" s="10" t="s">
        <v>27</v>
      </c>
    </row>
    <row r="48" spans="1:7" ht="13.5" x14ac:dyDescent="0.2">
      <c r="A48" s="134" t="s">
        <v>106</v>
      </c>
      <c r="B48" s="127"/>
      <c r="C48" s="127"/>
      <c r="D48" s="127"/>
      <c r="E48" s="127"/>
      <c r="F48" s="127"/>
      <c r="G48" s="128"/>
    </row>
    <row r="49" spans="1:26" ht="13.5" x14ac:dyDescent="0.25">
      <c r="A49" s="16"/>
      <c r="B49" s="16"/>
      <c r="C49" s="17"/>
      <c r="D49" s="18"/>
      <c r="E49" s="16"/>
      <c r="F49" s="16"/>
      <c r="G49" s="17"/>
    </row>
    <row r="50" spans="1:26" ht="26.25" customHeight="1" x14ac:dyDescent="0.2">
      <c r="A50" s="135" t="s">
        <v>3</v>
      </c>
      <c r="B50" s="127"/>
      <c r="C50" s="127"/>
      <c r="D50" s="127"/>
      <c r="E50" s="127"/>
      <c r="F50" s="127"/>
      <c r="G50" s="12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6.25" customHeight="1" x14ac:dyDescent="0.2">
      <c r="A51" s="2" t="s">
        <v>9</v>
      </c>
      <c r="B51" s="2" t="s">
        <v>10</v>
      </c>
      <c r="C51" s="2" t="s">
        <v>11</v>
      </c>
      <c r="D51" s="3" t="s">
        <v>12</v>
      </c>
      <c r="E51" s="2" t="s">
        <v>13</v>
      </c>
      <c r="F51" s="2" t="s">
        <v>14</v>
      </c>
      <c r="G51" s="2" t="s">
        <v>15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26.25" customHeight="1" x14ac:dyDescent="0.2">
      <c r="A52" s="9">
        <v>1</v>
      </c>
      <c r="B52" s="9">
        <v>978735</v>
      </c>
      <c r="C52" s="10" t="s">
        <v>107</v>
      </c>
      <c r="D52" s="11" t="s">
        <v>101</v>
      </c>
      <c r="E52" s="9" t="s">
        <v>18</v>
      </c>
      <c r="F52" s="13">
        <v>35605</v>
      </c>
      <c r="G52" s="10" t="s">
        <v>30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6.25" customHeight="1" x14ac:dyDescent="0.2">
      <c r="A53" s="9">
        <v>2</v>
      </c>
      <c r="B53" s="9">
        <v>656419</v>
      </c>
      <c r="C53" s="10" t="s">
        <v>108</v>
      </c>
      <c r="D53" s="11" t="s">
        <v>109</v>
      </c>
      <c r="E53" s="9" t="s">
        <v>18</v>
      </c>
      <c r="F53" s="14">
        <v>31772</v>
      </c>
      <c r="G53" s="10" t="s">
        <v>43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6.25" customHeight="1" x14ac:dyDescent="0.2">
      <c r="A54" s="9">
        <v>3</v>
      </c>
      <c r="B54" s="9">
        <v>432223</v>
      </c>
      <c r="C54" s="10" t="s">
        <v>110</v>
      </c>
      <c r="D54" s="11" t="s">
        <v>111</v>
      </c>
      <c r="E54" s="9" t="s">
        <v>18</v>
      </c>
      <c r="F54" s="13">
        <v>25573</v>
      </c>
      <c r="G54" s="10" t="s">
        <v>43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6.25" customHeight="1" x14ac:dyDescent="0.2">
      <c r="A55" s="9">
        <v>4</v>
      </c>
      <c r="B55" s="9">
        <v>146083</v>
      </c>
      <c r="C55" s="10" t="s">
        <v>112</v>
      </c>
      <c r="D55" s="11" t="s">
        <v>113</v>
      </c>
      <c r="E55" s="9" t="s">
        <v>26</v>
      </c>
      <c r="F55" s="14">
        <v>28834</v>
      </c>
      <c r="G55" s="10" t="s">
        <v>36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6.25" customHeight="1" x14ac:dyDescent="0.2">
      <c r="A56" s="9">
        <v>5</v>
      </c>
      <c r="B56" s="9">
        <v>511441</v>
      </c>
      <c r="C56" s="10" t="s">
        <v>114</v>
      </c>
      <c r="D56" s="11" t="s">
        <v>115</v>
      </c>
      <c r="E56" s="9" t="s">
        <v>18</v>
      </c>
      <c r="F56" s="13">
        <v>31419</v>
      </c>
      <c r="G56" s="10" t="s">
        <v>23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6.25" customHeight="1" x14ac:dyDescent="0.2">
      <c r="A57" s="9">
        <v>6</v>
      </c>
      <c r="B57" s="9">
        <v>262381</v>
      </c>
      <c r="C57" s="10" t="s">
        <v>116</v>
      </c>
      <c r="D57" s="11" t="s">
        <v>117</v>
      </c>
      <c r="E57" s="9" t="s">
        <v>18</v>
      </c>
      <c r="F57" s="12" t="s">
        <v>118</v>
      </c>
      <c r="G57" s="10" t="s">
        <v>20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6.25" customHeight="1" x14ac:dyDescent="0.2">
      <c r="A58" s="9">
        <v>7</v>
      </c>
      <c r="B58" s="9">
        <v>438810</v>
      </c>
      <c r="C58" s="10" t="s">
        <v>119</v>
      </c>
      <c r="D58" s="11" t="s">
        <v>101</v>
      </c>
      <c r="E58" s="9" t="s">
        <v>26</v>
      </c>
      <c r="F58" s="12" t="s">
        <v>120</v>
      </c>
      <c r="G58" s="10" t="s">
        <v>23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6.25" customHeight="1" x14ac:dyDescent="0.2">
      <c r="A59" s="9">
        <v>8</v>
      </c>
      <c r="B59" s="9">
        <v>557206</v>
      </c>
      <c r="C59" s="10" t="s">
        <v>121</v>
      </c>
      <c r="D59" s="11" t="s">
        <v>29</v>
      </c>
      <c r="E59" s="9" t="s">
        <v>18</v>
      </c>
      <c r="F59" s="13">
        <v>35251</v>
      </c>
      <c r="G59" s="10" t="s">
        <v>23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6.25" customHeight="1" x14ac:dyDescent="0.2">
      <c r="A60" s="9">
        <v>9</v>
      </c>
      <c r="B60" s="9">
        <v>501827</v>
      </c>
      <c r="C60" s="10" t="s">
        <v>122</v>
      </c>
      <c r="D60" s="11" t="s">
        <v>101</v>
      </c>
      <c r="E60" s="9" t="s">
        <v>18</v>
      </c>
      <c r="F60" s="12" t="s">
        <v>123</v>
      </c>
      <c r="G60" s="10" t="s">
        <v>23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6.25" customHeight="1" x14ac:dyDescent="0.2">
      <c r="A61" s="9">
        <v>10</v>
      </c>
      <c r="B61" s="9">
        <v>482890</v>
      </c>
      <c r="C61" s="10" t="s">
        <v>124</v>
      </c>
      <c r="D61" s="11" t="s">
        <v>125</v>
      </c>
      <c r="E61" s="9" t="s">
        <v>26</v>
      </c>
      <c r="F61" s="13">
        <v>33482</v>
      </c>
      <c r="G61" s="10" t="s">
        <v>43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6.25" customHeight="1" x14ac:dyDescent="0.2">
      <c r="A62" s="9">
        <v>11</v>
      </c>
      <c r="B62" s="9">
        <v>345690</v>
      </c>
      <c r="C62" s="10" t="s">
        <v>126</v>
      </c>
      <c r="D62" s="11" t="s">
        <v>127</v>
      </c>
      <c r="E62" s="9" t="s">
        <v>18</v>
      </c>
      <c r="F62" s="13">
        <v>32199</v>
      </c>
      <c r="G62" s="10" t="s">
        <v>27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6.25" customHeight="1" x14ac:dyDescent="0.2">
      <c r="A63" s="9">
        <v>12</v>
      </c>
      <c r="B63" s="9">
        <v>664886</v>
      </c>
      <c r="C63" s="10" t="s">
        <v>128</v>
      </c>
      <c r="D63" s="11" t="s">
        <v>58</v>
      </c>
      <c r="E63" s="9" t="s">
        <v>26</v>
      </c>
      <c r="F63" s="13">
        <v>34585</v>
      </c>
      <c r="G63" s="10" t="s">
        <v>27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6.25" customHeight="1" x14ac:dyDescent="0.2">
      <c r="A64" s="9">
        <v>13</v>
      </c>
      <c r="B64" s="9">
        <v>482032</v>
      </c>
      <c r="C64" s="10" t="s">
        <v>129</v>
      </c>
      <c r="D64" s="11" t="s">
        <v>29</v>
      </c>
      <c r="E64" s="9" t="s">
        <v>26</v>
      </c>
      <c r="F64" s="13">
        <v>34572</v>
      </c>
      <c r="G64" s="10" t="s">
        <v>30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6.25" customHeight="1" x14ac:dyDescent="0.2">
      <c r="A65" s="9">
        <v>14</v>
      </c>
      <c r="B65" s="9">
        <v>912342</v>
      </c>
      <c r="C65" s="10" t="s">
        <v>130</v>
      </c>
      <c r="D65" s="11" t="s">
        <v>131</v>
      </c>
      <c r="E65" s="9" t="s">
        <v>18</v>
      </c>
      <c r="F65" s="12" t="s">
        <v>132</v>
      </c>
      <c r="G65" s="10" t="s">
        <v>33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6.25" customHeight="1" x14ac:dyDescent="0.2">
      <c r="A66" s="9">
        <v>15</v>
      </c>
      <c r="B66" s="9">
        <v>261668</v>
      </c>
      <c r="C66" s="10" t="s">
        <v>133</v>
      </c>
      <c r="D66" s="11" t="s">
        <v>134</v>
      </c>
      <c r="E66" s="9" t="s">
        <v>18</v>
      </c>
      <c r="F66" s="13">
        <v>29023</v>
      </c>
      <c r="G66" s="10" t="s">
        <v>23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6.25" customHeight="1" x14ac:dyDescent="0.2">
      <c r="A67" s="9">
        <v>16</v>
      </c>
      <c r="B67" s="9">
        <v>615740</v>
      </c>
      <c r="C67" s="10" t="s">
        <v>135</v>
      </c>
      <c r="D67" s="11" t="s">
        <v>29</v>
      </c>
      <c r="E67" s="9" t="s">
        <v>18</v>
      </c>
      <c r="F67" s="13">
        <v>35455</v>
      </c>
      <c r="G67" s="10" t="s">
        <v>33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6.25" customHeight="1" x14ac:dyDescent="0.2">
      <c r="A68" s="9">
        <v>17</v>
      </c>
      <c r="B68" s="9">
        <v>551808</v>
      </c>
      <c r="C68" s="10" t="s">
        <v>136</v>
      </c>
      <c r="D68" s="11" t="s">
        <v>137</v>
      </c>
      <c r="E68" s="9" t="s">
        <v>26</v>
      </c>
      <c r="F68" s="13">
        <v>35479</v>
      </c>
      <c r="G68" s="10" t="s">
        <v>27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6.25" customHeight="1" x14ac:dyDescent="0.2">
      <c r="A69" s="9">
        <v>18</v>
      </c>
      <c r="B69" s="9">
        <v>345035</v>
      </c>
      <c r="C69" s="10" t="s">
        <v>138</v>
      </c>
      <c r="D69" s="11" t="s">
        <v>139</v>
      </c>
      <c r="E69" s="9" t="s">
        <v>18</v>
      </c>
      <c r="F69" s="13">
        <v>36678</v>
      </c>
      <c r="G69" s="10" t="s">
        <v>27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6.25" customHeight="1" x14ac:dyDescent="0.2">
      <c r="A70" s="9">
        <v>19</v>
      </c>
      <c r="B70" s="9">
        <v>162247</v>
      </c>
      <c r="C70" s="10" t="s">
        <v>140</v>
      </c>
      <c r="D70" s="11" t="s">
        <v>29</v>
      </c>
      <c r="E70" s="9" t="s">
        <v>18</v>
      </c>
      <c r="F70" s="13">
        <v>35619</v>
      </c>
      <c r="G70" s="10" t="s">
        <v>33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6.25" customHeight="1" x14ac:dyDescent="0.2">
      <c r="A71" s="9">
        <v>20</v>
      </c>
      <c r="B71" s="9">
        <v>460395</v>
      </c>
      <c r="C71" s="10" t="s">
        <v>141</v>
      </c>
      <c r="D71" s="11" t="s">
        <v>142</v>
      </c>
      <c r="E71" s="9" t="s">
        <v>18</v>
      </c>
      <c r="F71" s="13">
        <v>36056</v>
      </c>
      <c r="G71" s="10" t="s">
        <v>27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6.25" customHeight="1" x14ac:dyDescent="0.2">
      <c r="A72" s="9">
        <v>21</v>
      </c>
      <c r="B72" s="9">
        <v>120602</v>
      </c>
      <c r="C72" s="10" t="s">
        <v>143</v>
      </c>
      <c r="D72" s="11" t="s">
        <v>144</v>
      </c>
      <c r="E72" s="9" t="s">
        <v>18</v>
      </c>
      <c r="F72" s="13">
        <v>34601</v>
      </c>
      <c r="G72" s="10" t="s">
        <v>43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6.25" customHeight="1" x14ac:dyDescent="0.2">
      <c r="A73" s="9">
        <v>22</v>
      </c>
      <c r="B73" s="9">
        <v>170793</v>
      </c>
      <c r="C73" s="10" t="s">
        <v>145</v>
      </c>
      <c r="D73" s="11" t="s">
        <v>113</v>
      </c>
      <c r="E73" s="9" t="s">
        <v>26</v>
      </c>
      <c r="F73" s="13">
        <v>29467</v>
      </c>
      <c r="G73" s="10" t="s">
        <v>36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6.25" customHeight="1" x14ac:dyDescent="0.2">
      <c r="A74" s="9">
        <v>23</v>
      </c>
      <c r="B74" s="9">
        <v>927143</v>
      </c>
      <c r="C74" s="10" t="s">
        <v>146</v>
      </c>
      <c r="D74" s="11" t="s">
        <v>80</v>
      </c>
      <c r="E74" s="9" t="s">
        <v>26</v>
      </c>
      <c r="F74" s="12" t="s">
        <v>147</v>
      </c>
      <c r="G74" s="10" t="s">
        <v>54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6.25" customHeight="1" x14ac:dyDescent="0.2">
      <c r="A75" s="9">
        <v>24</v>
      </c>
      <c r="B75" s="9">
        <v>459957</v>
      </c>
      <c r="C75" s="10" t="s">
        <v>148</v>
      </c>
      <c r="D75" s="11" t="s">
        <v>149</v>
      </c>
      <c r="E75" s="9" t="s">
        <v>26</v>
      </c>
      <c r="F75" s="14">
        <v>34321</v>
      </c>
      <c r="G75" s="10" t="s">
        <v>43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6.25" customHeight="1" x14ac:dyDescent="0.2">
      <c r="A76" s="9">
        <v>25</v>
      </c>
      <c r="B76" s="9">
        <v>348268</v>
      </c>
      <c r="C76" s="10" t="s">
        <v>150</v>
      </c>
      <c r="D76" s="11" t="s">
        <v>29</v>
      </c>
      <c r="E76" s="9" t="s">
        <v>26</v>
      </c>
      <c r="F76" s="13">
        <v>34421</v>
      </c>
      <c r="G76" s="10" t="s">
        <v>33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6.25" customHeight="1" x14ac:dyDescent="0.2">
      <c r="A77" s="9">
        <v>26</v>
      </c>
      <c r="B77" s="9">
        <v>597074</v>
      </c>
      <c r="C77" s="10" t="s">
        <v>151</v>
      </c>
      <c r="D77" s="11" t="s">
        <v>101</v>
      </c>
      <c r="E77" s="9" t="s">
        <v>26</v>
      </c>
      <c r="F77" s="13">
        <v>35319</v>
      </c>
      <c r="G77" s="10" t="s">
        <v>33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6.25" customHeight="1" x14ac:dyDescent="0.2">
      <c r="A78" s="9">
        <v>27</v>
      </c>
      <c r="B78" s="9">
        <v>168348</v>
      </c>
      <c r="C78" s="10" t="s">
        <v>152</v>
      </c>
      <c r="D78" s="11" t="s">
        <v>29</v>
      </c>
      <c r="E78" s="9" t="s">
        <v>26</v>
      </c>
      <c r="F78" s="13">
        <v>34954</v>
      </c>
      <c r="G78" s="10" t="s">
        <v>36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6.25" customHeight="1" x14ac:dyDescent="0.2">
      <c r="A79" s="9">
        <v>28</v>
      </c>
      <c r="B79" s="9">
        <v>268137</v>
      </c>
      <c r="C79" s="10" t="s">
        <v>153</v>
      </c>
      <c r="D79" s="11" t="s">
        <v>35</v>
      </c>
      <c r="E79" s="9" t="s">
        <v>26</v>
      </c>
      <c r="F79" s="13">
        <v>32057</v>
      </c>
      <c r="G79" s="10" t="s">
        <v>36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6.25" customHeight="1" x14ac:dyDescent="0.2">
      <c r="A80" s="9">
        <v>29</v>
      </c>
      <c r="B80" s="9">
        <v>371223</v>
      </c>
      <c r="C80" s="10" t="s">
        <v>154</v>
      </c>
      <c r="D80" s="11" t="s">
        <v>89</v>
      </c>
      <c r="E80" s="9" t="s">
        <v>26</v>
      </c>
      <c r="F80" s="14">
        <v>35001</v>
      </c>
      <c r="G80" s="10" t="s">
        <v>23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6.25" customHeight="1" x14ac:dyDescent="0.2">
      <c r="A81" s="9">
        <v>30</v>
      </c>
      <c r="B81" s="9">
        <v>991051</v>
      </c>
      <c r="C81" s="10" t="s">
        <v>155</v>
      </c>
      <c r="D81" s="11" t="s">
        <v>156</v>
      </c>
      <c r="E81" s="9" t="s">
        <v>26</v>
      </c>
      <c r="F81" s="13">
        <v>30342</v>
      </c>
      <c r="G81" s="10" t="s">
        <v>27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6.25" customHeight="1" x14ac:dyDescent="0.2">
      <c r="A82" s="9">
        <v>31</v>
      </c>
      <c r="B82" s="9">
        <v>760691</v>
      </c>
      <c r="C82" s="10" t="s">
        <v>157</v>
      </c>
      <c r="D82" s="11" t="s">
        <v>158</v>
      </c>
      <c r="E82" s="9" t="s">
        <v>26</v>
      </c>
      <c r="F82" s="13">
        <v>30510</v>
      </c>
      <c r="G82" s="10" t="s">
        <v>36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6.25" customHeight="1" x14ac:dyDescent="0.2">
      <c r="A83" s="9">
        <v>32</v>
      </c>
      <c r="B83" s="9">
        <v>669718</v>
      </c>
      <c r="C83" s="10" t="s">
        <v>159</v>
      </c>
      <c r="D83" s="11" t="s">
        <v>25</v>
      </c>
      <c r="E83" s="9" t="s">
        <v>18</v>
      </c>
      <c r="F83" s="13">
        <v>33322</v>
      </c>
      <c r="G83" s="10" t="s">
        <v>43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x14ac:dyDescent="0.25">
      <c r="A84" s="126" t="s">
        <v>106</v>
      </c>
      <c r="B84" s="127"/>
      <c r="C84" s="127"/>
      <c r="D84" s="127"/>
      <c r="E84" s="127"/>
      <c r="F84" s="127"/>
      <c r="G84" s="128"/>
    </row>
    <row r="85" spans="1:26" ht="13.5" x14ac:dyDescent="0.25">
      <c r="A85" s="16"/>
      <c r="B85" s="16"/>
      <c r="C85" s="17"/>
      <c r="D85" s="18"/>
      <c r="E85" s="16"/>
      <c r="F85" s="16"/>
      <c r="G85" s="17"/>
    </row>
    <row r="86" spans="1:26" ht="26.25" customHeight="1" x14ac:dyDescent="0.2">
      <c r="A86" s="129" t="s">
        <v>4</v>
      </c>
      <c r="B86" s="127"/>
      <c r="C86" s="127"/>
      <c r="D86" s="127"/>
      <c r="E86" s="127"/>
      <c r="F86" s="127"/>
      <c r="G86" s="12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6.25" customHeight="1" x14ac:dyDescent="0.2">
      <c r="A87" s="2" t="s">
        <v>9</v>
      </c>
      <c r="B87" s="2" t="s">
        <v>10</v>
      </c>
      <c r="C87" s="2" t="s">
        <v>11</v>
      </c>
      <c r="D87" s="3" t="s">
        <v>12</v>
      </c>
      <c r="E87" s="2" t="s">
        <v>13</v>
      </c>
      <c r="F87" s="2" t="s">
        <v>14</v>
      </c>
      <c r="G87" s="2" t="s">
        <v>15</v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26.25" customHeight="1" x14ac:dyDescent="0.2">
      <c r="A88" s="9">
        <v>1</v>
      </c>
      <c r="B88" s="9">
        <v>909517</v>
      </c>
      <c r="C88" s="10" t="s">
        <v>160</v>
      </c>
      <c r="D88" s="11" t="s">
        <v>104</v>
      </c>
      <c r="E88" s="9" t="s">
        <v>26</v>
      </c>
      <c r="F88" s="13">
        <v>33816</v>
      </c>
      <c r="G88" s="10" t="s">
        <v>33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6.25" customHeight="1" x14ac:dyDescent="0.2">
      <c r="A89" s="9">
        <v>2</v>
      </c>
      <c r="B89" s="9">
        <v>300353</v>
      </c>
      <c r="C89" s="10" t="s">
        <v>161</v>
      </c>
      <c r="D89" s="11" t="s">
        <v>104</v>
      </c>
      <c r="E89" s="9" t="s">
        <v>18</v>
      </c>
      <c r="F89" s="13">
        <v>34066</v>
      </c>
      <c r="G89" s="10" t="s">
        <v>33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6.25" customHeight="1" x14ac:dyDescent="0.2">
      <c r="A90" s="9">
        <v>3</v>
      </c>
      <c r="B90" s="9">
        <v>204264</v>
      </c>
      <c r="C90" s="10" t="s">
        <v>162</v>
      </c>
      <c r="D90" s="11" t="s">
        <v>98</v>
      </c>
      <c r="E90" s="9" t="s">
        <v>18</v>
      </c>
      <c r="F90" s="13">
        <v>35334</v>
      </c>
      <c r="G90" s="10" t="s">
        <v>20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6.25" customHeight="1" x14ac:dyDescent="0.2">
      <c r="A91" s="9">
        <v>4</v>
      </c>
      <c r="B91" s="9">
        <v>703005</v>
      </c>
      <c r="C91" s="10" t="s">
        <v>163</v>
      </c>
      <c r="D91" s="11" t="s">
        <v>164</v>
      </c>
      <c r="E91" s="9" t="s">
        <v>18</v>
      </c>
      <c r="F91" s="13">
        <v>34800</v>
      </c>
      <c r="G91" s="10" t="s">
        <v>30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6.25" customHeight="1" x14ac:dyDescent="0.2">
      <c r="A92" s="9">
        <v>5</v>
      </c>
      <c r="B92" s="9">
        <v>478571</v>
      </c>
      <c r="C92" s="10" t="s">
        <v>165</v>
      </c>
      <c r="D92" s="11" t="s">
        <v>80</v>
      </c>
      <c r="E92" s="9" t="s">
        <v>18</v>
      </c>
      <c r="F92" s="13">
        <v>25627</v>
      </c>
      <c r="G92" s="10" t="s">
        <v>54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6.25" customHeight="1" x14ac:dyDescent="0.2">
      <c r="A93" s="9">
        <v>6</v>
      </c>
      <c r="B93" s="9">
        <v>576929</v>
      </c>
      <c r="C93" s="10" t="s">
        <v>166</v>
      </c>
      <c r="D93" s="11" t="s">
        <v>167</v>
      </c>
      <c r="E93" s="9" t="s">
        <v>26</v>
      </c>
      <c r="F93" s="14">
        <v>25131</v>
      </c>
      <c r="G93" s="10" t="s">
        <v>27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6.25" customHeight="1" x14ac:dyDescent="0.2">
      <c r="A94" s="9">
        <v>7</v>
      </c>
      <c r="B94" s="9">
        <v>230218</v>
      </c>
      <c r="C94" s="10" t="s">
        <v>168</v>
      </c>
      <c r="D94" s="11" t="s">
        <v>169</v>
      </c>
      <c r="E94" s="9" t="s">
        <v>26</v>
      </c>
      <c r="F94" s="13">
        <v>32177</v>
      </c>
      <c r="G94" s="10" t="s">
        <v>36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6.25" customHeight="1" x14ac:dyDescent="0.2">
      <c r="A95" s="9">
        <v>8</v>
      </c>
      <c r="B95" s="9">
        <v>474522</v>
      </c>
      <c r="C95" s="10" t="s">
        <v>170</v>
      </c>
      <c r="D95" s="11" t="s">
        <v>171</v>
      </c>
      <c r="E95" s="9" t="s">
        <v>18</v>
      </c>
      <c r="F95" s="14">
        <v>29005</v>
      </c>
      <c r="G95" s="10" t="s">
        <v>20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6.25" customHeight="1" x14ac:dyDescent="0.2">
      <c r="A96" s="9">
        <v>9</v>
      </c>
      <c r="B96" s="9">
        <v>644265</v>
      </c>
      <c r="C96" s="10" t="s">
        <v>172</v>
      </c>
      <c r="D96" s="11" t="s">
        <v>173</v>
      </c>
      <c r="E96" s="9" t="s">
        <v>26</v>
      </c>
      <c r="F96" s="13">
        <v>24342</v>
      </c>
      <c r="G96" s="10" t="s">
        <v>33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6.25" customHeight="1" x14ac:dyDescent="0.2">
      <c r="A97" s="9">
        <v>10</v>
      </c>
      <c r="B97" s="9">
        <v>639114</v>
      </c>
      <c r="C97" s="10" t="s">
        <v>174</v>
      </c>
      <c r="D97" s="11" t="s">
        <v>175</v>
      </c>
      <c r="E97" s="9" t="s">
        <v>26</v>
      </c>
      <c r="F97" s="13">
        <v>35468</v>
      </c>
      <c r="G97" s="10" t="s">
        <v>33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6.25" customHeight="1" x14ac:dyDescent="0.2">
      <c r="A98" s="9">
        <v>11</v>
      </c>
      <c r="B98" s="9">
        <v>642338</v>
      </c>
      <c r="C98" s="10" t="s">
        <v>176</v>
      </c>
      <c r="D98" s="11" t="s">
        <v>177</v>
      </c>
      <c r="E98" s="9" t="s">
        <v>26</v>
      </c>
      <c r="F98" s="13">
        <v>35432</v>
      </c>
      <c r="G98" s="10" t="s">
        <v>33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6.25" customHeight="1" x14ac:dyDescent="0.2">
      <c r="A99" s="9">
        <v>12</v>
      </c>
      <c r="B99" s="9">
        <v>553744</v>
      </c>
      <c r="C99" s="10" t="s">
        <v>178</v>
      </c>
      <c r="D99" s="11" t="s">
        <v>179</v>
      </c>
      <c r="E99" s="9" t="s">
        <v>26</v>
      </c>
      <c r="F99" s="14">
        <v>25555</v>
      </c>
      <c r="G99" s="10" t="s">
        <v>33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6.25" customHeight="1" x14ac:dyDescent="0.2">
      <c r="A100" s="9">
        <v>13</v>
      </c>
      <c r="B100" s="9">
        <v>801496</v>
      </c>
      <c r="C100" s="10" t="s">
        <v>180</v>
      </c>
      <c r="D100" s="11" t="s">
        <v>60</v>
      </c>
      <c r="E100" s="9" t="s">
        <v>18</v>
      </c>
      <c r="F100" s="14">
        <v>29941</v>
      </c>
      <c r="G100" s="10" t="s">
        <v>181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6.25" customHeight="1" x14ac:dyDescent="0.2">
      <c r="A101" s="9">
        <v>14</v>
      </c>
      <c r="B101" s="9">
        <v>146303</v>
      </c>
      <c r="C101" s="10" t="s">
        <v>182</v>
      </c>
      <c r="D101" s="11" t="s">
        <v>183</v>
      </c>
      <c r="E101" s="9" t="s">
        <v>26</v>
      </c>
      <c r="F101" s="14">
        <v>31736</v>
      </c>
      <c r="G101" s="10" t="s">
        <v>27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x14ac:dyDescent="0.25">
      <c r="A102" s="126" t="s">
        <v>106</v>
      </c>
      <c r="B102" s="127"/>
      <c r="C102" s="127"/>
      <c r="D102" s="127"/>
      <c r="E102" s="127"/>
      <c r="F102" s="127"/>
      <c r="G102" s="128"/>
    </row>
    <row r="103" spans="1:26" ht="13.5" x14ac:dyDescent="0.25">
      <c r="A103" s="16"/>
      <c r="B103" s="16"/>
      <c r="C103" s="17"/>
      <c r="D103" s="18"/>
      <c r="E103" s="16"/>
      <c r="F103" s="16"/>
      <c r="G103" s="17"/>
    </row>
    <row r="104" spans="1:26" ht="26.25" customHeight="1" x14ac:dyDescent="0.2">
      <c r="A104" s="136" t="s">
        <v>5</v>
      </c>
      <c r="B104" s="127"/>
      <c r="C104" s="127"/>
      <c r="D104" s="127"/>
      <c r="E104" s="127"/>
      <c r="F104" s="127"/>
      <c r="G104" s="12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6.25" customHeight="1" x14ac:dyDescent="0.2">
      <c r="A105" s="2" t="s">
        <v>9</v>
      </c>
      <c r="B105" s="2" t="s">
        <v>10</v>
      </c>
      <c r="C105" s="2" t="s">
        <v>11</v>
      </c>
      <c r="D105" s="3" t="s">
        <v>12</v>
      </c>
      <c r="E105" s="2" t="s">
        <v>13</v>
      </c>
      <c r="F105" s="2" t="s">
        <v>14</v>
      </c>
      <c r="G105" s="2" t="s">
        <v>15</v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26.25" customHeight="1" x14ac:dyDescent="0.2">
      <c r="A106" s="9">
        <v>1</v>
      </c>
      <c r="B106" s="9">
        <v>800541</v>
      </c>
      <c r="C106" s="20" t="s">
        <v>184</v>
      </c>
      <c r="D106" s="11" t="s">
        <v>185</v>
      </c>
      <c r="E106" s="9" t="s">
        <v>26</v>
      </c>
      <c r="F106" s="21">
        <v>34874</v>
      </c>
      <c r="G106" s="10" t="s">
        <v>20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6.25" customHeight="1" x14ac:dyDescent="0.2">
      <c r="A107" s="9">
        <v>2</v>
      </c>
      <c r="B107" s="9">
        <v>280712</v>
      </c>
      <c r="C107" s="20" t="s">
        <v>186</v>
      </c>
      <c r="D107" s="11" t="s">
        <v>169</v>
      </c>
      <c r="E107" s="9" t="s">
        <v>26</v>
      </c>
      <c r="F107" s="21">
        <v>28561</v>
      </c>
      <c r="G107" s="10" t="s">
        <v>43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6.25" customHeight="1" x14ac:dyDescent="0.2">
      <c r="A108" s="9">
        <v>3</v>
      </c>
      <c r="B108" s="9">
        <v>346841</v>
      </c>
      <c r="C108" s="20" t="s">
        <v>187</v>
      </c>
      <c r="D108" s="11" t="s">
        <v>188</v>
      </c>
      <c r="E108" s="9" t="s">
        <v>26</v>
      </c>
      <c r="F108" s="21">
        <v>33966</v>
      </c>
      <c r="G108" s="10" t="s">
        <v>27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6.25" customHeight="1" x14ac:dyDescent="0.2">
      <c r="A109" s="9">
        <v>4</v>
      </c>
      <c r="B109" s="9">
        <v>148796</v>
      </c>
      <c r="C109" s="20" t="s">
        <v>189</v>
      </c>
      <c r="D109" s="11" t="s">
        <v>190</v>
      </c>
      <c r="E109" s="9" t="s">
        <v>18</v>
      </c>
      <c r="F109" s="21">
        <v>30451</v>
      </c>
      <c r="G109" s="10" t="s">
        <v>20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6.25" customHeight="1" x14ac:dyDescent="0.2">
      <c r="A110" s="9">
        <v>5</v>
      </c>
      <c r="B110" s="9">
        <v>633496</v>
      </c>
      <c r="C110" s="20" t="s">
        <v>191</v>
      </c>
      <c r="D110" s="11" t="s">
        <v>185</v>
      </c>
      <c r="E110" s="9" t="s">
        <v>18</v>
      </c>
      <c r="F110" s="21">
        <v>33564</v>
      </c>
      <c r="G110" s="10" t="s">
        <v>20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6.25" customHeight="1" x14ac:dyDescent="0.2">
      <c r="A111" s="9">
        <v>6</v>
      </c>
      <c r="B111" s="9">
        <v>148402</v>
      </c>
      <c r="C111" s="20" t="s">
        <v>192</v>
      </c>
      <c r="D111" s="11" t="s">
        <v>22</v>
      </c>
      <c r="E111" s="9" t="s">
        <v>18</v>
      </c>
      <c r="F111" s="21">
        <v>36357</v>
      </c>
      <c r="G111" s="10" t="s">
        <v>193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6.25" customHeight="1" x14ac:dyDescent="0.2">
      <c r="A112" s="9">
        <v>7</v>
      </c>
      <c r="B112" s="9">
        <v>482506</v>
      </c>
      <c r="C112" s="20" t="s">
        <v>194</v>
      </c>
      <c r="D112" s="11" t="s">
        <v>113</v>
      </c>
      <c r="E112" s="9" t="s">
        <v>26</v>
      </c>
      <c r="F112" s="21">
        <v>32915</v>
      </c>
      <c r="G112" s="10" t="s">
        <v>36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6.25" customHeight="1" x14ac:dyDescent="0.2">
      <c r="A113" s="9">
        <v>8</v>
      </c>
      <c r="B113" s="9">
        <v>591690</v>
      </c>
      <c r="C113" s="20" t="s">
        <v>195</v>
      </c>
      <c r="D113" s="11" t="s">
        <v>98</v>
      </c>
      <c r="E113" s="9" t="s">
        <v>26</v>
      </c>
      <c r="F113" s="21">
        <v>37543</v>
      </c>
      <c r="G113" s="10" t="s">
        <v>20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6.25" customHeight="1" x14ac:dyDescent="0.2">
      <c r="A114" s="9">
        <v>9</v>
      </c>
      <c r="B114" s="9">
        <v>502748</v>
      </c>
      <c r="C114" s="20" t="s">
        <v>196</v>
      </c>
      <c r="D114" s="11" t="s">
        <v>171</v>
      </c>
      <c r="E114" s="9" t="s">
        <v>26</v>
      </c>
      <c r="F114" s="21">
        <v>31815</v>
      </c>
      <c r="G114" s="10" t="s">
        <v>20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6.25" customHeight="1" x14ac:dyDescent="0.2">
      <c r="A115" s="9">
        <v>10</v>
      </c>
      <c r="B115" s="9">
        <v>242636</v>
      </c>
      <c r="C115" s="20" t="s">
        <v>197</v>
      </c>
      <c r="D115" s="11" t="s">
        <v>47</v>
      </c>
      <c r="E115" s="9" t="s">
        <v>18</v>
      </c>
      <c r="F115" s="21">
        <v>35679</v>
      </c>
      <c r="G115" s="10" t="s">
        <v>20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6.25" customHeight="1" x14ac:dyDescent="0.2">
      <c r="A116" s="9">
        <v>11</v>
      </c>
      <c r="B116" s="9">
        <v>911052</v>
      </c>
      <c r="C116" s="20" t="s">
        <v>198</v>
      </c>
      <c r="D116" s="11" t="s">
        <v>32</v>
      </c>
      <c r="E116" s="9" t="s">
        <v>18</v>
      </c>
      <c r="F116" s="21">
        <v>36712</v>
      </c>
      <c r="G116" s="10" t="s">
        <v>193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6.25" customHeight="1" x14ac:dyDescent="0.2">
      <c r="A117" s="9">
        <v>12</v>
      </c>
      <c r="B117" s="9">
        <v>889302</v>
      </c>
      <c r="C117" s="20" t="s">
        <v>199</v>
      </c>
      <c r="D117" s="11" t="s">
        <v>35</v>
      </c>
      <c r="E117" s="9" t="s">
        <v>26</v>
      </c>
      <c r="F117" s="21">
        <v>31158</v>
      </c>
      <c r="G117" s="10" t="s">
        <v>36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6.25" customHeight="1" x14ac:dyDescent="0.2">
      <c r="A118" s="9">
        <v>13</v>
      </c>
      <c r="B118" s="9">
        <v>176582</v>
      </c>
      <c r="C118" s="20" t="s">
        <v>200</v>
      </c>
      <c r="D118" s="11" t="s">
        <v>201</v>
      </c>
      <c r="E118" s="9" t="s">
        <v>26</v>
      </c>
      <c r="F118" s="21">
        <v>29061</v>
      </c>
      <c r="G118" s="10" t="s">
        <v>27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6.25" customHeight="1" x14ac:dyDescent="0.2">
      <c r="A119" s="9">
        <v>14</v>
      </c>
      <c r="B119" s="9">
        <v>961496</v>
      </c>
      <c r="C119" s="20" t="s">
        <v>202</v>
      </c>
      <c r="D119" s="11" t="s">
        <v>203</v>
      </c>
      <c r="E119" s="9" t="s">
        <v>26</v>
      </c>
      <c r="F119" s="21">
        <v>30089</v>
      </c>
      <c r="G119" s="10" t="s">
        <v>36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6.25" customHeight="1" x14ac:dyDescent="0.2">
      <c r="A120" s="9">
        <v>15</v>
      </c>
      <c r="B120" s="9">
        <v>809379</v>
      </c>
      <c r="C120" s="20" t="s">
        <v>204</v>
      </c>
      <c r="D120" s="11" t="s">
        <v>205</v>
      </c>
      <c r="E120" s="9" t="s">
        <v>26</v>
      </c>
      <c r="F120" s="21">
        <v>35233</v>
      </c>
      <c r="G120" s="10" t="s">
        <v>20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6.25" customHeight="1" x14ac:dyDescent="0.2">
      <c r="A121" s="9">
        <v>16</v>
      </c>
      <c r="B121" s="9">
        <v>807028</v>
      </c>
      <c r="C121" s="20" t="s">
        <v>206</v>
      </c>
      <c r="D121" s="11" t="s">
        <v>98</v>
      </c>
      <c r="E121" s="9" t="s">
        <v>26</v>
      </c>
      <c r="F121" s="21">
        <v>36510</v>
      </c>
      <c r="G121" s="10" t="s">
        <v>20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6.25" customHeight="1" x14ac:dyDescent="0.2">
      <c r="A122" s="9">
        <v>17</v>
      </c>
      <c r="B122" s="9">
        <v>975985</v>
      </c>
      <c r="C122" s="20" t="s">
        <v>207</v>
      </c>
      <c r="D122" s="11" t="s">
        <v>208</v>
      </c>
      <c r="E122" s="9" t="s">
        <v>18</v>
      </c>
      <c r="F122" s="21">
        <v>35641</v>
      </c>
      <c r="G122" s="10" t="s">
        <v>181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6.25" customHeight="1" x14ac:dyDescent="0.2">
      <c r="A123" s="9">
        <v>18</v>
      </c>
      <c r="B123" s="9">
        <v>244597</v>
      </c>
      <c r="C123" s="20" t="s">
        <v>209</v>
      </c>
      <c r="D123" s="11" t="s">
        <v>32</v>
      </c>
      <c r="E123" s="9" t="s">
        <v>18</v>
      </c>
      <c r="F123" s="21">
        <v>36695</v>
      </c>
      <c r="G123" s="10" t="s">
        <v>43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6.25" customHeight="1" x14ac:dyDescent="0.2">
      <c r="A124" s="9">
        <v>19</v>
      </c>
      <c r="B124" s="9">
        <v>904365</v>
      </c>
      <c r="C124" s="20" t="s">
        <v>210</v>
      </c>
      <c r="D124" s="11" t="s">
        <v>211</v>
      </c>
      <c r="E124" s="9" t="s">
        <v>26</v>
      </c>
      <c r="F124" s="21">
        <v>31863</v>
      </c>
      <c r="G124" s="10" t="s">
        <v>43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6.25" customHeight="1" x14ac:dyDescent="0.2">
      <c r="A125" s="9">
        <v>20</v>
      </c>
      <c r="B125" s="9">
        <v>667880</v>
      </c>
      <c r="C125" s="20" t="s">
        <v>212</v>
      </c>
      <c r="D125" s="11" t="s">
        <v>213</v>
      </c>
      <c r="E125" s="9" t="s">
        <v>18</v>
      </c>
      <c r="F125" s="21">
        <v>28299</v>
      </c>
      <c r="G125" s="10" t="s">
        <v>27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6.25" customHeight="1" x14ac:dyDescent="0.2">
      <c r="A126" s="9">
        <v>21</v>
      </c>
      <c r="B126" s="9">
        <v>543430</v>
      </c>
      <c r="C126" s="20" t="s">
        <v>214</v>
      </c>
      <c r="D126" s="11" t="s">
        <v>215</v>
      </c>
      <c r="E126" s="9" t="s">
        <v>18</v>
      </c>
      <c r="F126" s="21">
        <v>36927</v>
      </c>
      <c r="G126" s="10" t="s">
        <v>27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6.25" customHeight="1" x14ac:dyDescent="0.2">
      <c r="A127" s="9">
        <v>22</v>
      </c>
      <c r="B127" s="9">
        <v>659937</v>
      </c>
      <c r="C127" s="20" t="s">
        <v>216</v>
      </c>
      <c r="D127" s="11" t="s">
        <v>217</v>
      </c>
      <c r="E127" s="9" t="s">
        <v>26</v>
      </c>
      <c r="F127" s="21">
        <v>28066</v>
      </c>
      <c r="G127" s="10" t="s">
        <v>27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6.25" customHeight="1" x14ac:dyDescent="0.2">
      <c r="A128" s="9">
        <v>23</v>
      </c>
      <c r="B128" s="9">
        <v>964757</v>
      </c>
      <c r="C128" s="20" t="s">
        <v>218</v>
      </c>
      <c r="D128" s="11" t="s">
        <v>219</v>
      </c>
      <c r="E128" s="9" t="s">
        <v>26</v>
      </c>
      <c r="F128" s="21">
        <v>34742</v>
      </c>
      <c r="G128" s="10" t="s">
        <v>27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6.25" customHeight="1" x14ac:dyDescent="0.2">
      <c r="A129" s="9">
        <v>24</v>
      </c>
      <c r="B129" s="9">
        <v>810640</v>
      </c>
      <c r="C129" s="20" t="s">
        <v>220</v>
      </c>
      <c r="D129" s="11" t="s">
        <v>219</v>
      </c>
      <c r="E129" s="9" t="s">
        <v>26</v>
      </c>
      <c r="F129" s="21">
        <v>32774</v>
      </c>
      <c r="G129" s="10" t="s">
        <v>27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6.25" customHeight="1" x14ac:dyDescent="0.2">
      <c r="A130" s="9">
        <v>25</v>
      </c>
      <c r="B130" s="9">
        <v>925329</v>
      </c>
      <c r="C130" s="20" t="s">
        <v>221</v>
      </c>
      <c r="D130" s="11" t="s">
        <v>222</v>
      </c>
      <c r="E130" s="9" t="s">
        <v>26</v>
      </c>
      <c r="F130" s="21">
        <v>32569</v>
      </c>
      <c r="G130" s="10" t="s">
        <v>33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6.25" customHeight="1" x14ac:dyDescent="0.2">
      <c r="A131" s="9">
        <v>26</v>
      </c>
      <c r="B131" s="9">
        <v>748263</v>
      </c>
      <c r="C131" s="20" t="s">
        <v>223</v>
      </c>
      <c r="D131" s="11" t="s">
        <v>208</v>
      </c>
      <c r="E131" s="9" t="s">
        <v>26</v>
      </c>
      <c r="F131" s="21">
        <v>36937</v>
      </c>
      <c r="G131" s="10" t="s">
        <v>27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6.25" customHeight="1" x14ac:dyDescent="0.2">
      <c r="A132" s="9">
        <v>27</v>
      </c>
      <c r="B132" s="9">
        <v>716269</v>
      </c>
      <c r="C132" s="20" t="s">
        <v>224</v>
      </c>
      <c r="D132" s="11" t="s">
        <v>225</v>
      </c>
      <c r="E132" s="9" t="s">
        <v>18</v>
      </c>
      <c r="F132" s="21">
        <v>36858</v>
      </c>
      <c r="G132" s="10" t="s">
        <v>43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6.25" customHeight="1" x14ac:dyDescent="0.2">
      <c r="A133" s="9">
        <v>28</v>
      </c>
      <c r="B133" s="9">
        <v>754851</v>
      </c>
      <c r="C133" s="20" t="s">
        <v>226</v>
      </c>
      <c r="D133" s="11" t="s">
        <v>188</v>
      </c>
      <c r="E133" s="9" t="s">
        <v>26</v>
      </c>
      <c r="F133" s="21">
        <v>36222</v>
      </c>
      <c r="G133" s="10" t="s">
        <v>93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6.25" customHeight="1" x14ac:dyDescent="0.2">
      <c r="A134" s="9">
        <v>29</v>
      </c>
      <c r="B134" s="9">
        <v>779436</v>
      </c>
      <c r="C134" s="20" t="s">
        <v>227</v>
      </c>
      <c r="D134" s="11" t="s">
        <v>217</v>
      </c>
      <c r="E134" s="9" t="s">
        <v>26</v>
      </c>
      <c r="F134" s="21">
        <v>37951</v>
      </c>
      <c r="G134" s="10" t="s">
        <v>27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6.25" customHeight="1" x14ac:dyDescent="0.2">
      <c r="A135" s="9">
        <v>30</v>
      </c>
      <c r="B135" s="9">
        <v>647991</v>
      </c>
      <c r="C135" s="20" t="s">
        <v>228</v>
      </c>
      <c r="D135" s="11" t="s">
        <v>229</v>
      </c>
      <c r="E135" s="9" t="s">
        <v>18</v>
      </c>
      <c r="F135" s="21">
        <v>36508</v>
      </c>
      <c r="G135" s="10" t="s">
        <v>27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6.25" customHeight="1" x14ac:dyDescent="0.2">
      <c r="A136" s="9">
        <v>31</v>
      </c>
      <c r="B136" s="9">
        <v>677047</v>
      </c>
      <c r="C136" s="20" t="s">
        <v>230</v>
      </c>
      <c r="D136" s="11" t="s">
        <v>208</v>
      </c>
      <c r="E136" s="9" t="s">
        <v>18</v>
      </c>
      <c r="F136" s="21">
        <v>33844</v>
      </c>
      <c r="G136" s="10" t="s">
        <v>23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6.25" customHeight="1" x14ac:dyDescent="0.2">
      <c r="A137" s="9">
        <v>32</v>
      </c>
      <c r="B137" s="9">
        <v>937919</v>
      </c>
      <c r="C137" s="20" t="s">
        <v>231</v>
      </c>
      <c r="D137" s="11" t="s">
        <v>232</v>
      </c>
      <c r="E137" s="9" t="s">
        <v>26</v>
      </c>
      <c r="F137" s="21">
        <v>32831</v>
      </c>
      <c r="G137" s="10" t="s">
        <v>27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6.25" customHeight="1" x14ac:dyDescent="0.2">
      <c r="A138" s="9">
        <v>33</v>
      </c>
      <c r="B138" s="9">
        <v>925233</v>
      </c>
      <c r="C138" s="20" t="s">
        <v>233</v>
      </c>
      <c r="D138" s="11" t="s">
        <v>98</v>
      </c>
      <c r="E138" s="9" t="s">
        <v>26</v>
      </c>
      <c r="F138" s="21">
        <v>37622</v>
      </c>
      <c r="G138" s="10" t="s">
        <v>20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6.25" customHeight="1" x14ac:dyDescent="0.2">
      <c r="A139" s="9">
        <v>34</v>
      </c>
      <c r="B139" s="9">
        <v>647298</v>
      </c>
      <c r="C139" s="20" t="s">
        <v>234</v>
      </c>
      <c r="D139" s="11" t="s">
        <v>222</v>
      </c>
      <c r="E139" s="9" t="s">
        <v>26</v>
      </c>
      <c r="F139" s="21">
        <v>35460</v>
      </c>
      <c r="G139" s="10" t="s">
        <v>33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6.25" customHeight="1" x14ac:dyDescent="0.2">
      <c r="A140" s="9">
        <v>35</v>
      </c>
      <c r="B140" s="9">
        <v>632519</v>
      </c>
      <c r="C140" s="20" t="s">
        <v>235</v>
      </c>
      <c r="D140" s="11" t="s">
        <v>236</v>
      </c>
      <c r="E140" s="9" t="s">
        <v>26</v>
      </c>
      <c r="F140" s="21">
        <v>34233</v>
      </c>
      <c r="G140" s="10" t="s">
        <v>27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6.25" customHeight="1" x14ac:dyDescent="0.2">
      <c r="A141" s="9">
        <v>36</v>
      </c>
      <c r="B141" s="9">
        <v>381050</v>
      </c>
      <c r="C141" s="20" t="s">
        <v>237</v>
      </c>
      <c r="D141" s="11" t="s">
        <v>238</v>
      </c>
      <c r="E141" s="9" t="s">
        <v>18</v>
      </c>
      <c r="F141" s="21">
        <v>36695</v>
      </c>
      <c r="G141" s="10" t="s">
        <v>27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6.25" customHeight="1" x14ac:dyDescent="0.2">
      <c r="A142" s="9">
        <v>37</v>
      </c>
      <c r="B142" s="9">
        <v>655979</v>
      </c>
      <c r="C142" s="20" t="s">
        <v>239</v>
      </c>
      <c r="D142" s="11" t="s">
        <v>219</v>
      </c>
      <c r="E142" s="9" t="s">
        <v>26</v>
      </c>
      <c r="F142" s="21">
        <v>34313</v>
      </c>
      <c r="G142" s="10" t="s">
        <v>27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6.25" customHeight="1" x14ac:dyDescent="0.2">
      <c r="A143" s="9">
        <v>38</v>
      </c>
      <c r="B143" s="9">
        <v>897914</v>
      </c>
      <c r="C143" s="20" t="s">
        <v>240</v>
      </c>
      <c r="D143" s="11" t="s">
        <v>51</v>
      </c>
      <c r="E143" s="9" t="s">
        <v>26</v>
      </c>
      <c r="F143" s="21">
        <v>22299</v>
      </c>
      <c r="G143" s="10" t="s">
        <v>36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6.25" customHeight="1" x14ac:dyDescent="0.2">
      <c r="A144" s="9">
        <v>39</v>
      </c>
      <c r="B144" s="9">
        <v>699646</v>
      </c>
      <c r="C144" s="20" t="s">
        <v>241</v>
      </c>
      <c r="D144" s="11" t="s">
        <v>217</v>
      </c>
      <c r="E144" s="9" t="s">
        <v>26</v>
      </c>
      <c r="F144" s="21">
        <v>35777</v>
      </c>
      <c r="G144" s="10" t="s">
        <v>27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6.25" customHeight="1" x14ac:dyDescent="0.2">
      <c r="A145" s="9">
        <v>40</v>
      </c>
      <c r="B145" s="9">
        <v>972304</v>
      </c>
      <c r="C145" s="10" t="s">
        <v>242</v>
      </c>
      <c r="D145" s="11" t="s">
        <v>188</v>
      </c>
      <c r="E145" s="9" t="s">
        <v>18</v>
      </c>
      <c r="F145" s="21">
        <v>36454</v>
      </c>
      <c r="G145" s="10" t="s">
        <v>193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x14ac:dyDescent="0.25">
      <c r="A146" s="126" t="s">
        <v>106</v>
      </c>
      <c r="B146" s="127"/>
      <c r="C146" s="127"/>
      <c r="D146" s="127"/>
      <c r="E146" s="127"/>
      <c r="F146" s="127"/>
      <c r="G146" s="128"/>
    </row>
    <row r="147" spans="1:26" ht="13.5" x14ac:dyDescent="0.25">
      <c r="A147" s="16"/>
      <c r="B147" s="16"/>
      <c r="C147" s="17"/>
      <c r="D147" s="18"/>
      <c r="E147" s="16"/>
      <c r="F147" s="16"/>
      <c r="G147" s="17"/>
    </row>
    <row r="148" spans="1:26" ht="26.25" customHeight="1" x14ac:dyDescent="0.2">
      <c r="A148" s="133" t="s">
        <v>6</v>
      </c>
      <c r="B148" s="127"/>
      <c r="C148" s="127"/>
      <c r="D148" s="127"/>
      <c r="E148" s="127"/>
      <c r="F148" s="127"/>
      <c r="G148" s="128"/>
    </row>
    <row r="149" spans="1:26" ht="26.25" customHeight="1" x14ac:dyDescent="0.2">
      <c r="A149" s="2" t="s">
        <v>9</v>
      </c>
      <c r="B149" s="2" t="s">
        <v>10</v>
      </c>
      <c r="C149" s="2" t="s">
        <v>11</v>
      </c>
      <c r="D149" s="3" t="s">
        <v>12</v>
      </c>
      <c r="E149" s="2" t="s">
        <v>13</v>
      </c>
      <c r="F149" s="2" t="s">
        <v>14</v>
      </c>
      <c r="G149" s="2" t="s">
        <v>15</v>
      </c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26.25" customHeight="1" x14ac:dyDescent="0.2">
      <c r="A150" s="9">
        <v>1</v>
      </c>
      <c r="B150" s="9">
        <v>517412</v>
      </c>
      <c r="C150" s="10" t="s">
        <v>243</v>
      </c>
      <c r="D150" s="11" t="s">
        <v>244</v>
      </c>
      <c r="E150" s="9" t="s">
        <v>18</v>
      </c>
      <c r="F150" s="21">
        <v>32862</v>
      </c>
      <c r="G150" s="10" t="s">
        <v>36</v>
      </c>
    </row>
    <row r="151" spans="1:26" ht="26.25" customHeight="1" x14ac:dyDescent="0.2">
      <c r="A151" s="9">
        <v>2</v>
      </c>
      <c r="B151" s="9">
        <v>391620</v>
      </c>
      <c r="C151" s="10" t="s">
        <v>245</v>
      </c>
      <c r="D151" s="11" t="s">
        <v>244</v>
      </c>
      <c r="E151" s="9" t="s">
        <v>26</v>
      </c>
      <c r="F151" s="21">
        <v>36216</v>
      </c>
      <c r="G151" s="10" t="s">
        <v>23</v>
      </c>
    </row>
    <row r="152" spans="1:26" ht="26.25" customHeight="1" x14ac:dyDescent="0.2">
      <c r="A152" s="9">
        <v>3</v>
      </c>
      <c r="B152" s="9">
        <v>818907</v>
      </c>
      <c r="C152" s="10" t="s">
        <v>246</v>
      </c>
      <c r="D152" s="11" t="s">
        <v>244</v>
      </c>
      <c r="E152" s="9" t="s">
        <v>26</v>
      </c>
      <c r="F152" s="21">
        <v>37545</v>
      </c>
      <c r="G152" s="10" t="s">
        <v>23</v>
      </c>
    </row>
    <row r="153" spans="1:26" ht="26.25" customHeight="1" x14ac:dyDescent="0.2">
      <c r="A153" s="9">
        <v>4</v>
      </c>
      <c r="B153" s="9">
        <v>967830</v>
      </c>
      <c r="C153" s="10" t="s">
        <v>247</v>
      </c>
      <c r="D153" s="11" t="s">
        <v>80</v>
      </c>
      <c r="E153" s="9" t="s">
        <v>18</v>
      </c>
      <c r="F153" s="21">
        <v>36806</v>
      </c>
      <c r="G153" s="10" t="s">
        <v>54</v>
      </c>
    </row>
    <row r="154" spans="1:26" ht="26.25" customHeight="1" x14ac:dyDescent="0.2">
      <c r="A154" s="9">
        <v>5</v>
      </c>
      <c r="B154" s="9">
        <v>668559</v>
      </c>
      <c r="C154" s="10" t="s">
        <v>248</v>
      </c>
      <c r="D154" s="11" t="s">
        <v>244</v>
      </c>
      <c r="E154" s="9" t="s">
        <v>18</v>
      </c>
      <c r="F154" s="21">
        <v>36762</v>
      </c>
      <c r="G154" s="10" t="s">
        <v>193</v>
      </c>
    </row>
    <row r="155" spans="1:26" ht="26.25" customHeight="1" x14ac:dyDescent="0.2">
      <c r="A155" s="9">
        <v>6</v>
      </c>
      <c r="B155" s="9">
        <v>335364</v>
      </c>
      <c r="C155" s="10" t="s">
        <v>249</v>
      </c>
      <c r="D155" s="11" t="s">
        <v>250</v>
      </c>
      <c r="E155" s="9" t="s">
        <v>26</v>
      </c>
      <c r="F155" s="21">
        <v>36234</v>
      </c>
      <c r="G155" s="10" t="s">
        <v>43</v>
      </c>
    </row>
    <row r="156" spans="1:26" ht="26.25" customHeight="1" x14ac:dyDescent="0.2">
      <c r="A156" s="9">
        <v>7</v>
      </c>
      <c r="B156" s="9">
        <v>661090</v>
      </c>
      <c r="C156" s="10" t="s">
        <v>251</v>
      </c>
      <c r="D156" s="11" t="s">
        <v>244</v>
      </c>
      <c r="E156" s="9" t="s">
        <v>18</v>
      </c>
      <c r="F156" s="21">
        <v>36806</v>
      </c>
      <c r="G156" s="10" t="s">
        <v>36</v>
      </c>
    </row>
    <row r="157" spans="1:26" ht="26.25" customHeight="1" x14ac:dyDescent="0.2">
      <c r="A157" s="9">
        <v>8</v>
      </c>
      <c r="B157" s="9">
        <v>982482</v>
      </c>
      <c r="C157" s="10" t="s">
        <v>252</v>
      </c>
      <c r="D157" s="11" t="s">
        <v>253</v>
      </c>
      <c r="E157" s="9" t="s">
        <v>18</v>
      </c>
      <c r="F157" s="21">
        <v>32505</v>
      </c>
      <c r="G157" s="10" t="s">
        <v>193</v>
      </c>
    </row>
    <row r="158" spans="1:26" ht="26.25" customHeight="1" x14ac:dyDescent="0.2">
      <c r="A158" s="9">
        <v>9</v>
      </c>
      <c r="B158" s="9">
        <v>453050</v>
      </c>
      <c r="C158" s="10" t="s">
        <v>254</v>
      </c>
      <c r="D158" s="11" t="s">
        <v>80</v>
      </c>
      <c r="E158" s="9" t="s">
        <v>18</v>
      </c>
      <c r="F158" s="21">
        <v>35572</v>
      </c>
      <c r="G158" s="10" t="s">
        <v>54</v>
      </c>
    </row>
    <row r="159" spans="1:26" ht="26.25" customHeight="1" x14ac:dyDescent="0.2">
      <c r="A159" s="9">
        <v>10</v>
      </c>
      <c r="B159" s="9">
        <v>547829</v>
      </c>
      <c r="C159" s="10" t="s">
        <v>255</v>
      </c>
      <c r="D159" s="11" t="s">
        <v>244</v>
      </c>
      <c r="E159" s="9" t="s">
        <v>18</v>
      </c>
      <c r="F159" s="21">
        <v>37788</v>
      </c>
      <c r="G159" s="10" t="s">
        <v>33</v>
      </c>
    </row>
    <row r="160" spans="1:26" ht="26.25" customHeight="1" x14ac:dyDescent="0.2">
      <c r="A160" s="9">
        <v>11</v>
      </c>
      <c r="B160" s="9">
        <v>631309</v>
      </c>
      <c r="C160" s="10" t="s">
        <v>256</v>
      </c>
      <c r="D160" s="11" t="s">
        <v>257</v>
      </c>
      <c r="E160" s="9" t="s">
        <v>18</v>
      </c>
      <c r="F160" s="21">
        <v>35061</v>
      </c>
      <c r="G160" s="10" t="s">
        <v>33</v>
      </c>
    </row>
    <row r="161" spans="1:7" ht="26.25" customHeight="1" x14ac:dyDescent="0.2">
      <c r="A161" s="9">
        <v>12</v>
      </c>
      <c r="B161" s="9">
        <v>865678</v>
      </c>
      <c r="C161" s="10" t="s">
        <v>258</v>
      </c>
      <c r="D161" s="11" t="s">
        <v>244</v>
      </c>
      <c r="E161" s="9" t="s">
        <v>18</v>
      </c>
      <c r="F161" s="21">
        <v>35453</v>
      </c>
      <c r="G161" s="10" t="s">
        <v>33</v>
      </c>
    </row>
    <row r="162" spans="1:7" ht="26.25" customHeight="1" x14ac:dyDescent="0.2">
      <c r="A162" s="9">
        <v>13</v>
      </c>
      <c r="B162" s="9">
        <v>239259</v>
      </c>
      <c r="C162" s="10" t="s">
        <v>259</v>
      </c>
      <c r="D162" s="11" t="s">
        <v>244</v>
      </c>
      <c r="E162" s="9" t="s">
        <v>18</v>
      </c>
      <c r="F162" s="21">
        <v>36148</v>
      </c>
      <c r="G162" s="10" t="s">
        <v>23</v>
      </c>
    </row>
    <row r="163" spans="1:7" ht="26.25" customHeight="1" x14ac:dyDescent="0.2">
      <c r="A163" s="9">
        <v>14</v>
      </c>
      <c r="B163" s="9">
        <v>359326</v>
      </c>
      <c r="C163" s="10" t="s">
        <v>260</v>
      </c>
      <c r="D163" s="11" t="s">
        <v>261</v>
      </c>
      <c r="E163" s="9" t="s">
        <v>26</v>
      </c>
      <c r="F163" s="21">
        <v>36668</v>
      </c>
      <c r="G163" s="10" t="s">
        <v>33</v>
      </c>
    </row>
    <row r="164" spans="1:7" ht="26.25" customHeight="1" x14ac:dyDescent="0.2">
      <c r="A164" s="9">
        <v>15</v>
      </c>
      <c r="B164" s="9">
        <v>942051</v>
      </c>
      <c r="C164" s="10" t="s">
        <v>262</v>
      </c>
      <c r="D164" s="11" t="s">
        <v>101</v>
      </c>
      <c r="E164" s="9" t="s">
        <v>18</v>
      </c>
      <c r="F164" s="21">
        <v>36347</v>
      </c>
      <c r="G164" s="10" t="s">
        <v>33</v>
      </c>
    </row>
    <row r="165" spans="1:7" ht="26.25" customHeight="1" x14ac:dyDescent="0.2">
      <c r="A165" s="9">
        <v>16</v>
      </c>
      <c r="B165" s="9">
        <v>439044</v>
      </c>
      <c r="C165" s="10" t="s">
        <v>263</v>
      </c>
      <c r="D165" s="11" t="s">
        <v>264</v>
      </c>
      <c r="E165" s="9" t="s">
        <v>26</v>
      </c>
      <c r="F165" s="21">
        <v>36330</v>
      </c>
      <c r="G165" s="10" t="s">
        <v>33</v>
      </c>
    </row>
    <row r="166" spans="1:7" ht="13.5" x14ac:dyDescent="0.2">
      <c r="A166" s="134" t="s">
        <v>106</v>
      </c>
      <c r="B166" s="127"/>
      <c r="C166" s="127"/>
      <c r="D166" s="127"/>
      <c r="E166" s="127"/>
      <c r="F166" s="127"/>
      <c r="G166" s="128"/>
    </row>
    <row r="167" spans="1:7" ht="13.5" x14ac:dyDescent="0.25">
      <c r="A167" s="16"/>
      <c r="B167" s="16"/>
      <c r="C167" s="17"/>
      <c r="D167" s="18"/>
      <c r="E167" s="16"/>
      <c r="F167" s="16"/>
      <c r="G167" s="17"/>
    </row>
    <row r="168" spans="1:7" ht="13.5" x14ac:dyDescent="0.25">
      <c r="A168" s="16"/>
      <c r="B168" s="16"/>
      <c r="C168" s="17"/>
      <c r="D168" s="18"/>
      <c r="E168" s="16"/>
      <c r="F168" s="16"/>
      <c r="G168" s="17"/>
    </row>
    <row r="169" spans="1:7" ht="13.5" x14ac:dyDescent="0.25">
      <c r="A169" s="16"/>
      <c r="B169" s="16"/>
      <c r="C169" s="22" t="s">
        <v>0</v>
      </c>
      <c r="D169" s="23" t="s">
        <v>1</v>
      </c>
      <c r="E169" s="16"/>
      <c r="F169" s="16"/>
      <c r="G169" s="17"/>
    </row>
    <row r="170" spans="1:7" ht="13.5" x14ac:dyDescent="0.25">
      <c r="A170" s="16"/>
      <c r="B170" s="16"/>
      <c r="C170" s="22" t="s">
        <v>2</v>
      </c>
      <c r="D170" s="23">
        <v>44</v>
      </c>
      <c r="E170" s="16"/>
      <c r="F170" s="16"/>
      <c r="G170" s="17"/>
    </row>
    <row r="171" spans="1:7" ht="13.5" x14ac:dyDescent="0.25">
      <c r="A171" s="16"/>
      <c r="B171" s="16"/>
      <c r="C171" s="22" t="s">
        <v>3</v>
      </c>
      <c r="D171" s="23">
        <v>32</v>
      </c>
      <c r="E171" s="16"/>
      <c r="F171" s="16"/>
      <c r="G171" s="17"/>
    </row>
    <row r="172" spans="1:7" ht="13.5" x14ac:dyDescent="0.25">
      <c r="A172" s="16"/>
      <c r="B172" s="16"/>
      <c r="C172" s="22" t="s">
        <v>4</v>
      </c>
      <c r="D172" s="23">
        <v>14</v>
      </c>
      <c r="E172" s="16"/>
      <c r="F172" s="16"/>
      <c r="G172" s="17"/>
    </row>
    <row r="173" spans="1:7" ht="13.5" x14ac:dyDescent="0.25">
      <c r="A173" s="16"/>
      <c r="B173" s="16"/>
      <c r="C173" s="22" t="s">
        <v>5</v>
      </c>
      <c r="D173" s="23">
        <v>40</v>
      </c>
      <c r="E173" s="16"/>
      <c r="F173" s="16"/>
      <c r="G173" s="17"/>
    </row>
    <row r="174" spans="1:7" ht="13.5" x14ac:dyDescent="0.25">
      <c r="A174" s="16"/>
      <c r="B174" s="16"/>
      <c r="C174" s="22" t="s">
        <v>6</v>
      </c>
      <c r="D174" s="23">
        <v>16</v>
      </c>
      <c r="E174" s="16"/>
      <c r="F174" s="16"/>
      <c r="G174" s="17"/>
    </row>
    <row r="175" spans="1:7" ht="13.5" x14ac:dyDescent="0.25">
      <c r="A175" s="16"/>
      <c r="B175" s="16"/>
      <c r="C175" s="22" t="s">
        <v>7</v>
      </c>
      <c r="D175" s="23">
        <f>SUM(D170:D174)</f>
        <v>146</v>
      </c>
      <c r="E175" s="16"/>
      <c r="F175" s="16"/>
      <c r="G175" s="17"/>
    </row>
    <row r="176" spans="1:7" ht="12.75" x14ac:dyDescent="0.2">
      <c r="A176" s="24"/>
      <c r="B176" s="24"/>
      <c r="D176" s="25"/>
      <c r="E176" s="24"/>
      <c r="F176" s="24"/>
    </row>
    <row r="177" spans="1:6" ht="12.75" x14ac:dyDescent="0.2">
      <c r="A177" s="24"/>
      <c r="B177" s="24"/>
      <c r="D177" s="25"/>
      <c r="E177" s="24"/>
      <c r="F177" s="24"/>
    </row>
    <row r="178" spans="1:6" ht="12.75" x14ac:dyDescent="0.2">
      <c r="A178" s="24"/>
      <c r="B178" s="24"/>
      <c r="D178" s="25"/>
      <c r="E178" s="24"/>
      <c r="F178" s="24"/>
    </row>
    <row r="179" spans="1:6" ht="12.75" x14ac:dyDescent="0.2">
      <c r="A179" s="24"/>
      <c r="B179" s="24"/>
      <c r="D179" s="25"/>
      <c r="E179" s="24"/>
      <c r="F179" s="24"/>
    </row>
    <row r="180" spans="1:6" ht="12.75" x14ac:dyDescent="0.2">
      <c r="A180" s="24"/>
      <c r="B180" s="24"/>
      <c r="D180" s="25"/>
      <c r="E180" s="24"/>
      <c r="F180" s="24"/>
    </row>
    <row r="181" spans="1:6" ht="12.75" x14ac:dyDescent="0.2">
      <c r="A181" s="24"/>
      <c r="B181" s="24"/>
      <c r="D181" s="25"/>
      <c r="E181" s="24"/>
      <c r="F181" s="24"/>
    </row>
    <row r="182" spans="1:6" ht="12.75" x14ac:dyDescent="0.2">
      <c r="A182" s="24"/>
      <c r="B182" s="24"/>
      <c r="D182" s="25"/>
      <c r="E182" s="24"/>
      <c r="F182" s="24"/>
    </row>
    <row r="183" spans="1:6" ht="12.75" x14ac:dyDescent="0.2">
      <c r="A183" s="24"/>
      <c r="B183" s="24"/>
      <c r="D183" s="25"/>
      <c r="E183" s="24"/>
      <c r="F183" s="24"/>
    </row>
    <row r="184" spans="1:6" ht="12.75" x14ac:dyDescent="0.2">
      <c r="A184" s="24"/>
      <c r="B184" s="24"/>
      <c r="D184" s="25"/>
      <c r="E184" s="24"/>
      <c r="F184" s="24"/>
    </row>
    <row r="185" spans="1:6" ht="12.75" x14ac:dyDescent="0.2">
      <c r="A185" s="24"/>
      <c r="B185" s="24"/>
      <c r="D185" s="25"/>
      <c r="E185" s="24"/>
      <c r="F185" s="24"/>
    </row>
    <row r="186" spans="1:6" ht="12.75" x14ac:dyDescent="0.2">
      <c r="A186" s="24"/>
      <c r="B186" s="24"/>
      <c r="D186" s="25"/>
      <c r="E186" s="24"/>
      <c r="F186" s="24"/>
    </row>
    <row r="187" spans="1:6" ht="12.75" x14ac:dyDescent="0.2">
      <c r="A187" s="24"/>
      <c r="B187" s="24"/>
      <c r="D187" s="25"/>
      <c r="E187" s="24"/>
      <c r="F187" s="24"/>
    </row>
    <row r="188" spans="1:6" ht="12.75" x14ac:dyDescent="0.2">
      <c r="A188" s="24"/>
      <c r="B188" s="24"/>
      <c r="D188" s="25"/>
      <c r="E188" s="24"/>
      <c r="F188" s="24"/>
    </row>
    <row r="189" spans="1:6" ht="12.75" x14ac:dyDescent="0.2">
      <c r="A189" s="24"/>
      <c r="B189" s="24"/>
      <c r="D189" s="25"/>
      <c r="E189" s="24"/>
      <c r="F189" s="24"/>
    </row>
    <row r="190" spans="1:6" ht="12.75" x14ac:dyDescent="0.2">
      <c r="A190" s="24"/>
      <c r="B190" s="24"/>
      <c r="D190" s="25"/>
      <c r="E190" s="24"/>
      <c r="F190" s="24"/>
    </row>
    <row r="191" spans="1:6" ht="12.75" x14ac:dyDescent="0.2">
      <c r="A191" s="24"/>
      <c r="B191" s="24"/>
      <c r="D191" s="25"/>
      <c r="E191" s="24"/>
      <c r="F191" s="24"/>
    </row>
    <row r="192" spans="1:6" ht="12.75" x14ac:dyDescent="0.2">
      <c r="A192" s="24"/>
      <c r="B192" s="24"/>
      <c r="D192" s="25"/>
      <c r="E192" s="24"/>
      <c r="F192" s="24"/>
    </row>
    <row r="193" spans="1:6" ht="12.75" x14ac:dyDescent="0.2">
      <c r="A193" s="24"/>
      <c r="B193" s="24"/>
      <c r="D193" s="25"/>
      <c r="E193" s="24"/>
      <c r="F193" s="24"/>
    </row>
    <row r="194" spans="1:6" ht="12.75" x14ac:dyDescent="0.2">
      <c r="A194" s="24"/>
      <c r="B194" s="24"/>
      <c r="D194" s="25"/>
      <c r="E194" s="24"/>
      <c r="F194" s="24"/>
    </row>
    <row r="195" spans="1:6" ht="12.75" x14ac:dyDescent="0.2">
      <c r="A195" s="24"/>
      <c r="B195" s="24"/>
      <c r="D195" s="25"/>
      <c r="E195" s="24"/>
      <c r="F195" s="24"/>
    </row>
    <row r="196" spans="1:6" ht="12.75" x14ac:dyDescent="0.2">
      <c r="A196" s="24"/>
      <c r="B196" s="24"/>
      <c r="D196" s="25"/>
      <c r="E196" s="24"/>
      <c r="F196" s="24"/>
    </row>
    <row r="197" spans="1:6" ht="12.75" x14ac:dyDescent="0.2">
      <c r="A197" s="24"/>
      <c r="B197" s="24"/>
      <c r="D197" s="25"/>
      <c r="E197" s="24"/>
      <c r="F197" s="24"/>
    </row>
    <row r="198" spans="1:6" ht="12.75" x14ac:dyDescent="0.2">
      <c r="A198" s="24"/>
      <c r="B198" s="24"/>
      <c r="D198" s="25"/>
      <c r="E198" s="24"/>
      <c r="F198" s="24"/>
    </row>
    <row r="199" spans="1:6" ht="12.75" x14ac:dyDescent="0.2">
      <c r="A199" s="24"/>
      <c r="B199" s="24"/>
      <c r="D199" s="25"/>
      <c r="E199" s="24"/>
      <c r="F199" s="24"/>
    </row>
    <row r="200" spans="1:6" ht="12.75" x14ac:dyDescent="0.2">
      <c r="A200" s="24"/>
      <c r="B200" s="24"/>
      <c r="D200" s="25"/>
      <c r="E200" s="24"/>
      <c r="F200" s="24"/>
    </row>
    <row r="201" spans="1:6" ht="12.75" x14ac:dyDescent="0.2">
      <c r="A201" s="24"/>
      <c r="B201" s="24"/>
      <c r="D201" s="25"/>
      <c r="E201" s="24"/>
      <c r="F201" s="24"/>
    </row>
    <row r="202" spans="1:6" ht="12.75" x14ac:dyDescent="0.2">
      <c r="A202" s="24"/>
      <c r="B202" s="24"/>
      <c r="D202" s="25"/>
      <c r="E202" s="24"/>
      <c r="F202" s="24"/>
    </row>
    <row r="203" spans="1:6" ht="12.75" x14ac:dyDescent="0.2">
      <c r="A203" s="24"/>
      <c r="B203" s="24"/>
      <c r="D203" s="25"/>
      <c r="E203" s="24"/>
      <c r="F203" s="24"/>
    </row>
    <row r="204" spans="1:6" ht="12.75" x14ac:dyDescent="0.2">
      <c r="A204" s="24"/>
      <c r="B204" s="24"/>
      <c r="D204" s="25"/>
      <c r="E204" s="24"/>
      <c r="F204" s="24"/>
    </row>
    <row r="205" spans="1:6" ht="12.75" x14ac:dyDescent="0.2">
      <c r="A205" s="24"/>
      <c r="B205" s="24"/>
      <c r="D205" s="25"/>
      <c r="E205" s="24"/>
      <c r="F205" s="24"/>
    </row>
    <row r="206" spans="1:6" ht="12.75" x14ac:dyDescent="0.2">
      <c r="A206" s="24"/>
      <c r="B206" s="24"/>
      <c r="D206" s="25"/>
      <c r="E206" s="24"/>
      <c r="F206" s="24"/>
    </row>
    <row r="207" spans="1:6" ht="12.75" x14ac:dyDescent="0.2">
      <c r="A207" s="24"/>
      <c r="B207" s="24"/>
      <c r="D207" s="25"/>
      <c r="E207" s="24"/>
      <c r="F207" s="24"/>
    </row>
    <row r="208" spans="1:6" ht="12.75" x14ac:dyDescent="0.2">
      <c r="A208" s="24"/>
      <c r="B208" s="24"/>
      <c r="D208" s="25"/>
      <c r="E208" s="24"/>
      <c r="F208" s="24"/>
    </row>
    <row r="209" spans="1:6" ht="12.75" x14ac:dyDescent="0.2">
      <c r="A209" s="24"/>
      <c r="B209" s="24"/>
      <c r="D209" s="25"/>
      <c r="E209" s="24"/>
      <c r="F209" s="24"/>
    </row>
    <row r="210" spans="1:6" ht="12.75" x14ac:dyDescent="0.2">
      <c r="A210" s="24"/>
      <c r="B210" s="24"/>
      <c r="D210" s="25"/>
      <c r="E210" s="24"/>
      <c r="F210" s="24"/>
    </row>
    <row r="211" spans="1:6" ht="12.75" x14ac:dyDescent="0.2">
      <c r="A211" s="24"/>
      <c r="B211" s="24"/>
      <c r="D211" s="25"/>
      <c r="E211" s="24"/>
      <c r="F211" s="24"/>
    </row>
    <row r="212" spans="1:6" ht="12.75" x14ac:dyDescent="0.2">
      <c r="A212" s="24"/>
      <c r="B212" s="24"/>
      <c r="D212" s="25"/>
      <c r="E212" s="24"/>
      <c r="F212" s="24"/>
    </row>
    <row r="213" spans="1:6" ht="12.75" x14ac:dyDescent="0.2">
      <c r="A213" s="24"/>
      <c r="B213" s="24"/>
      <c r="D213" s="25"/>
      <c r="E213" s="24"/>
      <c r="F213" s="24"/>
    </row>
    <row r="214" spans="1:6" ht="12.75" x14ac:dyDescent="0.2">
      <c r="A214" s="24"/>
      <c r="B214" s="24"/>
      <c r="D214" s="25"/>
      <c r="E214" s="24"/>
      <c r="F214" s="24"/>
    </row>
    <row r="215" spans="1:6" ht="12.75" x14ac:dyDescent="0.2">
      <c r="A215" s="24"/>
      <c r="B215" s="24"/>
      <c r="D215" s="25"/>
      <c r="E215" s="24"/>
      <c r="F215" s="24"/>
    </row>
    <row r="216" spans="1:6" ht="12.75" x14ac:dyDescent="0.2">
      <c r="A216" s="24"/>
      <c r="B216" s="24"/>
      <c r="D216" s="25"/>
      <c r="E216" s="24"/>
      <c r="F216" s="24"/>
    </row>
    <row r="217" spans="1:6" ht="12.75" x14ac:dyDescent="0.2">
      <c r="A217" s="24"/>
      <c r="B217" s="24"/>
      <c r="D217" s="25"/>
      <c r="E217" s="24"/>
      <c r="F217" s="24"/>
    </row>
    <row r="218" spans="1:6" ht="12.75" x14ac:dyDescent="0.2">
      <c r="A218" s="24"/>
      <c r="B218" s="24"/>
      <c r="D218" s="25"/>
      <c r="E218" s="24"/>
      <c r="F218" s="24"/>
    </row>
    <row r="219" spans="1:6" ht="12.75" x14ac:dyDescent="0.2">
      <c r="A219" s="24"/>
      <c r="B219" s="24"/>
      <c r="D219" s="25"/>
      <c r="E219" s="24"/>
      <c r="F219" s="24"/>
    </row>
    <row r="220" spans="1:6" ht="12.75" x14ac:dyDescent="0.2">
      <c r="A220" s="24"/>
      <c r="B220" s="24"/>
      <c r="D220" s="25"/>
      <c r="E220" s="24"/>
      <c r="F220" s="24"/>
    </row>
    <row r="221" spans="1:6" ht="12.75" x14ac:dyDescent="0.2">
      <c r="A221" s="24"/>
      <c r="B221" s="24"/>
      <c r="D221" s="25"/>
      <c r="E221" s="24"/>
      <c r="F221" s="24"/>
    </row>
    <row r="222" spans="1:6" ht="12.75" x14ac:dyDescent="0.2">
      <c r="A222" s="24"/>
      <c r="B222" s="24"/>
      <c r="D222" s="25"/>
      <c r="E222" s="24"/>
      <c r="F222" s="24"/>
    </row>
    <row r="223" spans="1:6" ht="12.75" x14ac:dyDescent="0.2">
      <c r="A223" s="24"/>
      <c r="B223" s="24"/>
      <c r="D223" s="25"/>
      <c r="E223" s="24"/>
      <c r="F223" s="24"/>
    </row>
    <row r="224" spans="1:6" ht="12.75" x14ac:dyDescent="0.2">
      <c r="A224" s="24"/>
      <c r="B224" s="24"/>
      <c r="D224" s="25"/>
      <c r="E224" s="24"/>
      <c r="F224" s="24"/>
    </row>
    <row r="225" spans="1:6" ht="12.75" x14ac:dyDescent="0.2">
      <c r="A225" s="24"/>
      <c r="B225" s="24"/>
      <c r="D225" s="25"/>
      <c r="E225" s="24"/>
      <c r="F225" s="24"/>
    </row>
    <row r="226" spans="1:6" ht="12.75" x14ac:dyDescent="0.2">
      <c r="A226" s="24"/>
      <c r="B226" s="24"/>
      <c r="D226" s="25"/>
      <c r="E226" s="24"/>
      <c r="F226" s="24"/>
    </row>
    <row r="227" spans="1:6" ht="12.75" x14ac:dyDescent="0.2">
      <c r="A227" s="24"/>
      <c r="B227" s="24"/>
      <c r="D227" s="25"/>
      <c r="E227" s="24"/>
      <c r="F227" s="24"/>
    </row>
    <row r="228" spans="1:6" ht="12.75" x14ac:dyDescent="0.2">
      <c r="A228" s="24"/>
      <c r="B228" s="24"/>
      <c r="D228" s="25"/>
      <c r="E228" s="24"/>
      <c r="F228" s="24"/>
    </row>
    <row r="229" spans="1:6" ht="12.75" x14ac:dyDescent="0.2">
      <c r="A229" s="24"/>
      <c r="B229" s="24"/>
      <c r="D229" s="25"/>
      <c r="E229" s="24"/>
      <c r="F229" s="24"/>
    </row>
    <row r="230" spans="1:6" ht="12.75" x14ac:dyDescent="0.2">
      <c r="A230" s="24"/>
      <c r="B230" s="24"/>
      <c r="D230" s="25"/>
      <c r="E230" s="24"/>
      <c r="F230" s="24"/>
    </row>
    <row r="231" spans="1:6" ht="12.75" x14ac:dyDescent="0.2">
      <c r="A231" s="24"/>
      <c r="B231" s="24"/>
      <c r="D231" s="25"/>
      <c r="E231" s="24"/>
      <c r="F231" s="24"/>
    </row>
    <row r="232" spans="1:6" ht="12.75" x14ac:dyDescent="0.2">
      <c r="A232" s="24"/>
      <c r="B232" s="24"/>
      <c r="D232" s="25"/>
      <c r="E232" s="24"/>
      <c r="F232" s="24"/>
    </row>
    <row r="233" spans="1:6" ht="12.75" x14ac:dyDescent="0.2">
      <c r="A233" s="24"/>
      <c r="B233" s="24"/>
      <c r="D233" s="25"/>
      <c r="E233" s="24"/>
      <c r="F233" s="24"/>
    </row>
    <row r="234" spans="1:6" ht="12.75" x14ac:dyDescent="0.2">
      <c r="A234" s="24"/>
      <c r="B234" s="24"/>
      <c r="D234" s="25"/>
      <c r="E234" s="24"/>
      <c r="F234" s="24"/>
    </row>
    <row r="235" spans="1:6" ht="12.75" x14ac:dyDescent="0.2">
      <c r="A235" s="24"/>
      <c r="B235" s="24"/>
      <c r="D235" s="25"/>
      <c r="E235" s="24"/>
      <c r="F235" s="24"/>
    </row>
    <row r="236" spans="1:6" ht="12.75" x14ac:dyDescent="0.2">
      <c r="A236" s="24"/>
      <c r="B236" s="24"/>
      <c r="D236" s="25"/>
      <c r="E236" s="24"/>
      <c r="F236" s="24"/>
    </row>
    <row r="237" spans="1:6" ht="12.75" x14ac:dyDescent="0.2">
      <c r="A237" s="24"/>
      <c r="B237" s="24"/>
      <c r="D237" s="25"/>
      <c r="E237" s="24"/>
      <c r="F237" s="24"/>
    </row>
    <row r="238" spans="1:6" ht="12.75" x14ac:dyDescent="0.2">
      <c r="A238" s="24"/>
      <c r="B238" s="24"/>
      <c r="D238" s="25"/>
      <c r="E238" s="24"/>
      <c r="F238" s="24"/>
    </row>
    <row r="239" spans="1:6" ht="12.75" x14ac:dyDescent="0.2">
      <c r="A239" s="24"/>
      <c r="B239" s="24"/>
      <c r="D239" s="25"/>
      <c r="E239" s="24"/>
      <c r="F239" s="24"/>
    </row>
    <row r="240" spans="1:6" ht="12.75" x14ac:dyDescent="0.2">
      <c r="A240" s="24"/>
      <c r="B240" s="24"/>
      <c r="D240" s="25"/>
      <c r="E240" s="24"/>
      <c r="F240" s="24"/>
    </row>
    <row r="241" spans="1:6" ht="12.75" x14ac:dyDescent="0.2">
      <c r="A241" s="24"/>
      <c r="B241" s="24"/>
      <c r="D241" s="25"/>
      <c r="E241" s="24"/>
      <c r="F241" s="24"/>
    </row>
    <row r="242" spans="1:6" ht="12.75" x14ac:dyDescent="0.2">
      <c r="A242" s="24"/>
      <c r="B242" s="24"/>
      <c r="D242" s="25"/>
      <c r="E242" s="24"/>
      <c r="F242" s="24"/>
    </row>
    <row r="243" spans="1:6" ht="12.75" x14ac:dyDescent="0.2">
      <c r="A243" s="24"/>
      <c r="B243" s="24"/>
      <c r="D243" s="25"/>
      <c r="E243" s="24"/>
      <c r="F243" s="24"/>
    </row>
    <row r="244" spans="1:6" ht="12.75" x14ac:dyDescent="0.2">
      <c r="A244" s="24"/>
      <c r="B244" s="24"/>
      <c r="D244" s="25"/>
      <c r="E244" s="24"/>
      <c r="F244" s="24"/>
    </row>
    <row r="245" spans="1:6" ht="12.75" x14ac:dyDescent="0.2">
      <c r="A245" s="24"/>
      <c r="B245" s="24"/>
      <c r="D245" s="25"/>
      <c r="E245" s="24"/>
      <c r="F245" s="24"/>
    </row>
    <row r="246" spans="1:6" ht="12.75" x14ac:dyDescent="0.2">
      <c r="A246" s="24"/>
      <c r="B246" s="24"/>
      <c r="D246" s="25"/>
      <c r="E246" s="24"/>
      <c r="F246" s="24"/>
    </row>
    <row r="247" spans="1:6" ht="12.75" x14ac:dyDescent="0.2">
      <c r="A247" s="24"/>
      <c r="B247" s="24"/>
      <c r="D247" s="25"/>
      <c r="E247" s="24"/>
      <c r="F247" s="24"/>
    </row>
    <row r="248" spans="1:6" ht="12.75" x14ac:dyDescent="0.2">
      <c r="A248" s="24"/>
      <c r="B248" s="24"/>
      <c r="D248" s="25"/>
      <c r="E248" s="24"/>
      <c r="F248" s="24"/>
    </row>
    <row r="249" spans="1:6" ht="12.75" x14ac:dyDescent="0.2">
      <c r="A249" s="24"/>
      <c r="B249" s="24"/>
      <c r="D249" s="25"/>
      <c r="E249" s="24"/>
      <c r="F249" s="24"/>
    </row>
    <row r="250" spans="1:6" ht="12.75" x14ac:dyDescent="0.2">
      <c r="A250" s="24"/>
      <c r="B250" s="24"/>
      <c r="D250" s="25"/>
      <c r="E250" s="24"/>
      <c r="F250" s="24"/>
    </row>
    <row r="251" spans="1:6" ht="12.75" x14ac:dyDescent="0.2">
      <c r="A251" s="24"/>
      <c r="B251" s="24"/>
      <c r="D251" s="25"/>
      <c r="E251" s="24"/>
      <c r="F251" s="24"/>
    </row>
    <row r="252" spans="1:6" ht="12.75" x14ac:dyDescent="0.2">
      <c r="A252" s="24"/>
      <c r="B252" s="24"/>
      <c r="D252" s="25"/>
      <c r="E252" s="24"/>
      <c r="F252" s="24"/>
    </row>
    <row r="253" spans="1:6" ht="12.75" x14ac:dyDescent="0.2">
      <c r="A253" s="24"/>
      <c r="B253" s="24"/>
      <c r="D253" s="25"/>
      <c r="E253" s="24"/>
      <c r="F253" s="24"/>
    </row>
    <row r="254" spans="1:6" ht="12.75" x14ac:dyDescent="0.2">
      <c r="A254" s="24"/>
      <c r="B254" s="24"/>
      <c r="D254" s="25"/>
      <c r="E254" s="24"/>
      <c r="F254" s="24"/>
    </row>
    <row r="255" spans="1:6" ht="12.75" x14ac:dyDescent="0.2">
      <c r="A255" s="24"/>
      <c r="B255" s="24"/>
      <c r="D255" s="25"/>
      <c r="E255" s="24"/>
      <c r="F255" s="24"/>
    </row>
    <row r="256" spans="1:6" ht="12.75" x14ac:dyDescent="0.2">
      <c r="A256" s="24"/>
      <c r="B256" s="24"/>
      <c r="D256" s="25"/>
      <c r="E256" s="24"/>
      <c r="F256" s="24"/>
    </row>
    <row r="257" spans="1:6" ht="12.75" x14ac:dyDescent="0.2">
      <c r="A257" s="24"/>
      <c r="B257" s="24"/>
      <c r="D257" s="25"/>
      <c r="E257" s="24"/>
      <c r="F257" s="24"/>
    </row>
    <row r="258" spans="1:6" ht="12.75" x14ac:dyDescent="0.2">
      <c r="A258" s="24"/>
      <c r="B258" s="24"/>
      <c r="D258" s="25"/>
      <c r="E258" s="24"/>
      <c r="F258" s="24"/>
    </row>
    <row r="259" spans="1:6" ht="12.75" x14ac:dyDescent="0.2">
      <c r="A259" s="24"/>
      <c r="B259" s="24"/>
      <c r="D259" s="25"/>
      <c r="E259" s="24"/>
      <c r="F259" s="24"/>
    </row>
    <row r="260" spans="1:6" ht="12.75" x14ac:dyDescent="0.2">
      <c r="A260" s="24"/>
      <c r="B260" s="24"/>
      <c r="D260" s="25"/>
      <c r="E260" s="24"/>
      <c r="F260" s="24"/>
    </row>
    <row r="261" spans="1:6" ht="12.75" x14ac:dyDescent="0.2">
      <c r="A261" s="24"/>
      <c r="B261" s="24"/>
      <c r="D261" s="25"/>
      <c r="E261" s="24"/>
      <c r="F261" s="24"/>
    </row>
    <row r="262" spans="1:6" ht="12.75" x14ac:dyDescent="0.2">
      <c r="A262" s="24"/>
      <c r="B262" s="24"/>
      <c r="D262" s="25"/>
      <c r="E262" s="24"/>
      <c r="F262" s="24"/>
    </row>
    <row r="263" spans="1:6" ht="12.75" x14ac:dyDescent="0.2">
      <c r="A263" s="24"/>
      <c r="B263" s="24"/>
      <c r="D263" s="25"/>
      <c r="E263" s="24"/>
      <c r="F263" s="24"/>
    </row>
    <row r="264" spans="1:6" ht="12.75" x14ac:dyDescent="0.2">
      <c r="A264" s="24"/>
      <c r="B264" s="24"/>
      <c r="D264" s="25"/>
      <c r="E264" s="24"/>
      <c r="F264" s="24"/>
    </row>
    <row r="265" spans="1:6" ht="12.75" x14ac:dyDescent="0.2">
      <c r="A265" s="24"/>
      <c r="B265" s="24"/>
      <c r="D265" s="25"/>
      <c r="E265" s="24"/>
      <c r="F265" s="24"/>
    </row>
    <row r="266" spans="1:6" ht="12.75" x14ac:dyDescent="0.2">
      <c r="A266" s="24"/>
      <c r="B266" s="24"/>
      <c r="D266" s="25"/>
      <c r="E266" s="24"/>
      <c r="F266" s="24"/>
    </row>
    <row r="267" spans="1:6" ht="12.75" x14ac:dyDescent="0.2">
      <c r="A267" s="24"/>
      <c r="B267" s="24"/>
      <c r="D267" s="25"/>
      <c r="E267" s="24"/>
      <c r="F267" s="24"/>
    </row>
    <row r="268" spans="1:6" ht="12.75" x14ac:dyDescent="0.2">
      <c r="A268" s="24"/>
      <c r="B268" s="24"/>
      <c r="D268" s="25"/>
      <c r="E268" s="24"/>
      <c r="F268" s="24"/>
    </row>
    <row r="269" spans="1:6" ht="12.75" x14ac:dyDescent="0.2">
      <c r="A269" s="24"/>
      <c r="B269" s="24"/>
      <c r="D269" s="25"/>
      <c r="E269" s="24"/>
      <c r="F269" s="24"/>
    </row>
    <row r="270" spans="1:6" ht="12.75" x14ac:dyDescent="0.2">
      <c r="A270" s="24"/>
      <c r="B270" s="24"/>
      <c r="D270" s="25"/>
      <c r="E270" s="24"/>
      <c r="F270" s="24"/>
    </row>
    <row r="271" spans="1:6" ht="12.75" x14ac:dyDescent="0.2">
      <c r="A271" s="24"/>
      <c r="B271" s="24"/>
      <c r="D271" s="25"/>
      <c r="E271" s="24"/>
      <c r="F271" s="24"/>
    </row>
    <row r="272" spans="1:6" ht="12.75" x14ac:dyDescent="0.2">
      <c r="A272" s="24"/>
      <c r="B272" s="24"/>
      <c r="D272" s="25"/>
      <c r="E272" s="24"/>
      <c r="F272" s="24"/>
    </row>
    <row r="273" spans="1:6" ht="12.75" x14ac:dyDescent="0.2">
      <c r="A273" s="24"/>
      <c r="B273" s="24"/>
      <c r="D273" s="25"/>
      <c r="E273" s="24"/>
      <c r="F273" s="24"/>
    </row>
    <row r="274" spans="1:6" ht="12.75" x14ac:dyDescent="0.2">
      <c r="A274" s="24"/>
      <c r="B274" s="24"/>
      <c r="D274" s="25"/>
      <c r="E274" s="24"/>
      <c r="F274" s="24"/>
    </row>
    <row r="275" spans="1:6" ht="12.75" x14ac:dyDescent="0.2">
      <c r="A275" s="24"/>
      <c r="B275" s="24"/>
      <c r="D275" s="25"/>
      <c r="E275" s="24"/>
      <c r="F275" s="24"/>
    </row>
    <row r="276" spans="1:6" ht="12.75" x14ac:dyDescent="0.2">
      <c r="A276" s="24"/>
      <c r="B276" s="24"/>
      <c r="D276" s="25"/>
      <c r="E276" s="24"/>
      <c r="F276" s="24"/>
    </row>
    <row r="277" spans="1:6" ht="12.75" x14ac:dyDescent="0.2">
      <c r="A277" s="24"/>
      <c r="B277" s="24"/>
      <c r="D277" s="25"/>
      <c r="E277" s="24"/>
      <c r="F277" s="24"/>
    </row>
    <row r="278" spans="1:6" ht="12.75" x14ac:dyDescent="0.2">
      <c r="A278" s="24"/>
      <c r="B278" s="24"/>
      <c r="D278" s="25"/>
      <c r="E278" s="24"/>
      <c r="F278" s="24"/>
    </row>
    <row r="279" spans="1:6" ht="12.75" x14ac:dyDescent="0.2">
      <c r="A279" s="24"/>
      <c r="B279" s="24"/>
      <c r="D279" s="25"/>
      <c r="E279" s="24"/>
      <c r="F279" s="24"/>
    </row>
    <row r="280" spans="1:6" ht="12.75" x14ac:dyDescent="0.2">
      <c r="A280" s="24"/>
      <c r="B280" s="24"/>
      <c r="D280" s="25"/>
      <c r="E280" s="24"/>
      <c r="F280" s="24"/>
    </row>
    <row r="281" spans="1:6" ht="12.75" x14ac:dyDescent="0.2">
      <c r="A281" s="24"/>
      <c r="B281" s="24"/>
      <c r="D281" s="25"/>
      <c r="E281" s="24"/>
      <c r="F281" s="24"/>
    </row>
    <row r="282" spans="1:6" ht="12.75" x14ac:dyDescent="0.2">
      <c r="A282" s="24"/>
      <c r="B282" s="24"/>
      <c r="D282" s="25"/>
      <c r="E282" s="24"/>
      <c r="F282" s="24"/>
    </row>
    <row r="283" spans="1:6" ht="12.75" x14ac:dyDescent="0.2">
      <c r="A283" s="24"/>
      <c r="B283" s="24"/>
      <c r="D283" s="25"/>
      <c r="E283" s="24"/>
      <c r="F283" s="24"/>
    </row>
    <row r="284" spans="1:6" ht="12.75" x14ac:dyDescent="0.2">
      <c r="A284" s="24"/>
      <c r="B284" s="24"/>
      <c r="D284" s="25"/>
      <c r="E284" s="24"/>
      <c r="F284" s="24"/>
    </row>
    <row r="285" spans="1:6" ht="12.75" x14ac:dyDescent="0.2">
      <c r="A285" s="24"/>
      <c r="B285" s="24"/>
      <c r="D285" s="25"/>
      <c r="E285" s="24"/>
      <c r="F285" s="24"/>
    </row>
    <row r="286" spans="1:6" ht="12.75" x14ac:dyDescent="0.2">
      <c r="A286" s="24"/>
      <c r="B286" s="24"/>
      <c r="D286" s="25"/>
      <c r="E286" s="24"/>
      <c r="F286" s="24"/>
    </row>
    <row r="287" spans="1:6" ht="12.75" x14ac:dyDescent="0.2">
      <c r="A287" s="24"/>
      <c r="B287" s="24"/>
      <c r="D287" s="25"/>
      <c r="E287" s="24"/>
      <c r="F287" s="24"/>
    </row>
    <row r="288" spans="1:6" ht="12.75" x14ac:dyDescent="0.2">
      <c r="A288" s="24"/>
      <c r="B288" s="24"/>
      <c r="D288" s="25"/>
      <c r="E288" s="24"/>
      <c r="F288" s="24"/>
    </row>
    <row r="289" spans="1:6" ht="12.75" x14ac:dyDescent="0.2">
      <c r="A289" s="24"/>
      <c r="B289" s="24"/>
      <c r="D289" s="25"/>
      <c r="E289" s="24"/>
      <c r="F289" s="24"/>
    </row>
    <row r="290" spans="1:6" ht="12.75" x14ac:dyDescent="0.2">
      <c r="A290" s="24"/>
      <c r="B290" s="24"/>
      <c r="D290" s="25"/>
      <c r="E290" s="24"/>
      <c r="F290" s="24"/>
    </row>
    <row r="291" spans="1:6" ht="12.75" x14ac:dyDescent="0.2">
      <c r="A291" s="24"/>
      <c r="B291" s="24"/>
      <c r="D291" s="25"/>
      <c r="E291" s="24"/>
      <c r="F291" s="24"/>
    </row>
    <row r="292" spans="1:6" ht="12.75" x14ac:dyDescent="0.2">
      <c r="A292" s="24"/>
      <c r="B292" s="24"/>
      <c r="D292" s="25"/>
      <c r="E292" s="24"/>
      <c r="F292" s="24"/>
    </row>
    <row r="293" spans="1:6" ht="12.75" x14ac:dyDescent="0.2">
      <c r="A293" s="24"/>
      <c r="B293" s="24"/>
      <c r="D293" s="25"/>
      <c r="E293" s="24"/>
      <c r="F293" s="24"/>
    </row>
    <row r="294" spans="1:6" ht="12.75" x14ac:dyDescent="0.2">
      <c r="A294" s="24"/>
      <c r="B294" s="24"/>
      <c r="D294" s="25"/>
      <c r="E294" s="24"/>
      <c r="F294" s="24"/>
    </row>
    <row r="295" spans="1:6" ht="12.75" x14ac:dyDescent="0.2">
      <c r="A295" s="24"/>
      <c r="B295" s="24"/>
      <c r="D295" s="25"/>
      <c r="E295" s="24"/>
      <c r="F295" s="24"/>
    </row>
    <row r="296" spans="1:6" ht="12.75" x14ac:dyDescent="0.2">
      <c r="A296" s="24"/>
      <c r="B296" s="24"/>
      <c r="D296" s="25"/>
      <c r="E296" s="24"/>
      <c r="F296" s="24"/>
    </row>
    <row r="297" spans="1:6" ht="12.75" x14ac:dyDescent="0.2">
      <c r="A297" s="24"/>
      <c r="B297" s="24"/>
      <c r="D297" s="25"/>
      <c r="E297" s="24"/>
      <c r="F297" s="24"/>
    </row>
    <row r="298" spans="1:6" ht="12.75" x14ac:dyDescent="0.2">
      <c r="A298" s="24"/>
      <c r="B298" s="24"/>
      <c r="D298" s="25"/>
      <c r="E298" s="24"/>
      <c r="F298" s="24"/>
    </row>
    <row r="299" spans="1:6" ht="12.75" x14ac:dyDescent="0.2">
      <c r="A299" s="24"/>
      <c r="B299" s="24"/>
      <c r="D299" s="25"/>
      <c r="E299" s="24"/>
      <c r="F299" s="24"/>
    </row>
    <row r="300" spans="1:6" ht="12.75" x14ac:dyDescent="0.2">
      <c r="A300" s="24"/>
      <c r="B300" s="24"/>
      <c r="D300" s="25"/>
      <c r="E300" s="24"/>
      <c r="F300" s="24"/>
    </row>
    <row r="301" spans="1:6" ht="12.75" x14ac:dyDescent="0.2">
      <c r="A301" s="24"/>
      <c r="B301" s="24"/>
      <c r="D301" s="25"/>
      <c r="E301" s="24"/>
      <c r="F301" s="24"/>
    </row>
    <row r="302" spans="1:6" ht="12.75" x14ac:dyDescent="0.2">
      <c r="A302" s="24"/>
      <c r="B302" s="24"/>
      <c r="D302" s="25"/>
      <c r="E302" s="24"/>
      <c r="F302" s="24"/>
    </row>
    <row r="303" spans="1:6" ht="12.75" x14ac:dyDescent="0.2">
      <c r="A303" s="24"/>
      <c r="B303" s="24"/>
      <c r="D303" s="25"/>
      <c r="E303" s="24"/>
      <c r="F303" s="24"/>
    </row>
    <row r="304" spans="1:6" ht="12.75" x14ac:dyDescent="0.2">
      <c r="A304" s="24"/>
      <c r="B304" s="24"/>
      <c r="D304" s="25"/>
      <c r="E304" s="24"/>
      <c r="F304" s="24"/>
    </row>
    <row r="305" spans="1:6" ht="12.75" x14ac:dyDescent="0.2">
      <c r="A305" s="24"/>
      <c r="B305" s="24"/>
      <c r="D305" s="25"/>
      <c r="E305" s="24"/>
      <c r="F305" s="24"/>
    </row>
    <row r="306" spans="1:6" ht="12.75" x14ac:dyDescent="0.2">
      <c r="A306" s="24"/>
      <c r="B306" s="24"/>
      <c r="D306" s="25"/>
      <c r="E306" s="24"/>
      <c r="F306" s="24"/>
    </row>
    <row r="307" spans="1:6" ht="12.75" x14ac:dyDescent="0.2">
      <c r="A307" s="24"/>
      <c r="B307" s="24"/>
      <c r="D307" s="25"/>
      <c r="E307" s="24"/>
      <c r="F307" s="24"/>
    </row>
    <row r="308" spans="1:6" ht="12.75" x14ac:dyDescent="0.2">
      <c r="A308" s="24"/>
      <c r="B308" s="24"/>
      <c r="D308" s="25"/>
      <c r="E308" s="24"/>
      <c r="F308" s="24"/>
    </row>
    <row r="309" spans="1:6" ht="12.75" x14ac:dyDescent="0.2">
      <c r="A309" s="24"/>
      <c r="B309" s="24"/>
      <c r="D309" s="25"/>
      <c r="E309" s="24"/>
      <c r="F309" s="24"/>
    </row>
    <row r="310" spans="1:6" ht="12.75" x14ac:dyDescent="0.2">
      <c r="A310" s="24"/>
      <c r="B310" s="24"/>
      <c r="D310" s="25"/>
      <c r="E310" s="24"/>
      <c r="F310" s="24"/>
    </row>
    <row r="311" spans="1:6" ht="12.75" x14ac:dyDescent="0.2">
      <c r="A311" s="24"/>
      <c r="B311" s="24"/>
      <c r="D311" s="25"/>
      <c r="E311" s="24"/>
      <c r="F311" s="24"/>
    </row>
    <row r="312" spans="1:6" ht="12.75" x14ac:dyDescent="0.2">
      <c r="A312" s="24"/>
      <c r="B312" s="24"/>
      <c r="D312" s="25"/>
      <c r="E312" s="24"/>
      <c r="F312" s="24"/>
    </row>
    <row r="313" spans="1:6" ht="12.75" x14ac:dyDescent="0.2">
      <c r="A313" s="24"/>
      <c r="B313" s="24"/>
      <c r="D313" s="25"/>
      <c r="E313" s="24"/>
      <c r="F313" s="24"/>
    </row>
    <row r="314" spans="1:6" ht="12.75" x14ac:dyDescent="0.2">
      <c r="A314" s="24"/>
      <c r="B314" s="24"/>
      <c r="D314" s="25"/>
      <c r="E314" s="24"/>
      <c r="F314" s="24"/>
    </row>
    <row r="315" spans="1:6" ht="12.75" x14ac:dyDescent="0.2">
      <c r="A315" s="24"/>
      <c r="B315" s="24"/>
      <c r="D315" s="25"/>
      <c r="E315" s="24"/>
      <c r="F315" s="24"/>
    </row>
    <row r="316" spans="1:6" ht="12.75" x14ac:dyDescent="0.2">
      <c r="A316" s="24"/>
      <c r="B316" s="24"/>
      <c r="D316" s="25"/>
      <c r="E316" s="24"/>
      <c r="F316" s="24"/>
    </row>
    <row r="317" spans="1:6" ht="12.75" x14ac:dyDescent="0.2">
      <c r="A317" s="24"/>
      <c r="B317" s="24"/>
      <c r="D317" s="25"/>
      <c r="E317" s="24"/>
      <c r="F317" s="24"/>
    </row>
    <row r="318" spans="1:6" ht="12.75" x14ac:dyDescent="0.2">
      <c r="A318" s="24"/>
      <c r="B318" s="24"/>
      <c r="D318" s="25"/>
      <c r="E318" s="24"/>
      <c r="F318" s="24"/>
    </row>
    <row r="319" spans="1:6" ht="12.75" x14ac:dyDescent="0.2">
      <c r="A319" s="24"/>
      <c r="B319" s="24"/>
      <c r="D319" s="25"/>
      <c r="E319" s="24"/>
      <c r="F319" s="24"/>
    </row>
    <row r="320" spans="1:6" ht="12.75" x14ac:dyDescent="0.2">
      <c r="A320" s="24"/>
      <c r="B320" s="24"/>
      <c r="D320" s="25"/>
      <c r="E320" s="24"/>
      <c r="F320" s="24"/>
    </row>
    <row r="321" spans="1:6" ht="12.75" x14ac:dyDescent="0.2">
      <c r="A321" s="24"/>
      <c r="B321" s="24"/>
      <c r="D321" s="25"/>
      <c r="E321" s="24"/>
      <c r="F321" s="24"/>
    </row>
    <row r="322" spans="1:6" ht="12.75" x14ac:dyDescent="0.2">
      <c r="A322" s="24"/>
      <c r="B322" s="24"/>
      <c r="D322" s="25"/>
      <c r="E322" s="24"/>
      <c r="F322" s="24"/>
    </row>
    <row r="323" spans="1:6" ht="12.75" x14ac:dyDescent="0.2">
      <c r="A323" s="24"/>
      <c r="B323" s="24"/>
      <c r="D323" s="25"/>
      <c r="E323" s="24"/>
      <c r="F323" s="24"/>
    </row>
    <row r="324" spans="1:6" ht="12.75" x14ac:dyDescent="0.2">
      <c r="A324" s="24"/>
      <c r="B324" s="24"/>
      <c r="D324" s="25"/>
      <c r="E324" s="24"/>
      <c r="F324" s="24"/>
    </row>
    <row r="325" spans="1:6" ht="12.75" x14ac:dyDescent="0.2">
      <c r="A325" s="24"/>
      <c r="B325" s="24"/>
      <c r="D325" s="25"/>
      <c r="E325" s="24"/>
      <c r="F325" s="24"/>
    </row>
    <row r="326" spans="1:6" ht="12.75" x14ac:dyDescent="0.2">
      <c r="A326" s="24"/>
      <c r="B326" s="24"/>
      <c r="D326" s="25"/>
      <c r="E326" s="24"/>
      <c r="F326" s="24"/>
    </row>
    <row r="327" spans="1:6" ht="12.75" x14ac:dyDescent="0.2">
      <c r="A327" s="24"/>
      <c r="B327" s="24"/>
      <c r="D327" s="25"/>
      <c r="E327" s="24"/>
      <c r="F327" s="24"/>
    </row>
    <row r="328" spans="1:6" ht="12.75" x14ac:dyDescent="0.2">
      <c r="A328" s="24"/>
      <c r="B328" s="24"/>
      <c r="D328" s="25"/>
      <c r="E328" s="24"/>
      <c r="F328" s="24"/>
    </row>
    <row r="329" spans="1:6" ht="12.75" x14ac:dyDescent="0.2">
      <c r="A329" s="24"/>
      <c r="B329" s="24"/>
      <c r="D329" s="25"/>
      <c r="E329" s="24"/>
      <c r="F329" s="24"/>
    </row>
    <row r="330" spans="1:6" ht="12.75" x14ac:dyDescent="0.2">
      <c r="A330" s="24"/>
      <c r="B330" s="24"/>
      <c r="D330" s="25"/>
      <c r="E330" s="24"/>
      <c r="F330" s="24"/>
    </row>
    <row r="331" spans="1:6" ht="12.75" x14ac:dyDescent="0.2">
      <c r="A331" s="24"/>
      <c r="B331" s="24"/>
      <c r="D331" s="25"/>
      <c r="E331" s="24"/>
      <c r="F331" s="24"/>
    </row>
    <row r="332" spans="1:6" ht="12.75" x14ac:dyDescent="0.2">
      <c r="A332" s="24"/>
      <c r="B332" s="24"/>
      <c r="D332" s="25"/>
      <c r="E332" s="24"/>
      <c r="F332" s="24"/>
    </row>
    <row r="333" spans="1:6" ht="12.75" x14ac:dyDescent="0.2">
      <c r="A333" s="24"/>
      <c r="B333" s="24"/>
      <c r="D333" s="25"/>
      <c r="E333" s="24"/>
      <c r="F333" s="24"/>
    </row>
    <row r="334" spans="1:6" ht="12.75" x14ac:dyDescent="0.2">
      <c r="A334" s="24"/>
      <c r="B334" s="24"/>
      <c r="D334" s="25"/>
      <c r="E334" s="24"/>
      <c r="F334" s="24"/>
    </row>
    <row r="335" spans="1:6" ht="12.75" x14ac:dyDescent="0.2">
      <c r="A335" s="24"/>
      <c r="B335" s="24"/>
      <c r="D335" s="25"/>
      <c r="E335" s="24"/>
      <c r="F335" s="24"/>
    </row>
    <row r="336" spans="1:6" ht="12.75" x14ac:dyDescent="0.2">
      <c r="A336" s="24"/>
      <c r="B336" s="24"/>
      <c r="D336" s="25"/>
      <c r="E336" s="24"/>
      <c r="F336" s="24"/>
    </row>
    <row r="337" spans="1:6" ht="12.75" x14ac:dyDescent="0.2">
      <c r="A337" s="24"/>
      <c r="B337" s="24"/>
      <c r="D337" s="25"/>
      <c r="E337" s="24"/>
      <c r="F337" s="24"/>
    </row>
    <row r="338" spans="1:6" ht="12.75" x14ac:dyDescent="0.2">
      <c r="A338" s="24"/>
      <c r="B338" s="24"/>
      <c r="D338" s="25"/>
      <c r="E338" s="24"/>
      <c r="F338" s="24"/>
    </row>
    <row r="339" spans="1:6" ht="12.75" x14ac:dyDescent="0.2">
      <c r="A339" s="24"/>
      <c r="B339" s="24"/>
      <c r="D339" s="25"/>
      <c r="E339" s="24"/>
      <c r="F339" s="24"/>
    </row>
    <row r="340" spans="1:6" ht="12.75" x14ac:dyDescent="0.2">
      <c r="A340" s="24"/>
      <c r="B340" s="24"/>
      <c r="D340" s="25"/>
      <c r="E340" s="24"/>
      <c r="F340" s="24"/>
    </row>
    <row r="341" spans="1:6" ht="12.75" x14ac:dyDescent="0.2">
      <c r="A341" s="24"/>
      <c r="B341" s="24"/>
      <c r="D341" s="25"/>
      <c r="E341" s="24"/>
      <c r="F341" s="24"/>
    </row>
    <row r="342" spans="1:6" ht="12.75" x14ac:dyDescent="0.2">
      <c r="A342" s="24"/>
      <c r="B342" s="24"/>
      <c r="D342" s="25"/>
      <c r="E342" s="24"/>
      <c r="F342" s="24"/>
    </row>
    <row r="343" spans="1:6" ht="12.75" x14ac:dyDescent="0.2">
      <c r="A343" s="24"/>
      <c r="B343" s="24"/>
      <c r="D343" s="25"/>
      <c r="E343" s="24"/>
      <c r="F343" s="24"/>
    </row>
    <row r="344" spans="1:6" ht="12.75" x14ac:dyDescent="0.2">
      <c r="A344" s="24"/>
      <c r="B344" s="24"/>
      <c r="D344" s="25"/>
      <c r="E344" s="24"/>
      <c r="F344" s="24"/>
    </row>
    <row r="345" spans="1:6" ht="12.75" x14ac:dyDescent="0.2">
      <c r="A345" s="24"/>
      <c r="B345" s="24"/>
      <c r="D345" s="25"/>
      <c r="E345" s="24"/>
      <c r="F345" s="24"/>
    </row>
    <row r="346" spans="1:6" ht="12.75" x14ac:dyDescent="0.2">
      <c r="A346" s="24"/>
      <c r="B346" s="24"/>
      <c r="D346" s="25"/>
      <c r="E346" s="24"/>
      <c r="F346" s="24"/>
    </row>
    <row r="347" spans="1:6" ht="12.75" x14ac:dyDescent="0.2">
      <c r="A347" s="24"/>
      <c r="B347" s="24"/>
      <c r="D347" s="25"/>
      <c r="E347" s="24"/>
      <c r="F347" s="24"/>
    </row>
    <row r="348" spans="1:6" ht="12.75" x14ac:dyDescent="0.2">
      <c r="A348" s="24"/>
      <c r="B348" s="24"/>
      <c r="D348" s="25"/>
      <c r="E348" s="24"/>
      <c r="F348" s="24"/>
    </row>
    <row r="349" spans="1:6" ht="12.75" x14ac:dyDescent="0.2">
      <c r="A349" s="24"/>
      <c r="B349" s="24"/>
      <c r="D349" s="25"/>
      <c r="E349" s="24"/>
      <c r="F349" s="24"/>
    </row>
    <row r="350" spans="1:6" ht="12.75" x14ac:dyDescent="0.2">
      <c r="A350" s="24"/>
      <c r="B350" s="24"/>
      <c r="D350" s="25"/>
      <c r="E350" s="24"/>
      <c r="F350" s="24"/>
    </row>
    <row r="351" spans="1:6" ht="12.75" x14ac:dyDescent="0.2">
      <c r="A351" s="24"/>
      <c r="B351" s="24"/>
      <c r="D351" s="25"/>
      <c r="E351" s="24"/>
      <c r="F351" s="24"/>
    </row>
    <row r="352" spans="1:6" ht="12.75" x14ac:dyDescent="0.2">
      <c r="A352" s="24"/>
      <c r="B352" s="24"/>
      <c r="D352" s="25"/>
      <c r="E352" s="24"/>
      <c r="F352" s="24"/>
    </row>
    <row r="353" spans="1:6" ht="12.75" x14ac:dyDescent="0.2">
      <c r="A353" s="24"/>
      <c r="B353" s="24"/>
      <c r="D353" s="25"/>
      <c r="E353" s="24"/>
      <c r="F353" s="24"/>
    </row>
    <row r="354" spans="1:6" ht="12.75" x14ac:dyDescent="0.2">
      <c r="A354" s="24"/>
      <c r="B354" s="24"/>
      <c r="D354" s="25"/>
      <c r="E354" s="24"/>
      <c r="F354" s="24"/>
    </row>
    <row r="355" spans="1:6" ht="12.75" x14ac:dyDescent="0.2">
      <c r="A355" s="24"/>
      <c r="B355" s="24"/>
      <c r="D355" s="25"/>
      <c r="E355" s="24"/>
      <c r="F355" s="24"/>
    </row>
    <row r="356" spans="1:6" ht="12.75" x14ac:dyDescent="0.2">
      <c r="A356" s="24"/>
      <c r="B356" s="24"/>
      <c r="D356" s="25"/>
      <c r="E356" s="24"/>
      <c r="F356" s="24"/>
    </row>
    <row r="357" spans="1:6" ht="12.75" x14ac:dyDescent="0.2">
      <c r="A357" s="24"/>
      <c r="B357" s="24"/>
      <c r="D357" s="25"/>
      <c r="E357" s="24"/>
      <c r="F357" s="24"/>
    </row>
    <row r="358" spans="1:6" ht="12.75" x14ac:dyDescent="0.2">
      <c r="A358" s="24"/>
      <c r="B358" s="24"/>
      <c r="D358" s="25"/>
      <c r="E358" s="24"/>
      <c r="F358" s="24"/>
    </row>
    <row r="359" spans="1:6" ht="12.75" x14ac:dyDescent="0.2">
      <c r="A359" s="24"/>
      <c r="B359" s="24"/>
      <c r="D359" s="25"/>
      <c r="E359" s="24"/>
      <c r="F359" s="24"/>
    </row>
    <row r="360" spans="1:6" ht="12.75" x14ac:dyDescent="0.2">
      <c r="A360" s="24"/>
      <c r="B360" s="24"/>
      <c r="D360" s="25"/>
      <c r="E360" s="24"/>
      <c r="F360" s="24"/>
    </row>
    <row r="361" spans="1:6" ht="12.75" x14ac:dyDescent="0.2">
      <c r="A361" s="24"/>
      <c r="B361" s="24"/>
      <c r="D361" s="25"/>
      <c r="E361" s="24"/>
      <c r="F361" s="24"/>
    </row>
    <row r="362" spans="1:6" ht="12.75" x14ac:dyDescent="0.2">
      <c r="A362" s="24"/>
      <c r="B362" s="24"/>
      <c r="D362" s="25"/>
      <c r="E362" s="24"/>
      <c r="F362" s="24"/>
    </row>
    <row r="363" spans="1:6" ht="12.75" x14ac:dyDescent="0.2">
      <c r="A363" s="24"/>
      <c r="B363" s="24"/>
      <c r="D363" s="25"/>
      <c r="E363" s="24"/>
      <c r="F363" s="24"/>
    </row>
    <row r="364" spans="1:6" ht="12.75" x14ac:dyDescent="0.2">
      <c r="A364" s="24"/>
      <c r="B364" s="24"/>
      <c r="D364" s="25"/>
      <c r="E364" s="24"/>
      <c r="F364" s="24"/>
    </row>
    <row r="365" spans="1:6" ht="12.75" x14ac:dyDescent="0.2">
      <c r="A365" s="24"/>
      <c r="B365" s="24"/>
      <c r="D365" s="25"/>
      <c r="E365" s="24"/>
      <c r="F365" s="24"/>
    </row>
    <row r="366" spans="1:6" ht="12.75" x14ac:dyDescent="0.2">
      <c r="A366" s="24"/>
      <c r="B366" s="24"/>
      <c r="D366" s="25"/>
      <c r="E366" s="24"/>
      <c r="F366" s="24"/>
    </row>
    <row r="367" spans="1:6" ht="12.75" x14ac:dyDescent="0.2">
      <c r="A367" s="24"/>
      <c r="B367" s="24"/>
      <c r="D367" s="25"/>
      <c r="E367" s="24"/>
      <c r="F367" s="24"/>
    </row>
    <row r="368" spans="1:6" ht="12.75" x14ac:dyDescent="0.2">
      <c r="A368" s="24"/>
      <c r="B368" s="24"/>
      <c r="D368" s="25"/>
      <c r="E368" s="24"/>
      <c r="F368" s="24"/>
    </row>
    <row r="369" spans="1:6" ht="12.75" x14ac:dyDescent="0.2">
      <c r="A369" s="24"/>
      <c r="B369" s="24"/>
      <c r="D369" s="25"/>
      <c r="E369" s="24"/>
      <c r="F369" s="24"/>
    </row>
    <row r="370" spans="1:6" ht="12.75" x14ac:dyDescent="0.2">
      <c r="A370" s="24"/>
      <c r="B370" s="24"/>
      <c r="D370" s="25"/>
      <c r="E370" s="24"/>
      <c r="F370" s="24"/>
    </row>
    <row r="371" spans="1:6" ht="12.75" x14ac:dyDescent="0.2">
      <c r="A371" s="24"/>
      <c r="B371" s="24"/>
      <c r="D371" s="25"/>
      <c r="E371" s="24"/>
      <c r="F371" s="24"/>
    </row>
    <row r="372" spans="1:6" ht="12.75" x14ac:dyDescent="0.2">
      <c r="A372" s="24"/>
      <c r="B372" s="24"/>
      <c r="D372" s="25"/>
      <c r="E372" s="24"/>
      <c r="F372" s="24"/>
    </row>
    <row r="373" spans="1:6" ht="12.75" x14ac:dyDescent="0.2">
      <c r="A373" s="24"/>
      <c r="B373" s="24"/>
      <c r="D373" s="25"/>
      <c r="E373" s="24"/>
      <c r="F373" s="24"/>
    </row>
    <row r="374" spans="1:6" ht="12.75" x14ac:dyDescent="0.2">
      <c r="A374" s="24"/>
      <c r="B374" s="24"/>
      <c r="D374" s="25"/>
      <c r="E374" s="24"/>
      <c r="F374" s="24"/>
    </row>
    <row r="375" spans="1:6" ht="12.75" x14ac:dyDescent="0.2">
      <c r="A375" s="24"/>
      <c r="B375" s="24"/>
      <c r="D375" s="25"/>
      <c r="E375" s="24"/>
      <c r="F375" s="24"/>
    </row>
    <row r="376" spans="1:6" ht="12.75" x14ac:dyDescent="0.2">
      <c r="A376" s="24"/>
      <c r="B376" s="24"/>
      <c r="D376" s="25"/>
      <c r="E376" s="24"/>
      <c r="F376" s="24"/>
    </row>
    <row r="377" spans="1:6" ht="12.75" x14ac:dyDescent="0.2">
      <c r="A377" s="24"/>
      <c r="B377" s="24"/>
      <c r="D377" s="25"/>
      <c r="E377" s="24"/>
      <c r="F377" s="24"/>
    </row>
    <row r="378" spans="1:6" ht="12.75" x14ac:dyDescent="0.2">
      <c r="A378" s="24"/>
      <c r="B378" s="24"/>
      <c r="D378" s="25"/>
      <c r="E378" s="24"/>
      <c r="F378" s="24"/>
    </row>
    <row r="379" spans="1:6" ht="12.75" x14ac:dyDescent="0.2">
      <c r="A379" s="24"/>
      <c r="B379" s="24"/>
      <c r="D379" s="25"/>
      <c r="E379" s="24"/>
      <c r="F379" s="24"/>
    </row>
    <row r="380" spans="1:6" ht="12.75" x14ac:dyDescent="0.2">
      <c r="A380" s="24"/>
      <c r="B380" s="24"/>
      <c r="D380" s="25"/>
      <c r="E380" s="24"/>
      <c r="F380" s="24"/>
    </row>
    <row r="381" spans="1:6" ht="12.75" x14ac:dyDescent="0.2">
      <c r="A381" s="24"/>
      <c r="B381" s="24"/>
      <c r="D381" s="25"/>
      <c r="E381" s="24"/>
      <c r="F381" s="24"/>
    </row>
    <row r="382" spans="1:6" ht="12.75" x14ac:dyDescent="0.2">
      <c r="A382" s="24"/>
      <c r="B382" s="24"/>
      <c r="D382" s="25"/>
      <c r="E382" s="24"/>
      <c r="F382" s="24"/>
    </row>
    <row r="383" spans="1:6" ht="12.75" x14ac:dyDescent="0.2">
      <c r="A383" s="24"/>
      <c r="B383" s="24"/>
      <c r="D383" s="25"/>
      <c r="E383" s="24"/>
      <c r="F383" s="24"/>
    </row>
    <row r="384" spans="1:6" ht="12.75" x14ac:dyDescent="0.2">
      <c r="A384" s="24"/>
      <c r="B384" s="24"/>
      <c r="D384" s="25"/>
      <c r="E384" s="24"/>
      <c r="F384" s="24"/>
    </row>
    <row r="385" spans="1:6" ht="12.75" x14ac:dyDescent="0.2">
      <c r="A385" s="24"/>
      <c r="B385" s="24"/>
      <c r="D385" s="25"/>
      <c r="E385" s="24"/>
      <c r="F385" s="24"/>
    </row>
    <row r="386" spans="1:6" ht="12.75" x14ac:dyDescent="0.2">
      <c r="A386" s="24"/>
      <c r="B386" s="24"/>
      <c r="D386" s="25"/>
      <c r="E386" s="24"/>
      <c r="F386" s="24"/>
    </row>
    <row r="387" spans="1:6" ht="12.75" x14ac:dyDescent="0.2">
      <c r="A387" s="24"/>
      <c r="B387" s="24"/>
      <c r="D387" s="25"/>
      <c r="E387" s="24"/>
      <c r="F387" s="24"/>
    </row>
    <row r="388" spans="1:6" ht="12.75" x14ac:dyDescent="0.2">
      <c r="A388" s="24"/>
      <c r="B388" s="24"/>
      <c r="D388" s="25"/>
      <c r="E388" s="24"/>
      <c r="F388" s="24"/>
    </row>
    <row r="389" spans="1:6" ht="12.75" x14ac:dyDescent="0.2">
      <c r="A389" s="24"/>
      <c r="B389" s="24"/>
      <c r="D389" s="25"/>
      <c r="E389" s="24"/>
      <c r="F389" s="24"/>
    </row>
    <row r="390" spans="1:6" ht="12.75" x14ac:dyDescent="0.2">
      <c r="A390" s="24"/>
      <c r="B390" s="24"/>
      <c r="D390" s="25"/>
      <c r="E390" s="24"/>
      <c r="F390" s="24"/>
    </row>
    <row r="391" spans="1:6" ht="12.75" x14ac:dyDescent="0.2">
      <c r="A391" s="24"/>
      <c r="B391" s="24"/>
      <c r="D391" s="25"/>
      <c r="E391" s="24"/>
      <c r="F391" s="24"/>
    </row>
    <row r="392" spans="1:6" ht="12.75" x14ac:dyDescent="0.2">
      <c r="A392" s="24"/>
      <c r="B392" s="24"/>
      <c r="D392" s="25"/>
      <c r="E392" s="24"/>
      <c r="F392" s="24"/>
    </row>
    <row r="393" spans="1:6" ht="12.75" x14ac:dyDescent="0.2">
      <c r="A393" s="24"/>
      <c r="B393" s="24"/>
      <c r="D393" s="25"/>
      <c r="E393" s="24"/>
      <c r="F393" s="24"/>
    </row>
    <row r="394" spans="1:6" ht="12.75" x14ac:dyDescent="0.2">
      <c r="A394" s="24"/>
      <c r="B394" s="24"/>
      <c r="D394" s="25"/>
      <c r="E394" s="24"/>
      <c r="F394" s="24"/>
    </row>
    <row r="395" spans="1:6" ht="12.75" x14ac:dyDescent="0.2">
      <c r="A395" s="24"/>
      <c r="B395" s="24"/>
      <c r="D395" s="25"/>
      <c r="E395" s="24"/>
      <c r="F395" s="24"/>
    </row>
    <row r="396" spans="1:6" ht="12.75" x14ac:dyDescent="0.2">
      <c r="A396" s="24"/>
      <c r="B396" s="24"/>
      <c r="D396" s="25"/>
      <c r="E396" s="24"/>
      <c r="F396" s="24"/>
    </row>
    <row r="397" spans="1:6" ht="12.75" x14ac:dyDescent="0.2">
      <c r="A397" s="24"/>
      <c r="B397" s="24"/>
      <c r="D397" s="25"/>
      <c r="E397" s="24"/>
      <c r="F397" s="24"/>
    </row>
    <row r="398" spans="1:6" ht="12.75" x14ac:dyDescent="0.2">
      <c r="A398" s="24"/>
      <c r="B398" s="24"/>
      <c r="D398" s="25"/>
      <c r="E398" s="24"/>
      <c r="F398" s="24"/>
    </row>
    <row r="399" spans="1:6" ht="12.75" x14ac:dyDescent="0.2">
      <c r="A399" s="24"/>
      <c r="B399" s="24"/>
      <c r="D399" s="25"/>
      <c r="E399" s="24"/>
      <c r="F399" s="24"/>
    </row>
    <row r="400" spans="1:6" ht="12.75" x14ac:dyDescent="0.2">
      <c r="A400" s="24"/>
      <c r="B400" s="24"/>
      <c r="D400" s="25"/>
      <c r="E400" s="24"/>
      <c r="F400" s="24"/>
    </row>
    <row r="401" spans="1:6" ht="12.75" x14ac:dyDescent="0.2">
      <c r="A401" s="24"/>
      <c r="B401" s="24"/>
      <c r="D401" s="25"/>
      <c r="E401" s="24"/>
      <c r="F401" s="24"/>
    </row>
    <row r="402" spans="1:6" ht="12.75" x14ac:dyDescent="0.2">
      <c r="A402" s="24"/>
      <c r="B402" s="24"/>
      <c r="D402" s="25"/>
      <c r="E402" s="24"/>
      <c r="F402" s="24"/>
    </row>
    <row r="403" spans="1:6" ht="12.75" x14ac:dyDescent="0.2">
      <c r="A403" s="24"/>
      <c r="B403" s="24"/>
      <c r="D403" s="25"/>
      <c r="E403" s="24"/>
      <c r="F403" s="24"/>
    </row>
    <row r="404" spans="1:6" ht="12.75" x14ac:dyDescent="0.2">
      <c r="A404" s="24"/>
      <c r="B404" s="24"/>
      <c r="D404" s="25"/>
      <c r="E404" s="24"/>
      <c r="F404" s="24"/>
    </row>
    <row r="405" spans="1:6" ht="12.75" x14ac:dyDescent="0.2">
      <c r="A405" s="24"/>
      <c r="B405" s="24"/>
      <c r="D405" s="25"/>
      <c r="E405" s="24"/>
      <c r="F405" s="24"/>
    </row>
    <row r="406" spans="1:6" ht="12.75" x14ac:dyDescent="0.2">
      <c r="A406" s="24"/>
      <c r="B406" s="24"/>
      <c r="D406" s="25"/>
      <c r="E406" s="24"/>
      <c r="F406" s="24"/>
    </row>
    <row r="407" spans="1:6" ht="12.75" x14ac:dyDescent="0.2">
      <c r="A407" s="24"/>
      <c r="B407" s="24"/>
      <c r="D407" s="25"/>
      <c r="E407" s="24"/>
      <c r="F407" s="24"/>
    </row>
    <row r="408" spans="1:6" ht="12.75" x14ac:dyDescent="0.2">
      <c r="A408" s="24"/>
      <c r="B408" s="24"/>
      <c r="D408" s="25"/>
      <c r="E408" s="24"/>
      <c r="F408" s="24"/>
    </row>
    <row r="409" spans="1:6" ht="12.75" x14ac:dyDescent="0.2">
      <c r="A409" s="24"/>
      <c r="B409" s="24"/>
      <c r="D409" s="25"/>
      <c r="E409" s="24"/>
      <c r="F409" s="24"/>
    </row>
    <row r="410" spans="1:6" ht="12.75" x14ac:dyDescent="0.2">
      <c r="A410" s="24"/>
      <c r="B410" s="24"/>
      <c r="D410" s="25"/>
      <c r="E410" s="24"/>
      <c r="F410" s="24"/>
    </row>
    <row r="411" spans="1:6" ht="12.75" x14ac:dyDescent="0.2">
      <c r="A411" s="24"/>
      <c r="B411" s="24"/>
      <c r="D411" s="25"/>
      <c r="E411" s="24"/>
      <c r="F411" s="24"/>
    </row>
    <row r="412" spans="1:6" ht="12.75" x14ac:dyDescent="0.2">
      <c r="A412" s="24"/>
      <c r="B412" s="24"/>
      <c r="D412" s="25"/>
      <c r="E412" s="24"/>
      <c r="F412" s="24"/>
    </row>
    <row r="413" spans="1:6" ht="12.75" x14ac:dyDescent="0.2">
      <c r="A413" s="24"/>
      <c r="B413" s="24"/>
      <c r="D413" s="25"/>
      <c r="E413" s="24"/>
      <c r="F413" s="24"/>
    </row>
    <row r="414" spans="1:6" ht="12.75" x14ac:dyDescent="0.2">
      <c r="A414" s="24"/>
      <c r="B414" s="24"/>
      <c r="D414" s="25"/>
      <c r="E414" s="24"/>
      <c r="F414" s="24"/>
    </row>
    <row r="415" spans="1:6" ht="12.75" x14ac:dyDescent="0.2">
      <c r="A415" s="24"/>
      <c r="B415" s="24"/>
      <c r="D415" s="25"/>
      <c r="E415" s="24"/>
      <c r="F415" s="24"/>
    </row>
    <row r="416" spans="1:6" ht="12.75" x14ac:dyDescent="0.2">
      <c r="A416" s="24"/>
      <c r="B416" s="24"/>
      <c r="D416" s="25"/>
      <c r="E416" s="24"/>
      <c r="F416" s="24"/>
    </row>
    <row r="417" spans="1:6" ht="12.75" x14ac:dyDescent="0.2">
      <c r="A417" s="24"/>
      <c r="B417" s="24"/>
      <c r="D417" s="25"/>
      <c r="E417" s="24"/>
      <c r="F417" s="24"/>
    </row>
    <row r="418" spans="1:6" ht="12.75" x14ac:dyDescent="0.2">
      <c r="A418" s="24"/>
      <c r="B418" s="24"/>
      <c r="D418" s="25"/>
      <c r="E418" s="24"/>
      <c r="F418" s="24"/>
    </row>
    <row r="419" spans="1:6" ht="12.75" x14ac:dyDescent="0.2">
      <c r="A419" s="24"/>
      <c r="B419" s="24"/>
      <c r="D419" s="25"/>
      <c r="E419" s="24"/>
      <c r="F419" s="24"/>
    </row>
    <row r="420" spans="1:6" ht="12.75" x14ac:dyDescent="0.2">
      <c r="A420" s="24"/>
      <c r="B420" s="24"/>
      <c r="D420" s="25"/>
      <c r="E420" s="24"/>
      <c r="F420" s="24"/>
    </row>
    <row r="421" spans="1:6" ht="12.75" x14ac:dyDescent="0.2">
      <c r="A421" s="24"/>
      <c r="B421" s="24"/>
      <c r="D421" s="25"/>
      <c r="E421" s="24"/>
      <c r="F421" s="24"/>
    </row>
    <row r="422" spans="1:6" ht="12.75" x14ac:dyDescent="0.2">
      <c r="A422" s="24"/>
      <c r="B422" s="24"/>
      <c r="D422" s="25"/>
      <c r="E422" s="24"/>
      <c r="F422" s="24"/>
    </row>
    <row r="423" spans="1:6" ht="12.75" x14ac:dyDescent="0.2">
      <c r="A423" s="24"/>
      <c r="B423" s="24"/>
      <c r="D423" s="25"/>
      <c r="E423" s="24"/>
      <c r="F423" s="24"/>
    </row>
    <row r="424" spans="1:6" ht="12.75" x14ac:dyDescent="0.2">
      <c r="A424" s="24"/>
      <c r="B424" s="24"/>
      <c r="D424" s="25"/>
      <c r="E424" s="24"/>
      <c r="F424" s="24"/>
    </row>
    <row r="425" spans="1:6" ht="12.75" x14ac:dyDescent="0.2">
      <c r="A425" s="24"/>
      <c r="B425" s="24"/>
      <c r="D425" s="25"/>
      <c r="E425" s="24"/>
      <c r="F425" s="24"/>
    </row>
    <row r="426" spans="1:6" ht="12.75" x14ac:dyDescent="0.2">
      <c r="A426" s="24"/>
      <c r="B426" s="24"/>
      <c r="D426" s="25"/>
      <c r="E426" s="24"/>
      <c r="F426" s="24"/>
    </row>
    <row r="427" spans="1:6" ht="12.75" x14ac:dyDescent="0.2">
      <c r="A427" s="24"/>
      <c r="B427" s="24"/>
      <c r="D427" s="25"/>
      <c r="E427" s="24"/>
      <c r="F427" s="24"/>
    </row>
    <row r="428" spans="1:6" ht="12.75" x14ac:dyDescent="0.2">
      <c r="A428" s="24"/>
      <c r="B428" s="24"/>
      <c r="D428" s="25"/>
      <c r="E428" s="24"/>
      <c r="F428" s="24"/>
    </row>
    <row r="429" spans="1:6" ht="12.75" x14ac:dyDescent="0.2">
      <c r="A429" s="24"/>
      <c r="B429" s="24"/>
      <c r="D429" s="25"/>
      <c r="E429" s="24"/>
      <c r="F429" s="24"/>
    </row>
    <row r="430" spans="1:6" ht="12.75" x14ac:dyDescent="0.2">
      <c r="A430" s="24"/>
      <c r="B430" s="24"/>
      <c r="D430" s="25"/>
      <c r="E430" s="24"/>
      <c r="F430" s="24"/>
    </row>
    <row r="431" spans="1:6" ht="12.75" x14ac:dyDescent="0.2">
      <c r="A431" s="24"/>
      <c r="B431" s="24"/>
      <c r="D431" s="25"/>
      <c r="E431" s="24"/>
      <c r="F431" s="24"/>
    </row>
    <row r="432" spans="1:6" ht="12.75" x14ac:dyDescent="0.2">
      <c r="A432" s="24"/>
      <c r="B432" s="24"/>
      <c r="D432" s="25"/>
      <c r="E432" s="24"/>
      <c r="F432" s="24"/>
    </row>
    <row r="433" spans="1:6" ht="12.75" x14ac:dyDescent="0.2">
      <c r="A433" s="24"/>
      <c r="B433" s="24"/>
      <c r="D433" s="25"/>
      <c r="E433" s="24"/>
      <c r="F433" s="24"/>
    </row>
    <row r="434" spans="1:6" ht="12.75" x14ac:dyDescent="0.2">
      <c r="A434" s="24"/>
      <c r="B434" s="24"/>
      <c r="D434" s="25"/>
      <c r="E434" s="24"/>
      <c r="F434" s="24"/>
    </row>
    <row r="435" spans="1:6" ht="12.75" x14ac:dyDescent="0.2">
      <c r="A435" s="24"/>
      <c r="B435" s="24"/>
      <c r="D435" s="25"/>
      <c r="E435" s="24"/>
      <c r="F435" s="24"/>
    </row>
    <row r="436" spans="1:6" ht="12.75" x14ac:dyDescent="0.2">
      <c r="A436" s="24"/>
      <c r="B436" s="24"/>
      <c r="D436" s="25"/>
      <c r="E436" s="24"/>
      <c r="F436" s="24"/>
    </row>
    <row r="437" spans="1:6" ht="12.75" x14ac:dyDescent="0.2">
      <c r="A437" s="24"/>
      <c r="B437" s="24"/>
      <c r="D437" s="25"/>
      <c r="E437" s="24"/>
      <c r="F437" s="24"/>
    </row>
    <row r="438" spans="1:6" ht="12.75" x14ac:dyDescent="0.2">
      <c r="A438" s="24"/>
      <c r="B438" s="24"/>
      <c r="D438" s="25"/>
      <c r="E438" s="24"/>
      <c r="F438" s="24"/>
    </row>
    <row r="439" spans="1:6" ht="12.75" x14ac:dyDescent="0.2">
      <c r="A439" s="24"/>
      <c r="B439" s="24"/>
      <c r="D439" s="25"/>
      <c r="E439" s="24"/>
      <c r="F439" s="24"/>
    </row>
    <row r="440" spans="1:6" ht="12.75" x14ac:dyDescent="0.2">
      <c r="A440" s="24"/>
      <c r="B440" s="24"/>
      <c r="D440" s="25"/>
      <c r="E440" s="24"/>
      <c r="F440" s="24"/>
    </row>
    <row r="441" spans="1:6" ht="12.75" x14ac:dyDescent="0.2">
      <c r="A441" s="24"/>
      <c r="B441" s="24"/>
      <c r="D441" s="25"/>
      <c r="E441" s="24"/>
      <c r="F441" s="24"/>
    </row>
    <row r="442" spans="1:6" ht="12.75" x14ac:dyDescent="0.2">
      <c r="A442" s="24"/>
      <c r="B442" s="24"/>
      <c r="D442" s="25"/>
      <c r="E442" s="24"/>
      <c r="F442" s="24"/>
    </row>
    <row r="443" spans="1:6" ht="12.75" x14ac:dyDescent="0.2">
      <c r="A443" s="24"/>
      <c r="B443" s="24"/>
      <c r="D443" s="25"/>
      <c r="E443" s="24"/>
      <c r="F443" s="24"/>
    </row>
    <row r="444" spans="1:6" ht="12.75" x14ac:dyDescent="0.2">
      <c r="A444" s="24"/>
      <c r="B444" s="24"/>
      <c r="D444" s="25"/>
      <c r="E444" s="24"/>
      <c r="F444" s="24"/>
    </row>
    <row r="445" spans="1:6" ht="12.75" x14ac:dyDescent="0.2">
      <c r="A445" s="24"/>
      <c r="B445" s="24"/>
      <c r="D445" s="25"/>
      <c r="E445" s="24"/>
      <c r="F445" s="24"/>
    </row>
    <row r="446" spans="1:6" ht="12.75" x14ac:dyDescent="0.2">
      <c r="A446" s="24"/>
      <c r="B446" s="24"/>
      <c r="D446" s="25"/>
      <c r="E446" s="24"/>
      <c r="F446" s="24"/>
    </row>
    <row r="447" spans="1:6" ht="12.75" x14ac:dyDescent="0.2">
      <c r="A447" s="24"/>
      <c r="B447" s="24"/>
      <c r="D447" s="25"/>
      <c r="E447" s="24"/>
      <c r="F447" s="24"/>
    </row>
    <row r="448" spans="1:6" ht="12.75" x14ac:dyDescent="0.2">
      <c r="A448" s="24"/>
      <c r="B448" s="24"/>
      <c r="D448" s="25"/>
      <c r="E448" s="24"/>
      <c r="F448" s="24"/>
    </row>
    <row r="449" spans="1:6" ht="12.75" x14ac:dyDescent="0.2">
      <c r="A449" s="24"/>
      <c r="B449" s="24"/>
      <c r="D449" s="25"/>
      <c r="E449" s="24"/>
      <c r="F449" s="24"/>
    </row>
    <row r="450" spans="1:6" ht="12.75" x14ac:dyDescent="0.2">
      <c r="A450" s="24"/>
      <c r="B450" s="24"/>
      <c r="D450" s="25"/>
      <c r="E450" s="24"/>
      <c r="F450" s="24"/>
    </row>
    <row r="451" spans="1:6" ht="12.75" x14ac:dyDescent="0.2">
      <c r="A451" s="24"/>
      <c r="B451" s="24"/>
      <c r="D451" s="25"/>
      <c r="E451" s="24"/>
      <c r="F451" s="24"/>
    </row>
    <row r="452" spans="1:6" ht="12.75" x14ac:dyDescent="0.2">
      <c r="A452" s="24"/>
      <c r="B452" s="24"/>
      <c r="D452" s="25"/>
      <c r="E452" s="24"/>
      <c r="F452" s="24"/>
    </row>
    <row r="453" spans="1:6" ht="12.75" x14ac:dyDescent="0.2">
      <c r="A453" s="24"/>
      <c r="B453" s="24"/>
      <c r="D453" s="25"/>
      <c r="E453" s="24"/>
      <c r="F453" s="24"/>
    </row>
    <row r="454" spans="1:6" ht="12.75" x14ac:dyDescent="0.2">
      <c r="A454" s="24"/>
      <c r="B454" s="24"/>
      <c r="D454" s="25"/>
      <c r="E454" s="24"/>
      <c r="F454" s="24"/>
    </row>
    <row r="455" spans="1:6" ht="12.75" x14ac:dyDescent="0.2">
      <c r="A455" s="24"/>
      <c r="B455" s="24"/>
      <c r="D455" s="25"/>
      <c r="E455" s="24"/>
      <c r="F455" s="24"/>
    </row>
    <row r="456" spans="1:6" ht="12.75" x14ac:dyDescent="0.2">
      <c r="A456" s="24"/>
      <c r="B456" s="24"/>
      <c r="D456" s="25"/>
      <c r="E456" s="24"/>
      <c r="F456" s="24"/>
    </row>
    <row r="457" spans="1:6" ht="12.75" x14ac:dyDescent="0.2">
      <c r="A457" s="24"/>
      <c r="B457" s="24"/>
      <c r="D457" s="25"/>
      <c r="E457" s="24"/>
      <c r="F457" s="24"/>
    </row>
    <row r="458" spans="1:6" ht="12.75" x14ac:dyDescent="0.2">
      <c r="A458" s="24"/>
      <c r="B458" s="24"/>
      <c r="D458" s="25"/>
      <c r="E458" s="24"/>
      <c r="F458" s="24"/>
    </row>
    <row r="459" spans="1:6" ht="12.75" x14ac:dyDescent="0.2">
      <c r="A459" s="24"/>
      <c r="B459" s="24"/>
      <c r="D459" s="25"/>
      <c r="E459" s="24"/>
      <c r="F459" s="24"/>
    </row>
    <row r="460" spans="1:6" ht="12.75" x14ac:dyDescent="0.2">
      <c r="A460" s="24"/>
      <c r="B460" s="24"/>
      <c r="D460" s="25"/>
      <c r="E460" s="24"/>
      <c r="F460" s="24"/>
    </row>
    <row r="461" spans="1:6" ht="12.75" x14ac:dyDescent="0.2">
      <c r="A461" s="24"/>
      <c r="B461" s="24"/>
      <c r="D461" s="25"/>
      <c r="E461" s="24"/>
      <c r="F461" s="24"/>
    </row>
    <row r="462" spans="1:6" ht="12.75" x14ac:dyDescent="0.2">
      <c r="A462" s="24"/>
      <c r="B462" s="24"/>
      <c r="D462" s="25"/>
      <c r="E462" s="24"/>
      <c r="F462" s="24"/>
    </row>
    <row r="463" spans="1:6" ht="12.75" x14ac:dyDescent="0.2">
      <c r="A463" s="24"/>
      <c r="B463" s="24"/>
      <c r="D463" s="25"/>
      <c r="E463" s="24"/>
      <c r="F463" s="24"/>
    </row>
    <row r="464" spans="1:6" ht="12.75" x14ac:dyDescent="0.2">
      <c r="A464" s="24"/>
      <c r="B464" s="24"/>
      <c r="D464" s="25"/>
      <c r="E464" s="24"/>
      <c r="F464" s="24"/>
    </row>
    <row r="465" spans="1:6" ht="12.75" x14ac:dyDescent="0.2">
      <c r="A465" s="24"/>
      <c r="B465" s="24"/>
      <c r="D465" s="25"/>
      <c r="E465" s="24"/>
      <c r="F465" s="24"/>
    </row>
    <row r="466" spans="1:6" ht="12.75" x14ac:dyDescent="0.2">
      <c r="A466" s="24"/>
      <c r="B466" s="24"/>
      <c r="D466" s="25"/>
      <c r="E466" s="24"/>
      <c r="F466" s="24"/>
    </row>
    <row r="467" spans="1:6" ht="12.75" x14ac:dyDescent="0.2">
      <c r="A467" s="24"/>
      <c r="B467" s="24"/>
      <c r="D467" s="25"/>
      <c r="E467" s="24"/>
      <c r="F467" s="24"/>
    </row>
    <row r="468" spans="1:6" ht="12.75" x14ac:dyDescent="0.2">
      <c r="A468" s="24"/>
      <c r="B468" s="24"/>
      <c r="D468" s="25"/>
      <c r="E468" s="24"/>
      <c r="F468" s="24"/>
    </row>
    <row r="469" spans="1:6" ht="12.75" x14ac:dyDescent="0.2">
      <c r="A469" s="24"/>
      <c r="B469" s="24"/>
      <c r="D469" s="25"/>
      <c r="E469" s="24"/>
      <c r="F469" s="24"/>
    </row>
    <row r="470" spans="1:6" ht="12.75" x14ac:dyDescent="0.2">
      <c r="A470" s="24"/>
      <c r="B470" s="24"/>
      <c r="D470" s="25"/>
      <c r="E470" s="24"/>
      <c r="F470" s="24"/>
    </row>
    <row r="471" spans="1:6" ht="12.75" x14ac:dyDescent="0.2">
      <c r="A471" s="24"/>
      <c r="B471" s="24"/>
      <c r="D471" s="25"/>
      <c r="E471" s="24"/>
      <c r="F471" s="24"/>
    </row>
    <row r="472" spans="1:6" ht="12.75" x14ac:dyDescent="0.2">
      <c r="A472" s="24"/>
      <c r="B472" s="24"/>
      <c r="D472" s="25"/>
      <c r="E472" s="24"/>
      <c r="F472" s="24"/>
    </row>
    <row r="473" spans="1:6" ht="12.75" x14ac:dyDescent="0.2">
      <c r="A473" s="24"/>
      <c r="B473" s="24"/>
      <c r="D473" s="25"/>
      <c r="E473" s="24"/>
      <c r="F473" s="24"/>
    </row>
    <row r="474" spans="1:6" ht="12.75" x14ac:dyDescent="0.2">
      <c r="A474" s="24"/>
      <c r="B474" s="24"/>
      <c r="D474" s="25"/>
      <c r="E474" s="24"/>
      <c r="F474" s="24"/>
    </row>
    <row r="475" spans="1:6" ht="12.75" x14ac:dyDescent="0.2">
      <c r="A475" s="24"/>
      <c r="B475" s="24"/>
      <c r="D475" s="25"/>
      <c r="E475" s="24"/>
      <c r="F475" s="24"/>
    </row>
    <row r="476" spans="1:6" ht="12.75" x14ac:dyDescent="0.2">
      <c r="A476" s="24"/>
      <c r="B476" s="24"/>
      <c r="D476" s="25"/>
      <c r="E476" s="24"/>
      <c r="F476" s="24"/>
    </row>
    <row r="477" spans="1:6" ht="12.75" x14ac:dyDescent="0.2">
      <c r="A477" s="24"/>
      <c r="B477" s="24"/>
      <c r="D477" s="25"/>
      <c r="E477" s="24"/>
      <c r="F477" s="24"/>
    </row>
    <row r="478" spans="1:6" ht="12.75" x14ac:dyDescent="0.2">
      <c r="A478" s="24"/>
      <c r="B478" s="24"/>
      <c r="D478" s="25"/>
      <c r="E478" s="24"/>
      <c r="F478" s="24"/>
    </row>
    <row r="479" spans="1:6" ht="12.75" x14ac:dyDescent="0.2">
      <c r="A479" s="24"/>
      <c r="B479" s="24"/>
      <c r="D479" s="25"/>
      <c r="E479" s="24"/>
      <c r="F479" s="24"/>
    </row>
    <row r="480" spans="1:6" ht="12.75" x14ac:dyDescent="0.2">
      <c r="A480" s="24"/>
      <c r="B480" s="24"/>
      <c r="D480" s="25"/>
      <c r="E480" s="24"/>
      <c r="F480" s="24"/>
    </row>
    <row r="481" spans="1:6" ht="12.75" x14ac:dyDescent="0.2">
      <c r="A481" s="24"/>
      <c r="B481" s="24"/>
      <c r="D481" s="25"/>
      <c r="E481" s="24"/>
      <c r="F481" s="24"/>
    </row>
    <row r="482" spans="1:6" ht="12.75" x14ac:dyDescent="0.2">
      <c r="A482" s="24"/>
      <c r="B482" s="24"/>
      <c r="D482" s="25"/>
      <c r="E482" s="24"/>
      <c r="F482" s="24"/>
    </row>
    <row r="483" spans="1:6" ht="12.75" x14ac:dyDescent="0.2">
      <c r="A483" s="24"/>
      <c r="B483" s="24"/>
      <c r="D483" s="25"/>
      <c r="E483" s="24"/>
      <c r="F483" s="24"/>
    </row>
    <row r="484" spans="1:6" ht="12.75" x14ac:dyDescent="0.2">
      <c r="A484" s="24"/>
      <c r="B484" s="24"/>
      <c r="D484" s="25"/>
      <c r="E484" s="24"/>
      <c r="F484" s="24"/>
    </row>
    <row r="485" spans="1:6" ht="12.75" x14ac:dyDescent="0.2">
      <c r="A485" s="24"/>
      <c r="B485" s="24"/>
      <c r="D485" s="25"/>
      <c r="E485" s="24"/>
      <c r="F485" s="24"/>
    </row>
    <row r="486" spans="1:6" ht="12.75" x14ac:dyDescent="0.2">
      <c r="A486" s="24"/>
      <c r="B486" s="24"/>
      <c r="D486" s="25"/>
      <c r="E486" s="24"/>
      <c r="F486" s="24"/>
    </row>
    <row r="487" spans="1:6" ht="12.75" x14ac:dyDescent="0.2">
      <c r="A487" s="24"/>
      <c r="B487" s="24"/>
      <c r="D487" s="25"/>
      <c r="E487" s="24"/>
      <c r="F487" s="24"/>
    </row>
    <row r="488" spans="1:6" ht="12.75" x14ac:dyDescent="0.2">
      <c r="A488" s="24"/>
      <c r="B488" s="24"/>
      <c r="D488" s="25"/>
      <c r="E488" s="24"/>
      <c r="F488" s="24"/>
    </row>
    <row r="489" spans="1:6" ht="12.75" x14ac:dyDescent="0.2">
      <c r="A489" s="24"/>
      <c r="B489" s="24"/>
      <c r="D489" s="25"/>
      <c r="E489" s="24"/>
      <c r="F489" s="24"/>
    </row>
    <row r="490" spans="1:6" ht="12.75" x14ac:dyDescent="0.2">
      <c r="A490" s="24"/>
      <c r="B490" s="24"/>
      <c r="D490" s="25"/>
      <c r="E490" s="24"/>
      <c r="F490" s="24"/>
    </row>
    <row r="491" spans="1:6" ht="12.75" x14ac:dyDescent="0.2">
      <c r="A491" s="24"/>
      <c r="B491" s="24"/>
      <c r="D491" s="25"/>
      <c r="E491" s="24"/>
      <c r="F491" s="24"/>
    </row>
    <row r="492" spans="1:6" ht="12.75" x14ac:dyDescent="0.2">
      <c r="A492" s="24"/>
      <c r="B492" s="24"/>
      <c r="D492" s="25"/>
      <c r="E492" s="24"/>
      <c r="F492" s="24"/>
    </row>
    <row r="493" spans="1:6" ht="12.75" x14ac:dyDescent="0.2">
      <c r="A493" s="24"/>
      <c r="B493" s="24"/>
      <c r="D493" s="25"/>
      <c r="E493" s="24"/>
      <c r="F493" s="24"/>
    </row>
    <row r="494" spans="1:6" ht="12.75" x14ac:dyDescent="0.2">
      <c r="A494" s="24"/>
      <c r="B494" s="24"/>
      <c r="D494" s="25"/>
      <c r="E494" s="24"/>
      <c r="F494" s="24"/>
    </row>
    <row r="495" spans="1:6" ht="12.75" x14ac:dyDescent="0.2">
      <c r="A495" s="24"/>
      <c r="B495" s="24"/>
      <c r="D495" s="25"/>
      <c r="E495" s="24"/>
      <c r="F495" s="24"/>
    </row>
    <row r="496" spans="1:6" ht="12.75" x14ac:dyDescent="0.2">
      <c r="A496" s="24"/>
      <c r="B496" s="24"/>
      <c r="D496" s="25"/>
      <c r="E496" s="24"/>
      <c r="F496" s="24"/>
    </row>
    <row r="497" spans="1:6" ht="12.75" x14ac:dyDescent="0.2">
      <c r="A497" s="24"/>
      <c r="B497" s="24"/>
      <c r="D497" s="25"/>
      <c r="E497" s="24"/>
      <c r="F497" s="24"/>
    </row>
    <row r="498" spans="1:6" ht="12.75" x14ac:dyDescent="0.2">
      <c r="A498" s="24"/>
      <c r="B498" s="24"/>
      <c r="D498" s="25"/>
      <c r="E498" s="24"/>
      <c r="F498" s="24"/>
    </row>
    <row r="499" spans="1:6" ht="12.75" x14ac:dyDescent="0.2">
      <c r="A499" s="24"/>
      <c r="B499" s="24"/>
      <c r="D499" s="25"/>
      <c r="E499" s="24"/>
      <c r="F499" s="24"/>
    </row>
    <row r="500" spans="1:6" ht="12.75" x14ac:dyDescent="0.2">
      <c r="A500" s="24"/>
      <c r="B500" s="24"/>
      <c r="D500" s="25"/>
      <c r="E500" s="24"/>
      <c r="F500" s="24"/>
    </row>
    <row r="501" spans="1:6" ht="12.75" x14ac:dyDescent="0.2">
      <c r="A501" s="24"/>
      <c r="B501" s="24"/>
      <c r="D501" s="25"/>
      <c r="E501" s="24"/>
      <c r="F501" s="24"/>
    </row>
    <row r="502" spans="1:6" ht="12.75" x14ac:dyDescent="0.2">
      <c r="A502" s="24"/>
      <c r="B502" s="24"/>
      <c r="D502" s="25"/>
      <c r="E502" s="24"/>
      <c r="F502" s="24"/>
    </row>
    <row r="503" spans="1:6" ht="12.75" x14ac:dyDescent="0.2">
      <c r="A503" s="24"/>
      <c r="B503" s="24"/>
      <c r="D503" s="25"/>
      <c r="E503" s="24"/>
      <c r="F503" s="24"/>
    </row>
    <row r="504" spans="1:6" ht="12.75" x14ac:dyDescent="0.2">
      <c r="A504" s="24"/>
      <c r="B504" s="24"/>
      <c r="D504" s="25"/>
      <c r="E504" s="24"/>
      <c r="F504" s="24"/>
    </row>
    <row r="505" spans="1:6" ht="12.75" x14ac:dyDescent="0.2">
      <c r="A505" s="24"/>
      <c r="B505" s="24"/>
      <c r="D505" s="25"/>
      <c r="E505" s="24"/>
      <c r="F505" s="24"/>
    </row>
    <row r="506" spans="1:6" ht="12.75" x14ac:dyDescent="0.2">
      <c r="A506" s="24"/>
      <c r="B506" s="24"/>
      <c r="D506" s="25"/>
      <c r="E506" s="24"/>
      <c r="F506" s="24"/>
    </row>
    <row r="507" spans="1:6" ht="12.75" x14ac:dyDescent="0.2">
      <c r="A507" s="24"/>
      <c r="B507" s="24"/>
      <c r="D507" s="25"/>
      <c r="E507" s="24"/>
      <c r="F507" s="24"/>
    </row>
    <row r="508" spans="1:6" ht="12.75" x14ac:dyDescent="0.2">
      <c r="A508" s="24"/>
      <c r="B508" s="24"/>
      <c r="D508" s="25"/>
      <c r="E508" s="24"/>
      <c r="F508" s="24"/>
    </row>
    <row r="509" spans="1:6" ht="12.75" x14ac:dyDescent="0.2">
      <c r="A509" s="24"/>
      <c r="B509" s="24"/>
      <c r="D509" s="25"/>
      <c r="E509" s="24"/>
      <c r="F509" s="24"/>
    </row>
    <row r="510" spans="1:6" ht="12.75" x14ac:dyDescent="0.2">
      <c r="A510" s="24"/>
      <c r="B510" s="24"/>
      <c r="D510" s="25"/>
      <c r="E510" s="24"/>
      <c r="F510" s="24"/>
    </row>
    <row r="511" spans="1:6" ht="12.75" x14ac:dyDescent="0.2">
      <c r="A511" s="24"/>
      <c r="B511" s="24"/>
      <c r="D511" s="25"/>
      <c r="E511" s="24"/>
      <c r="F511" s="24"/>
    </row>
    <row r="512" spans="1:6" ht="12.75" x14ac:dyDescent="0.2">
      <c r="A512" s="24"/>
      <c r="B512" s="24"/>
      <c r="D512" s="25"/>
      <c r="E512" s="24"/>
      <c r="F512" s="24"/>
    </row>
    <row r="513" spans="1:6" ht="12.75" x14ac:dyDescent="0.2">
      <c r="A513" s="24"/>
      <c r="B513" s="24"/>
      <c r="D513" s="25"/>
      <c r="E513" s="24"/>
      <c r="F513" s="24"/>
    </row>
    <row r="514" spans="1:6" ht="12.75" x14ac:dyDescent="0.2">
      <c r="A514" s="24"/>
      <c r="B514" s="24"/>
      <c r="D514" s="25"/>
      <c r="E514" s="24"/>
      <c r="F514" s="24"/>
    </row>
    <row r="515" spans="1:6" ht="12.75" x14ac:dyDescent="0.2">
      <c r="A515" s="24"/>
      <c r="B515" s="24"/>
      <c r="D515" s="25"/>
      <c r="E515" s="24"/>
      <c r="F515" s="24"/>
    </row>
    <row r="516" spans="1:6" ht="12.75" x14ac:dyDescent="0.2">
      <c r="A516" s="24"/>
      <c r="B516" s="24"/>
      <c r="D516" s="25"/>
      <c r="E516" s="24"/>
      <c r="F516" s="24"/>
    </row>
    <row r="517" spans="1:6" ht="12.75" x14ac:dyDescent="0.2">
      <c r="A517" s="24"/>
      <c r="B517" s="24"/>
      <c r="D517" s="25"/>
      <c r="E517" s="24"/>
      <c r="F517" s="24"/>
    </row>
    <row r="518" spans="1:6" ht="12.75" x14ac:dyDescent="0.2">
      <c r="A518" s="24"/>
      <c r="B518" s="24"/>
      <c r="D518" s="25"/>
      <c r="E518" s="24"/>
      <c r="F518" s="24"/>
    </row>
    <row r="519" spans="1:6" ht="12.75" x14ac:dyDescent="0.2">
      <c r="A519" s="24"/>
      <c r="B519" s="24"/>
      <c r="D519" s="25"/>
      <c r="E519" s="24"/>
      <c r="F519" s="24"/>
    </row>
    <row r="520" spans="1:6" ht="12.75" x14ac:dyDescent="0.2">
      <c r="A520" s="24"/>
      <c r="B520" s="24"/>
      <c r="D520" s="25"/>
      <c r="E520" s="24"/>
      <c r="F520" s="24"/>
    </row>
    <row r="521" spans="1:6" ht="12.75" x14ac:dyDescent="0.2">
      <c r="A521" s="24"/>
      <c r="B521" s="24"/>
      <c r="D521" s="25"/>
      <c r="E521" s="24"/>
      <c r="F521" s="24"/>
    </row>
    <row r="522" spans="1:6" ht="12.75" x14ac:dyDescent="0.2">
      <c r="A522" s="24"/>
      <c r="B522" s="24"/>
      <c r="D522" s="25"/>
      <c r="E522" s="24"/>
      <c r="F522" s="24"/>
    </row>
    <row r="523" spans="1:6" ht="12.75" x14ac:dyDescent="0.2">
      <c r="A523" s="24"/>
      <c r="B523" s="24"/>
      <c r="D523" s="25"/>
      <c r="E523" s="24"/>
      <c r="F523" s="24"/>
    </row>
    <row r="524" spans="1:6" ht="12.75" x14ac:dyDescent="0.2">
      <c r="A524" s="24"/>
      <c r="B524" s="24"/>
      <c r="D524" s="25"/>
      <c r="E524" s="24"/>
      <c r="F524" s="24"/>
    </row>
    <row r="525" spans="1:6" ht="12.75" x14ac:dyDescent="0.2">
      <c r="A525" s="24"/>
      <c r="B525" s="24"/>
      <c r="D525" s="25"/>
      <c r="E525" s="24"/>
      <c r="F525" s="24"/>
    </row>
    <row r="526" spans="1:6" ht="12.75" x14ac:dyDescent="0.2">
      <c r="A526" s="24"/>
      <c r="B526" s="24"/>
      <c r="D526" s="25"/>
      <c r="E526" s="24"/>
      <c r="F526" s="24"/>
    </row>
    <row r="527" spans="1:6" ht="12.75" x14ac:dyDescent="0.2">
      <c r="A527" s="24"/>
      <c r="B527" s="24"/>
      <c r="D527" s="25"/>
      <c r="E527" s="24"/>
      <c r="F527" s="24"/>
    </row>
    <row r="528" spans="1:6" ht="12.75" x14ac:dyDescent="0.2">
      <c r="A528" s="24"/>
      <c r="B528" s="24"/>
      <c r="D528" s="25"/>
      <c r="E528" s="24"/>
      <c r="F528" s="24"/>
    </row>
    <row r="529" spans="1:6" ht="12.75" x14ac:dyDescent="0.2">
      <c r="A529" s="24"/>
      <c r="B529" s="24"/>
      <c r="D529" s="25"/>
      <c r="E529" s="24"/>
      <c r="F529" s="24"/>
    </row>
    <row r="530" spans="1:6" ht="12.75" x14ac:dyDescent="0.2">
      <c r="A530" s="24"/>
      <c r="B530" s="24"/>
      <c r="D530" s="25"/>
      <c r="E530" s="24"/>
      <c r="F530" s="24"/>
    </row>
    <row r="531" spans="1:6" ht="12.75" x14ac:dyDescent="0.2">
      <c r="A531" s="24"/>
      <c r="B531" s="24"/>
      <c r="D531" s="25"/>
      <c r="E531" s="24"/>
      <c r="F531" s="24"/>
    </row>
    <row r="532" spans="1:6" ht="12.75" x14ac:dyDescent="0.2">
      <c r="A532" s="24"/>
      <c r="B532" s="24"/>
      <c r="D532" s="25"/>
      <c r="E532" s="24"/>
      <c r="F532" s="24"/>
    </row>
    <row r="533" spans="1:6" ht="12.75" x14ac:dyDescent="0.2">
      <c r="A533" s="24"/>
      <c r="B533" s="24"/>
      <c r="D533" s="25"/>
      <c r="E533" s="24"/>
      <c r="F533" s="24"/>
    </row>
    <row r="534" spans="1:6" ht="12.75" x14ac:dyDescent="0.2">
      <c r="A534" s="24"/>
      <c r="B534" s="24"/>
      <c r="D534" s="25"/>
      <c r="E534" s="24"/>
      <c r="F534" s="24"/>
    </row>
    <row r="535" spans="1:6" ht="12.75" x14ac:dyDescent="0.2">
      <c r="A535" s="24"/>
      <c r="B535" s="24"/>
      <c r="D535" s="25"/>
      <c r="E535" s="24"/>
      <c r="F535" s="24"/>
    </row>
    <row r="536" spans="1:6" ht="12.75" x14ac:dyDescent="0.2">
      <c r="A536" s="24"/>
      <c r="B536" s="24"/>
      <c r="D536" s="25"/>
      <c r="E536" s="24"/>
      <c r="F536" s="24"/>
    </row>
    <row r="537" spans="1:6" ht="12.75" x14ac:dyDescent="0.2">
      <c r="A537" s="24"/>
      <c r="B537" s="24"/>
      <c r="D537" s="25"/>
      <c r="E537" s="24"/>
      <c r="F537" s="24"/>
    </row>
    <row r="538" spans="1:6" ht="12.75" x14ac:dyDescent="0.2">
      <c r="A538" s="24"/>
      <c r="B538" s="24"/>
      <c r="D538" s="25"/>
      <c r="E538" s="24"/>
      <c r="F538" s="24"/>
    </row>
    <row r="539" spans="1:6" ht="12.75" x14ac:dyDescent="0.2">
      <c r="A539" s="24"/>
      <c r="B539" s="24"/>
      <c r="D539" s="25"/>
      <c r="E539" s="24"/>
      <c r="F539" s="24"/>
    </row>
    <row r="540" spans="1:6" ht="12.75" x14ac:dyDescent="0.2">
      <c r="A540" s="24"/>
      <c r="B540" s="24"/>
      <c r="D540" s="25"/>
      <c r="E540" s="24"/>
      <c r="F540" s="24"/>
    </row>
    <row r="541" spans="1:6" ht="12.75" x14ac:dyDescent="0.2">
      <c r="A541" s="24"/>
      <c r="B541" s="24"/>
      <c r="D541" s="25"/>
      <c r="E541" s="24"/>
      <c r="F541" s="24"/>
    </row>
    <row r="542" spans="1:6" ht="12.75" x14ac:dyDescent="0.2">
      <c r="A542" s="24"/>
      <c r="B542" s="24"/>
      <c r="D542" s="25"/>
      <c r="E542" s="24"/>
      <c r="F542" s="24"/>
    </row>
    <row r="543" spans="1:6" ht="12.75" x14ac:dyDescent="0.2">
      <c r="A543" s="24"/>
      <c r="B543" s="24"/>
      <c r="D543" s="25"/>
      <c r="E543" s="24"/>
      <c r="F543" s="24"/>
    </row>
    <row r="544" spans="1:6" ht="12.75" x14ac:dyDescent="0.2">
      <c r="A544" s="24"/>
      <c r="B544" s="24"/>
      <c r="D544" s="25"/>
      <c r="E544" s="24"/>
      <c r="F544" s="24"/>
    </row>
    <row r="545" spans="1:6" ht="12.75" x14ac:dyDescent="0.2">
      <c r="A545" s="24"/>
      <c r="B545" s="24"/>
      <c r="D545" s="25"/>
      <c r="E545" s="24"/>
      <c r="F545" s="24"/>
    </row>
    <row r="546" spans="1:6" ht="12.75" x14ac:dyDescent="0.2">
      <c r="A546" s="24"/>
      <c r="B546" s="24"/>
      <c r="D546" s="25"/>
      <c r="E546" s="24"/>
      <c r="F546" s="24"/>
    </row>
    <row r="547" spans="1:6" ht="12.75" x14ac:dyDescent="0.2">
      <c r="A547" s="24"/>
      <c r="B547" s="24"/>
      <c r="D547" s="25"/>
      <c r="E547" s="24"/>
      <c r="F547" s="24"/>
    </row>
    <row r="548" spans="1:6" ht="12.75" x14ac:dyDescent="0.2">
      <c r="A548" s="24"/>
      <c r="B548" s="24"/>
      <c r="D548" s="25"/>
      <c r="E548" s="24"/>
      <c r="F548" s="24"/>
    </row>
    <row r="549" spans="1:6" ht="12.75" x14ac:dyDescent="0.2">
      <c r="A549" s="24"/>
      <c r="B549" s="24"/>
      <c r="D549" s="25"/>
      <c r="E549" s="24"/>
      <c r="F549" s="24"/>
    </row>
    <row r="550" spans="1:6" ht="12.75" x14ac:dyDescent="0.2">
      <c r="A550" s="24"/>
      <c r="B550" s="24"/>
      <c r="D550" s="25"/>
      <c r="E550" s="24"/>
      <c r="F550" s="24"/>
    </row>
    <row r="551" spans="1:6" ht="12.75" x14ac:dyDescent="0.2">
      <c r="A551" s="24"/>
      <c r="B551" s="24"/>
      <c r="D551" s="25"/>
      <c r="E551" s="24"/>
      <c r="F551" s="24"/>
    </row>
    <row r="552" spans="1:6" ht="12.75" x14ac:dyDescent="0.2">
      <c r="A552" s="24"/>
      <c r="B552" s="24"/>
      <c r="D552" s="25"/>
      <c r="E552" s="24"/>
      <c r="F552" s="24"/>
    </row>
    <row r="553" spans="1:6" ht="12.75" x14ac:dyDescent="0.2">
      <c r="A553" s="24"/>
      <c r="B553" s="24"/>
      <c r="D553" s="25"/>
      <c r="E553" s="24"/>
      <c r="F553" s="24"/>
    </row>
    <row r="554" spans="1:6" ht="12.75" x14ac:dyDescent="0.2">
      <c r="A554" s="24"/>
      <c r="B554" s="24"/>
      <c r="D554" s="25"/>
      <c r="E554" s="24"/>
      <c r="F554" s="24"/>
    </row>
    <row r="555" spans="1:6" ht="12.75" x14ac:dyDescent="0.2">
      <c r="A555" s="24"/>
      <c r="B555" s="24"/>
      <c r="D555" s="25"/>
      <c r="E555" s="24"/>
      <c r="F555" s="24"/>
    </row>
    <row r="556" spans="1:6" ht="12.75" x14ac:dyDescent="0.2">
      <c r="A556" s="24"/>
      <c r="B556" s="24"/>
      <c r="D556" s="25"/>
      <c r="E556" s="24"/>
      <c r="F556" s="24"/>
    </row>
    <row r="557" spans="1:6" ht="12.75" x14ac:dyDescent="0.2">
      <c r="A557" s="24"/>
      <c r="B557" s="24"/>
      <c r="D557" s="25"/>
      <c r="E557" s="24"/>
      <c r="F557" s="24"/>
    </row>
    <row r="558" spans="1:6" ht="12.75" x14ac:dyDescent="0.2">
      <c r="A558" s="24"/>
      <c r="B558" s="24"/>
      <c r="D558" s="25"/>
      <c r="E558" s="24"/>
      <c r="F558" s="24"/>
    </row>
    <row r="559" spans="1:6" ht="12.75" x14ac:dyDescent="0.2">
      <c r="A559" s="24"/>
      <c r="B559" s="24"/>
      <c r="D559" s="25"/>
      <c r="E559" s="24"/>
      <c r="F559" s="24"/>
    </row>
    <row r="560" spans="1:6" ht="12.75" x14ac:dyDescent="0.2">
      <c r="A560" s="24"/>
      <c r="B560" s="24"/>
      <c r="D560" s="25"/>
      <c r="E560" s="24"/>
      <c r="F560" s="24"/>
    </row>
    <row r="561" spans="1:6" ht="12.75" x14ac:dyDescent="0.2">
      <c r="A561" s="24"/>
      <c r="B561" s="24"/>
      <c r="D561" s="25"/>
      <c r="E561" s="24"/>
      <c r="F561" s="24"/>
    </row>
    <row r="562" spans="1:6" ht="12.75" x14ac:dyDescent="0.2">
      <c r="A562" s="24"/>
      <c r="B562" s="24"/>
      <c r="D562" s="25"/>
      <c r="E562" s="24"/>
      <c r="F562" s="24"/>
    </row>
    <row r="563" spans="1:6" ht="12.75" x14ac:dyDescent="0.2">
      <c r="A563" s="24"/>
      <c r="B563" s="24"/>
      <c r="D563" s="25"/>
      <c r="E563" s="24"/>
      <c r="F563" s="24"/>
    </row>
    <row r="564" spans="1:6" ht="12.75" x14ac:dyDescent="0.2">
      <c r="A564" s="24"/>
      <c r="B564" s="24"/>
      <c r="D564" s="25"/>
      <c r="E564" s="24"/>
      <c r="F564" s="24"/>
    </row>
    <row r="565" spans="1:6" ht="12.75" x14ac:dyDescent="0.2">
      <c r="A565" s="24"/>
      <c r="B565" s="24"/>
      <c r="D565" s="25"/>
      <c r="E565" s="24"/>
      <c r="F565" s="24"/>
    </row>
    <row r="566" spans="1:6" ht="12.75" x14ac:dyDescent="0.2">
      <c r="A566" s="24"/>
      <c r="B566" s="24"/>
      <c r="D566" s="25"/>
      <c r="E566" s="24"/>
      <c r="F566" s="24"/>
    </row>
    <row r="567" spans="1:6" ht="12.75" x14ac:dyDescent="0.2">
      <c r="A567" s="24"/>
      <c r="B567" s="24"/>
      <c r="D567" s="25"/>
      <c r="E567" s="24"/>
      <c r="F567" s="24"/>
    </row>
    <row r="568" spans="1:6" ht="12.75" x14ac:dyDescent="0.2">
      <c r="A568" s="24"/>
      <c r="B568" s="24"/>
      <c r="D568" s="25"/>
      <c r="E568" s="24"/>
      <c r="F568" s="24"/>
    </row>
    <row r="569" spans="1:6" ht="12.75" x14ac:dyDescent="0.2">
      <c r="A569" s="24"/>
      <c r="B569" s="24"/>
      <c r="D569" s="25"/>
      <c r="E569" s="24"/>
      <c r="F569" s="24"/>
    </row>
    <row r="570" spans="1:6" ht="12.75" x14ac:dyDescent="0.2">
      <c r="A570" s="24"/>
      <c r="B570" s="24"/>
      <c r="D570" s="25"/>
      <c r="E570" s="24"/>
      <c r="F570" s="24"/>
    </row>
    <row r="571" spans="1:6" ht="12.75" x14ac:dyDescent="0.2">
      <c r="A571" s="24"/>
      <c r="B571" s="24"/>
      <c r="D571" s="25"/>
      <c r="E571" s="24"/>
      <c r="F571" s="24"/>
    </row>
    <row r="572" spans="1:6" ht="12.75" x14ac:dyDescent="0.2">
      <c r="A572" s="24"/>
      <c r="B572" s="24"/>
      <c r="D572" s="25"/>
      <c r="E572" s="24"/>
      <c r="F572" s="24"/>
    </row>
    <row r="573" spans="1:6" ht="12.75" x14ac:dyDescent="0.2">
      <c r="A573" s="24"/>
      <c r="B573" s="24"/>
      <c r="D573" s="25"/>
      <c r="E573" s="24"/>
      <c r="F573" s="24"/>
    </row>
    <row r="574" spans="1:6" ht="12.75" x14ac:dyDescent="0.2">
      <c r="A574" s="24"/>
      <c r="B574" s="24"/>
      <c r="D574" s="25"/>
      <c r="E574" s="24"/>
      <c r="F574" s="24"/>
    </row>
    <row r="575" spans="1:6" ht="12.75" x14ac:dyDescent="0.2">
      <c r="A575" s="24"/>
      <c r="B575" s="24"/>
      <c r="D575" s="25"/>
      <c r="E575" s="24"/>
      <c r="F575" s="24"/>
    </row>
    <row r="576" spans="1:6" ht="12.75" x14ac:dyDescent="0.2">
      <c r="A576" s="24"/>
      <c r="B576" s="24"/>
      <c r="D576" s="25"/>
      <c r="E576" s="24"/>
      <c r="F576" s="24"/>
    </row>
    <row r="577" spans="1:6" ht="12.75" x14ac:dyDescent="0.2">
      <c r="A577" s="24"/>
      <c r="B577" s="24"/>
      <c r="D577" s="25"/>
      <c r="E577" s="24"/>
      <c r="F577" s="24"/>
    </row>
    <row r="578" spans="1:6" ht="12.75" x14ac:dyDescent="0.2">
      <c r="A578" s="24"/>
      <c r="B578" s="24"/>
      <c r="D578" s="25"/>
      <c r="E578" s="24"/>
      <c r="F578" s="24"/>
    </row>
    <row r="579" spans="1:6" ht="12.75" x14ac:dyDescent="0.2">
      <c r="A579" s="24"/>
      <c r="B579" s="24"/>
      <c r="D579" s="25"/>
      <c r="E579" s="24"/>
      <c r="F579" s="24"/>
    </row>
    <row r="580" spans="1:6" ht="12.75" x14ac:dyDescent="0.2">
      <c r="A580" s="24"/>
      <c r="B580" s="24"/>
      <c r="D580" s="25"/>
      <c r="E580" s="24"/>
      <c r="F580" s="24"/>
    </row>
    <row r="581" spans="1:6" ht="12.75" x14ac:dyDescent="0.2">
      <c r="A581" s="24"/>
      <c r="B581" s="24"/>
      <c r="D581" s="25"/>
      <c r="E581" s="24"/>
      <c r="F581" s="24"/>
    </row>
    <row r="582" spans="1:6" ht="12.75" x14ac:dyDescent="0.2">
      <c r="A582" s="24"/>
      <c r="B582" s="24"/>
      <c r="D582" s="25"/>
      <c r="E582" s="24"/>
      <c r="F582" s="24"/>
    </row>
    <row r="583" spans="1:6" ht="12.75" x14ac:dyDescent="0.2">
      <c r="A583" s="24"/>
      <c r="B583" s="24"/>
      <c r="D583" s="25"/>
      <c r="E583" s="24"/>
      <c r="F583" s="24"/>
    </row>
    <row r="584" spans="1:6" ht="12.75" x14ac:dyDescent="0.2">
      <c r="A584" s="24"/>
      <c r="B584" s="24"/>
      <c r="D584" s="25"/>
      <c r="E584" s="24"/>
      <c r="F584" s="24"/>
    </row>
    <row r="585" spans="1:6" ht="12.75" x14ac:dyDescent="0.2">
      <c r="A585" s="24"/>
      <c r="B585" s="24"/>
      <c r="D585" s="25"/>
      <c r="E585" s="24"/>
      <c r="F585" s="24"/>
    </row>
    <row r="586" spans="1:6" ht="12.75" x14ac:dyDescent="0.2">
      <c r="A586" s="24"/>
      <c r="B586" s="24"/>
      <c r="D586" s="25"/>
      <c r="E586" s="24"/>
      <c r="F586" s="24"/>
    </row>
    <row r="587" spans="1:6" ht="12.75" x14ac:dyDescent="0.2">
      <c r="A587" s="24"/>
      <c r="B587" s="24"/>
      <c r="D587" s="25"/>
      <c r="E587" s="24"/>
      <c r="F587" s="24"/>
    </row>
    <row r="588" spans="1:6" ht="12.75" x14ac:dyDescent="0.2">
      <c r="A588" s="24"/>
      <c r="B588" s="24"/>
      <c r="D588" s="25"/>
      <c r="E588" s="24"/>
      <c r="F588" s="24"/>
    </row>
    <row r="589" spans="1:6" ht="12.75" x14ac:dyDescent="0.2">
      <c r="A589" s="24"/>
      <c r="B589" s="24"/>
      <c r="D589" s="25"/>
      <c r="E589" s="24"/>
      <c r="F589" s="24"/>
    </row>
    <row r="590" spans="1:6" ht="12.75" x14ac:dyDescent="0.2">
      <c r="A590" s="24"/>
      <c r="B590" s="24"/>
      <c r="D590" s="25"/>
      <c r="E590" s="24"/>
      <c r="F590" s="24"/>
    </row>
    <row r="591" spans="1:6" ht="12.75" x14ac:dyDescent="0.2">
      <c r="A591" s="24"/>
      <c r="B591" s="24"/>
      <c r="D591" s="25"/>
      <c r="E591" s="24"/>
      <c r="F591" s="24"/>
    </row>
    <row r="592" spans="1:6" ht="12.75" x14ac:dyDescent="0.2">
      <c r="A592" s="24"/>
      <c r="B592" s="24"/>
      <c r="D592" s="25"/>
      <c r="E592" s="24"/>
      <c r="F592" s="24"/>
    </row>
    <row r="593" spans="1:6" ht="12.75" x14ac:dyDescent="0.2">
      <c r="A593" s="24"/>
      <c r="B593" s="24"/>
      <c r="D593" s="25"/>
      <c r="E593" s="24"/>
      <c r="F593" s="24"/>
    </row>
    <row r="594" spans="1:6" ht="12.75" x14ac:dyDescent="0.2">
      <c r="A594" s="24"/>
      <c r="B594" s="24"/>
      <c r="D594" s="25"/>
      <c r="E594" s="24"/>
      <c r="F594" s="24"/>
    </row>
    <row r="595" spans="1:6" ht="12.75" x14ac:dyDescent="0.2">
      <c r="A595" s="24"/>
      <c r="B595" s="24"/>
      <c r="D595" s="25"/>
      <c r="E595" s="24"/>
      <c r="F595" s="24"/>
    </row>
    <row r="596" spans="1:6" ht="12.75" x14ac:dyDescent="0.2">
      <c r="A596" s="24"/>
      <c r="B596" s="24"/>
      <c r="D596" s="25"/>
      <c r="E596" s="24"/>
      <c r="F596" s="24"/>
    </row>
    <row r="597" spans="1:6" ht="12.75" x14ac:dyDescent="0.2">
      <c r="A597" s="24"/>
      <c r="B597" s="24"/>
      <c r="D597" s="25"/>
      <c r="E597" s="24"/>
      <c r="F597" s="24"/>
    </row>
    <row r="598" spans="1:6" ht="12.75" x14ac:dyDescent="0.2">
      <c r="A598" s="24"/>
      <c r="B598" s="24"/>
      <c r="D598" s="25"/>
      <c r="E598" s="24"/>
      <c r="F598" s="24"/>
    </row>
    <row r="599" spans="1:6" ht="12.75" x14ac:dyDescent="0.2">
      <c r="A599" s="24"/>
      <c r="B599" s="24"/>
      <c r="D599" s="25"/>
      <c r="E599" s="24"/>
      <c r="F599" s="24"/>
    </row>
    <row r="600" spans="1:6" ht="12.75" x14ac:dyDescent="0.2">
      <c r="A600" s="24"/>
      <c r="B600" s="24"/>
      <c r="D600" s="25"/>
      <c r="E600" s="24"/>
      <c r="F600" s="24"/>
    </row>
    <row r="601" spans="1:6" ht="12.75" x14ac:dyDescent="0.2">
      <c r="A601" s="24"/>
      <c r="B601" s="24"/>
      <c r="D601" s="25"/>
      <c r="E601" s="24"/>
      <c r="F601" s="24"/>
    </row>
    <row r="602" spans="1:6" ht="12.75" x14ac:dyDescent="0.2">
      <c r="A602" s="24"/>
      <c r="B602" s="24"/>
      <c r="D602" s="25"/>
      <c r="E602" s="24"/>
      <c r="F602" s="24"/>
    </row>
    <row r="603" spans="1:6" ht="12.75" x14ac:dyDescent="0.2">
      <c r="A603" s="24"/>
      <c r="B603" s="24"/>
      <c r="D603" s="25"/>
      <c r="E603" s="24"/>
      <c r="F603" s="24"/>
    </row>
    <row r="604" spans="1:6" ht="12.75" x14ac:dyDescent="0.2">
      <c r="A604" s="24"/>
      <c r="B604" s="24"/>
      <c r="D604" s="25"/>
      <c r="E604" s="24"/>
      <c r="F604" s="24"/>
    </row>
    <row r="605" spans="1:6" ht="12.75" x14ac:dyDescent="0.2">
      <c r="A605" s="24"/>
      <c r="B605" s="24"/>
      <c r="D605" s="25"/>
      <c r="E605" s="24"/>
      <c r="F605" s="24"/>
    </row>
    <row r="606" spans="1:6" ht="12.75" x14ac:dyDescent="0.2">
      <c r="A606" s="24"/>
      <c r="B606" s="24"/>
      <c r="D606" s="25"/>
      <c r="E606" s="24"/>
      <c r="F606" s="24"/>
    </row>
    <row r="607" spans="1:6" ht="12.75" x14ac:dyDescent="0.2">
      <c r="A607" s="24"/>
      <c r="B607" s="24"/>
      <c r="D607" s="25"/>
      <c r="E607" s="24"/>
      <c r="F607" s="24"/>
    </row>
    <row r="608" spans="1:6" ht="12.75" x14ac:dyDescent="0.2">
      <c r="A608" s="24"/>
      <c r="B608" s="24"/>
      <c r="D608" s="25"/>
      <c r="E608" s="24"/>
      <c r="F608" s="24"/>
    </row>
    <row r="609" spans="1:6" ht="12.75" x14ac:dyDescent="0.2">
      <c r="A609" s="24"/>
      <c r="B609" s="24"/>
      <c r="D609" s="25"/>
      <c r="E609" s="24"/>
      <c r="F609" s="24"/>
    </row>
    <row r="610" spans="1:6" ht="12.75" x14ac:dyDescent="0.2">
      <c r="A610" s="24"/>
      <c r="B610" s="24"/>
      <c r="D610" s="25"/>
      <c r="E610" s="24"/>
      <c r="F610" s="24"/>
    </row>
    <row r="611" spans="1:6" ht="12.75" x14ac:dyDescent="0.2">
      <c r="A611" s="24"/>
      <c r="B611" s="24"/>
      <c r="D611" s="25"/>
      <c r="E611" s="24"/>
      <c r="F611" s="24"/>
    </row>
    <row r="612" spans="1:6" ht="12.75" x14ac:dyDescent="0.2">
      <c r="A612" s="24"/>
      <c r="B612" s="24"/>
      <c r="D612" s="25"/>
      <c r="E612" s="24"/>
      <c r="F612" s="24"/>
    </row>
    <row r="613" spans="1:6" ht="12.75" x14ac:dyDescent="0.2">
      <c r="A613" s="24"/>
      <c r="B613" s="24"/>
      <c r="D613" s="25"/>
      <c r="E613" s="24"/>
      <c r="F613" s="24"/>
    </row>
    <row r="614" spans="1:6" ht="12.75" x14ac:dyDescent="0.2">
      <c r="A614" s="24"/>
      <c r="B614" s="24"/>
      <c r="D614" s="25"/>
      <c r="E614" s="24"/>
      <c r="F614" s="24"/>
    </row>
    <row r="615" spans="1:6" ht="12.75" x14ac:dyDescent="0.2">
      <c r="A615" s="24"/>
      <c r="B615" s="24"/>
      <c r="D615" s="25"/>
      <c r="E615" s="24"/>
      <c r="F615" s="24"/>
    </row>
    <row r="616" spans="1:6" ht="12.75" x14ac:dyDescent="0.2">
      <c r="A616" s="24"/>
      <c r="B616" s="24"/>
      <c r="D616" s="25"/>
      <c r="E616" s="24"/>
      <c r="F616" s="24"/>
    </row>
    <row r="617" spans="1:6" ht="12.75" x14ac:dyDescent="0.2">
      <c r="A617" s="24"/>
      <c r="B617" s="24"/>
      <c r="D617" s="25"/>
      <c r="E617" s="24"/>
      <c r="F617" s="24"/>
    </row>
    <row r="618" spans="1:6" ht="12.75" x14ac:dyDescent="0.2">
      <c r="A618" s="24"/>
      <c r="B618" s="24"/>
      <c r="D618" s="25"/>
      <c r="E618" s="24"/>
      <c r="F618" s="24"/>
    </row>
    <row r="619" spans="1:6" ht="12.75" x14ac:dyDescent="0.2">
      <c r="A619" s="24"/>
      <c r="B619" s="24"/>
      <c r="D619" s="25"/>
      <c r="E619" s="24"/>
      <c r="F619" s="24"/>
    </row>
    <row r="620" spans="1:6" ht="12.75" x14ac:dyDescent="0.2">
      <c r="A620" s="24"/>
      <c r="B620" s="24"/>
      <c r="D620" s="25"/>
      <c r="E620" s="24"/>
      <c r="F620" s="24"/>
    </row>
    <row r="621" spans="1:6" ht="12.75" x14ac:dyDescent="0.2">
      <c r="A621" s="24"/>
      <c r="B621" s="24"/>
      <c r="D621" s="25"/>
      <c r="E621" s="24"/>
      <c r="F621" s="24"/>
    </row>
    <row r="622" spans="1:6" ht="12.75" x14ac:dyDescent="0.2">
      <c r="A622" s="24"/>
      <c r="B622" s="24"/>
      <c r="D622" s="25"/>
      <c r="E622" s="24"/>
      <c r="F622" s="24"/>
    </row>
    <row r="623" spans="1:6" ht="12.75" x14ac:dyDescent="0.2">
      <c r="A623" s="24"/>
      <c r="B623" s="24"/>
      <c r="D623" s="25"/>
      <c r="E623" s="24"/>
      <c r="F623" s="24"/>
    </row>
    <row r="624" spans="1:6" ht="12.75" x14ac:dyDescent="0.2">
      <c r="A624" s="24"/>
      <c r="B624" s="24"/>
      <c r="D624" s="25"/>
      <c r="E624" s="24"/>
      <c r="F624" s="24"/>
    </row>
    <row r="625" spans="1:6" ht="12.75" x14ac:dyDescent="0.2">
      <c r="A625" s="24"/>
      <c r="B625" s="24"/>
      <c r="D625" s="25"/>
      <c r="E625" s="24"/>
      <c r="F625" s="24"/>
    </row>
    <row r="626" spans="1:6" ht="12.75" x14ac:dyDescent="0.2">
      <c r="A626" s="24"/>
      <c r="B626" s="24"/>
      <c r="D626" s="25"/>
      <c r="E626" s="24"/>
      <c r="F626" s="24"/>
    </row>
    <row r="627" spans="1:6" ht="12.75" x14ac:dyDescent="0.2">
      <c r="A627" s="24"/>
      <c r="B627" s="24"/>
      <c r="D627" s="25"/>
      <c r="E627" s="24"/>
      <c r="F627" s="24"/>
    </row>
    <row r="628" spans="1:6" ht="12.75" x14ac:dyDescent="0.2">
      <c r="A628" s="24"/>
      <c r="B628" s="24"/>
      <c r="D628" s="25"/>
      <c r="E628" s="24"/>
      <c r="F628" s="24"/>
    </row>
    <row r="629" spans="1:6" ht="12.75" x14ac:dyDescent="0.2">
      <c r="A629" s="24"/>
      <c r="B629" s="24"/>
      <c r="D629" s="25"/>
      <c r="E629" s="24"/>
      <c r="F629" s="24"/>
    </row>
    <row r="630" spans="1:6" ht="12.75" x14ac:dyDescent="0.2">
      <c r="A630" s="24"/>
      <c r="B630" s="24"/>
      <c r="D630" s="25"/>
      <c r="E630" s="24"/>
      <c r="F630" s="24"/>
    </row>
    <row r="631" spans="1:6" ht="12.75" x14ac:dyDescent="0.2">
      <c r="A631" s="24"/>
      <c r="B631" s="24"/>
      <c r="D631" s="25"/>
      <c r="E631" s="24"/>
      <c r="F631" s="24"/>
    </row>
    <row r="632" spans="1:6" ht="12.75" x14ac:dyDescent="0.2">
      <c r="A632" s="24"/>
      <c r="B632" s="24"/>
      <c r="D632" s="25"/>
      <c r="E632" s="24"/>
      <c r="F632" s="24"/>
    </row>
    <row r="633" spans="1:6" ht="12.75" x14ac:dyDescent="0.2">
      <c r="A633" s="24"/>
      <c r="B633" s="24"/>
      <c r="D633" s="25"/>
      <c r="E633" s="24"/>
      <c r="F633" s="24"/>
    </row>
    <row r="634" spans="1:6" ht="12.75" x14ac:dyDescent="0.2">
      <c r="A634" s="24"/>
      <c r="B634" s="24"/>
      <c r="D634" s="25"/>
      <c r="E634" s="24"/>
      <c r="F634" s="24"/>
    </row>
    <row r="635" spans="1:6" ht="12.75" x14ac:dyDescent="0.2">
      <c r="A635" s="24"/>
      <c r="B635" s="24"/>
      <c r="D635" s="25"/>
      <c r="E635" s="24"/>
      <c r="F635" s="24"/>
    </row>
    <row r="636" spans="1:6" ht="12.75" x14ac:dyDescent="0.2">
      <c r="A636" s="24"/>
      <c r="B636" s="24"/>
      <c r="D636" s="25"/>
      <c r="E636" s="24"/>
      <c r="F636" s="24"/>
    </row>
    <row r="637" spans="1:6" ht="12.75" x14ac:dyDescent="0.2">
      <c r="A637" s="24"/>
      <c r="B637" s="24"/>
      <c r="D637" s="25"/>
      <c r="E637" s="24"/>
      <c r="F637" s="24"/>
    </row>
    <row r="638" spans="1:6" ht="12.75" x14ac:dyDescent="0.2">
      <c r="A638" s="24"/>
      <c r="B638" s="24"/>
      <c r="D638" s="25"/>
      <c r="E638" s="24"/>
      <c r="F638" s="24"/>
    </row>
    <row r="639" spans="1:6" ht="12.75" x14ac:dyDescent="0.2">
      <c r="A639" s="24"/>
      <c r="B639" s="24"/>
      <c r="D639" s="25"/>
      <c r="E639" s="24"/>
      <c r="F639" s="24"/>
    </row>
    <row r="640" spans="1:6" ht="12.75" x14ac:dyDescent="0.2">
      <c r="A640" s="24"/>
      <c r="B640" s="24"/>
      <c r="D640" s="25"/>
      <c r="E640" s="24"/>
      <c r="F640" s="24"/>
    </row>
    <row r="641" spans="1:6" ht="12.75" x14ac:dyDescent="0.2">
      <c r="A641" s="24"/>
      <c r="B641" s="24"/>
      <c r="D641" s="25"/>
      <c r="E641" s="24"/>
      <c r="F641" s="24"/>
    </row>
    <row r="642" spans="1:6" ht="12.75" x14ac:dyDescent="0.2">
      <c r="A642" s="24"/>
      <c r="B642" s="24"/>
      <c r="D642" s="25"/>
      <c r="E642" s="24"/>
      <c r="F642" s="24"/>
    </row>
    <row r="643" spans="1:6" ht="12.75" x14ac:dyDescent="0.2">
      <c r="A643" s="24"/>
      <c r="B643" s="24"/>
      <c r="D643" s="25"/>
      <c r="E643" s="24"/>
      <c r="F643" s="24"/>
    </row>
    <row r="644" spans="1:6" ht="12.75" x14ac:dyDescent="0.2">
      <c r="A644" s="24"/>
      <c r="B644" s="24"/>
      <c r="D644" s="25"/>
      <c r="E644" s="24"/>
      <c r="F644" s="24"/>
    </row>
    <row r="645" spans="1:6" ht="12.75" x14ac:dyDescent="0.2">
      <c r="A645" s="24"/>
      <c r="B645" s="24"/>
      <c r="D645" s="25"/>
      <c r="E645" s="24"/>
      <c r="F645" s="24"/>
    </row>
    <row r="646" spans="1:6" ht="12.75" x14ac:dyDescent="0.2">
      <c r="A646" s="24"/>
      <c r="B646" s="24"/>
      <c r="D646" s="25"/>
      <c r="E646" s="24"/>
      <c r="F646" s="24"/>
    </row>
    <row r="647" spans="1:6" ht="12.75" x14ac:dyDescent="0.2">
      <c r="A647" s="24"/>
      <c r="B647" s="24"/>
      <c r="D647" s="25"/>
      <c r="E647" s="24"/>
      <c r="F647" s="24"/>
    </row>
    <row r="648" spans="1:6" ht="12.75" x14ac:dyDescent="0.2">
      <c r="A648" s="24"/>
      <c r="B648" s="24"/>
      <c r="D648" s="25"/>
      <c r="E648" s="24"/>
      <c r="F648" s="24"/>
    </row>
    <row r="649" spans="1:6" ht="12.75" x14ac:dyDescent="0.2">
      <c r="A649" s="24"/>
      <c r="B649" s="24"/>
      <c r="D649" s="25"/>
      <c r="E649" s="24"/>
      <c r="F649" s="24"/>
    </row>
    <row r="650" spans="1:6" ht="12.75" x14ac:dyDescent="0.2">
      <c r="A650" s="24"/>
      <c r="B650" s="24"/>
      <c r="D650" s="25"/>
      <c r="E650" s="24"/>
      <c r="F650" s="24"/>
    </row>
    <row r="651" spans="1:6" ht="12.75" x14ac:dyDescent="0.2">
      <c r="A651" s="24"/>
      <c r="B651" s="24"/>
      <c r="D651" s="25"/>
      <c r="E651" s="24"/>
      <c r="F651" s="24"/>
    </row>
    <row r="652" spans="1:6" ht="12.75" x14ac:dyDescent="0.2">
      <c r="A652" s="24"/>
      <c r="B652" s="24"/>
      <c r="D652" s="25"/>
      <c r="E652" s="24"/>
      <c r="F652" s="24"/>
    </row>
    <row r="653" spans="1:6" ht="12.75" x14ac:dyDescent="0.2">
      <c r="A653" s="24"/>
      <c r="B653" s="24"/>
      <c r="D653" s="25"/>
      <c r="E653" s="24"/>
      <c r="F653" s="24"/>
    </row>
    <row r="654" spans="1:6" ht="12.75" x14ac:dyDescent="0.2">
      <c r="A654" s="24"/>
      <c r="B654" s="24"/>
      <c r="D654" s="25"/>
      <c r="E654" s="24"/>
      <c r="F654" s="24"/>
    </row>
    <row r="655" spans="1:6" ht="12.75" x14ac:dyDescent="0.2">
      <c r="A655" s="24"/>
      <c r="B655" s="24"/>
      <c r="D655" s="25"/>
      <c r="E655" s="24"/>
      <c r="F655" s="24"/>
    </row>
    <row r="656" spans="1:6" ht="12.75" x14ac:dyDescent="0.2">
      <c r="A656" s="24"/>
      <c r="B656" s="24"/>
      <c r="D656" s="25"/>
      <c r="E656" s="24"/>
      <c r="F656" s="24"/>
    </row>
    <row r="657" spans="1:6" ht="12.75" x14ac:dyDescent="0.2">
      <c r="A657" s="24"/>
      <c r="B657" s="24"/>
      <c r="D657" s="25"/>
      <c r="E657" s="24"/>
      <c r="F657" s="24"/>
    </row>
    <row r="658" spans="1:6" ht="12.75" x14ac:dyDescent="0.2">
      <c r="A658" s="24"/>
      <c r="B658" s="24"/>
      <c r="D658" s="25"/>
      <c r="E658" s="24"/>
      <c r="F658" s="24"/>
    </row>
    <row r="659" spans="1:6" ht="12.75" x14ac:dyDescent="0.2">
      <c r="A659" s="24"/>
      <c r="B659" s="24"/>
      <c r="D659" s="25"/>
      <c r="E659" s="24"/>
      <c r="F659" s="24"/>
    </row>
    <row r="660" spans="1:6" ht="12.75" x14ac:dyDescent="0.2">
      <c r="A660" s="24"/>
      <c r="B660" s="24"/>
      <c r="D660" s="25"/>
      <c r="E660" s="24"/>
      <c r="F660" s="24"/>
    </row>
    <row r="661" spans="1:6" ht="12.75" x14ac:dyDescent="0.2">
      <c r="A661" s="24"/>
      <c r="B661" s="24"/>
      <c r="D661" s="25"/>
      <c r="E661" s="24"/>
      <c r="F661" s="24"/>
    </row>
    <row r="662" spans="1:6" ht="12.75" x14ac:dyDescent="0.2">
      <c r="A662" s="24"/>
      <c r="B662" s="24"/>
      <c r="D662" s="25"/>
      <c r="E662" s="24"/>
      <c r="F662" s="24"/>
    </row>
    <row r="663" spans="1:6" ht="12.75" x14ac:dyDescent="0.2">
      <c r="A663" s="24"/>
      <c r="B663" s="24"/>
      <c r="D663" s="25"/>
      <c r="E663" s="24"/>
      <c r="F663" s="24"/>
    </row>
    <row r="664" spans="1:6" ht="12.75" x14ac:dyDescent="0.2">
      <c r="A664" s="24"/>
      <c r="B664" s="24"/>
      <c r="D664" s="25"/>
      <c r="E664" s="24"/>
      <c r="F664" s="24"/>
    </row>
    <row r="665" spans="1:6" ht="12.75" x14ac:dyDescent="0.2">
      <c r="A665" s="24"/>
      <c r="B665" s="24"/>
      <c r="D665" s="25"/>
      <c r="E665" s="24"/>
      <c r="F665" s="24"/>
    </row>
    <row r="666" spans="1:6" ht="12.75" x14ac:dyDescent="0.2">
      <c r="A666" s="24"/>
      <c r="B666" s="24"/>
      <c r="D666" s="25"/>
      <c r="E666" s="24"/>
      <c r="F666" s="24"/>
    </row>
    <row r="667" spans="1:6" ht="12.75" x14ac:dyDescent="0.2">
      <c r="A667" s="24"/>
      <c r="B667" s="24"/>
      <c r="D667" s="25"/>
      <c r="E667" s="24"/>
      <c r="F667" s="24"/>
    </row>
    <row r="668" spans="1:6" ht="12.75" x14ac:dyDescent="0.2">
      <c r="A668" s="24"/>
      <c r="B668" s="24"/>
      <c r="D668" s="25"/>
      <c r="E668" s="24"/>
      <c r="F668" s="24"/>
    </row>
    <row r="669" spans="1:6" ht="12.75" x14ac:dyDescent="0.2">
      <c r="A669" s="24"/>
      <c r="B669" s="24"/>
      <c r="D669" s="25"/>
      <c r="E669" s="24"/>
      <c r="F669" s="24"/>
    </row>
    <row r="670" spans="1:6" ht="12.75" x14ac:dyDescent="0.2">
      <c r="A670" s="24"/>
      <c r="B670" s="24"/>
      <c r="D670" s="25"/>
      <c r="E670" s="24"/>
      <c r="F670" s="24"/>
    </row>
    <row r="671" spans="1:6" ht="12.75" x14ac:dyDescent="0.2">
      <c r="A671" s="24"/>
      <c r="B671" s="24"/>
      <c r="D671" s="25"/>
      <c r="E671" s="24"/>
      <c r="F671" s="24"/>
    </row>
    <row r="672" spans="1:6" ht="12.75" x14ac:dyDescent="0.2">
      <c r="A672" s="24"/>
      <c r="B672" s="24"/>
      <c r="D672" s="25"/>
      <c r="E672" s="24"/>
      <c r="F672" s="24"/>
    </row>
    <row r="673" spans="1:6" ht="12.75" x14ac:dyDescent="0.2">
      <c r="A673" s="24"/>
      <c r="B673" s="24"/>
      <c r="D673" s="25"/>
      <c r="E673" s="24"/>
      <c r="F673" s="24"/>
    </row>
    <row r="674" spans="1:6" ht="12.75" x14ac:dyDescent="0.2">
      <c r="A674" s="24"/>
      <c r="B674" s="24"/>
      <c r="D674" s="25"/>
      <c r="E674" s="24"/>
      <c r="F674" s="24"/>
    </row>
    <row r="675" spans="1:6" ht="12.75" x14ac:dyDescent="0.2">
      <c r="A675" s="24"/>
      <c r="B675" s="24"/>
      <c r="D675" s="25"/>
      <c r="E675" s="24"/>
      <c r="F675" s="24"/>
    </row>
    <row r="676" spans="1:6" ht="12.75" x14ac:dyDescent="0.2">
      <c r="A676" s="24"/>
      <c r="B676" s="24"/>
      <c r="D676" s="25"/>
      <c r="E676" s="24"/>
      <c r="F676" s="24"/>
    </row>
    <row r="677" spans="1:6" ht="12.75" x14ac:dyDescent="0.2">
      <c r="A677" s="24"/>
      <c r="B677" s="24"/>
      <c r="D677" s="25"/>
      <c r="E677" s="24"/>
      <c r="F677" s="24"/>
    </row>
    <row r="678" spans="1:6" ht="12.75" x14ac:dyDescent="0.2">
      <c r="A678" s="24"/>
      <c r="B678" s="24"/>
      <c r="D678" s="25"/>
      <c r="E678" s="24"/>
      <c r="F678" s="24"/>
    </row>
    <row r="679" spans="1:6" ht="12.75" x14ac:dyDescent="0.2">
      <c r="A679" s="24"/>
      <c r="B679" s="24"/>
      <c r="D679" s="25"/>
      <c r="E679" s="24"/>
      <c r="F679" s="24"/>
    </row>
    <row r="680" spans="1:6" ht="12.75" x14ac:dyDescent="0.2">
      <c r="A680" s="24"/>
      <c r="B680" s="24"/>
      <c r="D680" s="25"/>
      <c r="E680" s="24"/>
      <c r="F680" s="24"/>
    </row>
    <row r="681" spans="1:6" ht="12.75" x14ac:dyDescent="0.2">
      <c r="A681" s="24"/>
      <c r="B681" s="24"/>
      <c r="D681" s="25"/>
      <c r="E681" s="24"/>
      <c r="F681" s="24"/>
    </row>
    <row r="682" spans="1:6" ht="12.75" x14ac:dyDescent="0.2">
      <c r="A682" s="24"/>
      <c r="B682" s="24"/>
      <c r="D682" s="25"/>
      <c r="E682" s="24"/>
      <c r="F682" s="24"/>
    </row>
    <row r="683" spans="1:6" ht="12.75" x14ac:dyDescent="0.2">
      <c r="A683" s="24"/>
      <c r="B683" s="24"/>
      <c r="D683" s="25"/>
      <c r="E683" s="24"/>
      <c r="F683" s="24"/>
    </row>
    <row r="684" spans="1:6" ht="12.75" x14ac:dyDescent="0.2">
      <c r="A684" s="24"/>
      <c r="B684" s="24"/>
      <c r="D684" s="25"/>
      <c r="E684" s="24"/>
      <c r="F684" s="24"/>
    </row>
    <row r="685" spans="1:6" ht="12.75" x14ac:dyDescent="0.2">
      <c r="A685" s="24"/>
      <c r="B685" s="24"/>
      <c r="D685" s="25"/>
      <c r="E685" s="24"/>
      <c r="F685" s="24"/>
    </row>
    <row r="686" spans="1:6" ht="12.75" x14ac:dyDescent="0.2">
      <c r="A686" s="24"/>
      <c r="B686" s="24"/>
      <c r="D686" s="25"/>
      <c r="E686" s="24"/>
      <c r="F686" s="24"/>
    </row>
    <row r="687" spans="1:6" ht="12.75" x14ac:dyDescent="0.2">
      <c r="A687" s="24"/>
      <c r="B687" s="24"/>
      <c r="D687" s="25"/>
      <c r="E687" s="24"/>
      <c r="F687" s="24"/>
    </row>
    <row r="688" spans="1:6" ht="12.75" x14ac:dyDescent="0.2">
      <c r="A688" s="24"/>
      <c r="B688" s="24"/>
      <c r="D688" s="25"/>
      <c r="E688" s="24"/>
      <c r="F688" s="24"/>
    </row>
    <row r="689" spans="1:6" ht="12.75" x14ac:dyDescent="0.2">
      <c r="A689" s="24"/>
      <c r="B689" s="24"/>
      <c r="D689" s="25"/>
      <c r="E689" s="24"/>
      <c r="F689" s="24"/>
    </row>
    <row r="690" spans="1:6" ht="12.75" x14ac:dyDescent="0.2">
      <c r="A690" s="24"/>
      <c r="B690" s="24"/>
      <c r="D690" s="25"/>
      <c r="E690" s="24"/>
      <c r="F690" s="24"/>
    </row>
    <row r="691" spans="1:6" ht="12.75" x14ac:dyDescent="0.2">
      <c r="A691" s="24"/>
      <c r="B691" s="24"/>
      <c r="D691" s="25"/>
      <c r="E691" s="24"/>
      <c r="F691" s="24"/>
    </row>
    <row r="692" spans="1:6" ht="12.75" x14ac:dyDescent="0.2">
      <c r="A692" s="24"/>
      <c r="B692" s="24"/>
      <c r="D692" s="25"/>
      <c r="E692" s="24"/>
      <c r="F692" s="24"/>
    </row>
    <row r="693" spans="1:6" ht="12.75" x14ac:dyDescent="0.2">
      <c r="A693" s="24"/>
      <c r="B693" s="24"/>
      <c r="D693" s="25"/>
      <c r="E693" s="24"/>
      <c r="F693" s="24"/>
    </row>
    <row r="694" spans="1:6" ht="12.75" x14ac:dyDescent="0.2">
      <c r="A694" s="24"/>
      <c r="B694" s="24"/>
      <c r="D694" s="25"/>
      <c r="E694" s="24"/>
      <c r="F694" s="24"/>
    </row>
    <row r="695" spans="1:6" ht="12.75" x14ac:dyDescent="0.2">
      <c r="A695" s="24"/>
      <c r="B695" s="24"/>
      <c r="D695" s="25"/>
      <c r="E695" s="24"/>
      <c r="F695" s="24"/>
    </row>
    <row r="696" spans="1:6" ht="12.75" x14ac:dyDescent="0.2">
      <c r="A696" s="24"/>
      <c r="B696" s="24"/>
      <c r="D696" s="25"/>
      <c r="E696" s="24"/>
      <c r="F696" s="24"/>
    </row>
    <row r="697" spans="1:6" ht="12.75" x14ac:dyDescent="0.2">
      <c r="A697" s="24"/>
      <c r="B697" s="24"/>
      <c r="D697" s="25"/>
      <c r="E697" s="24"/>
      <c r="F697" s="24"/>
    </row>
    <row r="698" spans="1:6" ht="12.75" x14ac:dyDescent="0.2">
      <c r="A698" s="24"/>
      <c r="B698" s="24"/>
      <c r="D698" s="25"/>
      <c r="E698" s="24"/>
      <c r="F698" s="24"/>
    </row>
    <row r="699" spans="1:6" ht="12.75" x14ac:dyDescent="0.2">
      <c r="A699" s="24"/>
      <c r="B699" s="24"/>
      <c r="D699" s="25"/>
      <c r="E699" s="24"/>
      <c r="F699" s="24"/>
    </row>
    <row r="700" spans="1:6" ht="12.75" x14ac:dyDescent="0.2">
      <c r="A700" s="24"/>
      <c r="B700" s="24"/>
      <c r="D700" s="25"/>
      <c r="E700" s="24"/>
      <c r="F700" s="24"/>
    </row>
    <row r="701" spans="1:6" ht="12.75" x14ac:dyDescent="0.2">
      <c r="A701" s="24"/>
      <c r="B701" s="24"/>
      <c r="D701" s="25"/>
      <c r="E701" s="24"/>
      <c r="F701" s="24"/>
    </row>
    <row r="702" spans="1:6" ht="12.75" x14ac:dyDescent="0.2">
      <c r="A702" s="24"/>
      <c r="B702" s="24"/>
      <c r="D702" s="25"/>
      <c r="E702" s="24"/>
      <c r="F702" s="24"/>
    </row>
    <row r="703" spans="1:6" ht="12.75" x14ac:dyDescent="0.2">
      <c r="A703" s="24"/>
      <c r="B703" s="24"/>
      <c r="D703" s="25"/>
      <c r="E703" s="24"/>
      <c r="F703" s="24"/>
    </row>
    <row r="704" spans="1:6" ht="12.75" x14ac:dyDescent="0.2">
      <c r="A704" s="24"/>
      <c r="B704" s="24"/>
      <c r="D704" s="25"/>
      <c r="E704" s="24"/>
      <c r="F704" s="24"/>
    </row>
    <row r="705" spans="1:6" ht="12.75" x14ac:dyDescent="0.2">
      <c r="A705" s="24"/>
      <c r="B705" s="24"/>
      <c r="D705" s="25"/>
      <c r="E705" s="24"/>
      <c r="F705" s="24"/>
    </row>
    <row r="706" spans="1:6" ht="12.75" x14ac:dyDescent="0.2">
      <c r="A706" s="24"/>
      <c r="B706" s="24"/>
      <c r="D706" s="25"/>
      <c r="E706" s="24"/>
      <c r="F706" s="24"/>
    </row>
    <row r="707" spans="1:6" ht="12.75" x14ac:dyDescent="0.2">
      <c r="A707" s="24"/>
      <c r="B707" s="24"/>
      <c r="D707" s="25"/>
      <c r="E707" s="24"/>
      <c r="F707" s="24"/>
    </row>
    <row r="708" spans="1:6" ht="12.75" x14ac:dyDescent="0.2">
      <c r="A708" s="24"/>
      <c r="B708" s="24"/>
      <c r="D708" s="25"/>
      <c r="E708" s="24"/>
      <c r="F708" s="24"/>
    </row>
    <row r="709" spans="1:6" ht="12.75" x14ac:dyDescent="0.2">
      <c r="A709" s="24"/>
      <c r="B709" s="24"/>
      <c r="D709" s="25"/>
      <c r="E709" s="24"/>
      <c r="F709" s="24"/>
    </row>
    <row r="710" spans="1:6" ht="12.75" x14ac:dyDescent="0.2">
      <c r="A710" s="24"/>
      <c r="B710" s="24"/>
      <c r="D710" s="25"/>
      <c r="E710" s="24"/>
      <c r="F710" s="24"/>
    </row>
    <row r="711" spans="1:6" ht="12.75" x14ac:dyDescent="0.2">
      <c r="A711" s="24"/>
      <c r="B711" s="24"/>
      <c r="D711" s="25"/>
      <c r="E711" s="24"/>
      <c r="F711" s="24"/>
    </row>
    <row r="712" spans="1:6" ht="12.75" x14ac:dyDescent="0.2">
      <c r="A712" s="24"/>
      <c r="B712" s="24"/>
      <c r="D712" s="25"/>
      <c r="E712" s="24"/>
      <c r="F712" s="24"/>
    </row>
    <row r="713" spans="1:6" ht="12.75" x14ac:dyDescent="0.2">
      <c r="A713" s="24"/>
      <c r="B713" s="24"/>
      <c r="D713" s="25"/>
      <c r="E713" s="24"/>
      <c r="F713" s="24"/>
    </row>
    <row r="714" spans="1:6" ht="12.75" x14ac:dyDescent="0.2">
      <c r="A714" s="24"/>
      <c r="B714" s="24"/>
      <c r="D714" s="25"/>
      <c r="E714" s="24"/>
      <c r="F714" s="24"/>
    </row>
    <row r="715" spans="1:6" ht="12.75" x14ac:dyDescent="0.2">
      <c r="A715" s="24"/>
      <c r="B715" s="24"/>
      <c r="D715" s="25"/>
      <c r="E715" s="24"/>
      <c r="F715" s="24"/>
    </row>
    <row r="716" spans="1:6" ht="12.75" x14ac:dyDescent="0.2">
      <c r="A716" s="24"/>
      <c r="B716" s="24"/>
      <c r="D716" s="25"/>
      <c r="E716" s="24"/>
      <c r="F716" s="24"/>
    </row>
    <row r="717" spans="1:6" ht="12.75" x14ac:dyDescent="0.2">
      <c r="A717" s="24"/>
      <c r="B717" s="24"/>
      <c r="D717" s="25"/>
      <c r="E717" s="24"/>
      <c r="F717" s="24"/>
    </row>
    <row r="718" spans="1:6" ht="12.75" x14ac:dyDescent="0.2">
      <c r="A718" s="24"/>
      <c r="B718" s="24"/>
      <c r="D718" s="25"/>
      <c r="E718" s="24"/>
      <c r="F718" s="24"/>
    </row>
    <row r="719" spans="1:6" ht="12.75" x14ac:dyDescent="0.2">
      <c r="A719" s="24"/>
      <c r="B719" s="24"/>
      <c r="D719" s="25"/>
      <c r="E719" s="24"/>
      <c r="F719" s="24"/>
    </row>
    <row r="720" spans="1:6" ht="12.75" x14ac:dyDescent="0.2">
      <c r="A720" s="24"/>
      <c r="B720" s="24"/>
      <c r="D720" s="25"/>
      <c r="E720" s="24"/>
      <c r="F720" s="24"/>
    </row>
    <row r="721" spans="1:6" ht="12.75" x14ac:dyDescent="0.2">
      <c r="A721" s="24"/>
      <c r="B721" s="24"/>
      <c r="D721" s="25"/>
      <c r="E721" s="24"/>
      <c r="F721" s="24"/>
    </row>
    <row r="722" spans="1:6" ht="12.75" x14ac:dyDescent="0.2">
      <c r="A722" s="24"/>
      <c r="B722" s="24"/>
      <c r="D722" s="25"/>
      <c r="E722" s="24"/>
      <c r="F722" s="24"/>
    </row>
    <row r="723" spans="1:6" ht="12.75" x14ac:dyDescent="0.2">
      <c r="A723" s="24"/>
      <c r="B723" s="24"/>
      <c r="D723" s="25"/>
      <c r="E723" s="24"/>
      <c r="F723" s="24"/>
    </row>
    <row r="724" spans="1:6" ht="12.75" x14ac:dyDescent="0.2">
      <c r="A724" s="24"/>
      <c r="B724" s="24"/>
      <c r="D724" s="25"/>
      <c r="E724" s="24"/>
      <c r="F724" s="24"/>
    </row>
    <row r="725" spans="1:6" ht="12.75" x14ac:dyDescent="0.2">
      <c r="A725" s="24"/>
      <c r="B725" s="24"/>
      <c r="D725" s="25"/>
      <c r="E725" s="24"/>
      <c r="F725" s="24"/>
    </row>
    <row r="726" spans="1:6" ht="12.75" x14ac:dyDescent="0.2">
      <c r="A726" s="24"/>
      <c r="B726" s="24"/>
      <c r="D726" s="25"/>
      <c r="E726" s="24"/>
      <c r="F726" s="24"/>
    </row>
    <row r="727" spans="1:6" ht="12.75" x14ac:dyDescent="0.2">
      <c r="A727" s="24"/>
      <c r="B727" s="24"/>
      <c r="D727" s="25"/>
      <c r="E727" s="24"/>
      <c r="F727" s="24"/>
    </row>
    <row r="728" spans="1:6" ht="12.75" x14ac:dyDescent="0.2">
      <c r="A728" s="24"/>
      <c r="B728" s="24"/>
      <c r="D728" s="25"/>
      <c r="E728" s="24"/>
      <c r="F728" s="24"/>
    </row>
    <row r="729" spans="1:6" ht="12.75" x14ac:dyDescent="0.2">
      <c r="A729" s="24"/>
      <c r="B729" s="24"/>
      <c r="D729" s="25"/>
      <c r="E729" s="24"/>
      <c r="F729" s="24"/>
    </row>
    <row r="730" spans="1:6" ht="12.75" x14ac:dyDescent="0.2">
      <c r="A730" s="24"/>
      <c r="B730" s="24"/>
      <c r="D730" s="25"/>
      <c r="E730" s="24"/>
      <c r="F730" s="24"/>
    </row>
    <row r="731" spans="1:6" ht="12.75" x14ac:dyDescent="0.2">
      <c r="A731" s="24"/>
      <c r="B731" s="24"/>
      <c r="D731" s="25"/>
      <c r="E731" s="24"/>
      <c r="F731" s="24"/>
    </row>
    <row r="732" spans="1:6" ht="12.75" x14ac:dyDescent="0.2">
      <c r="A732" s="24"/>
      <c r="B732" s="24"/>
      <c r="D732" s="25"/>
      <c r="E732" s="24"/>
      <c r="F732" s="24"/>
    </row>
    <row r="733" spans="1:6" ht="12.75" x14ac:dyDescent="0.2">
      <c r="A733" s="24"/>
      <c r="B733" s="24"/>
      <c r="D733" s="25"/>
      <c r="E733" s="24"/>
      <c r="F733" s="24"/>
    </row>
    <row r="734" spans="1:6" ht="12.75" x14ac:dyDescent="0.2">
      <c r="A734" s="24"/>
      <c r="B734" s="24"/>
      <c r="D734" s="25"/>
      <c r="E734" s="24"/>
      <c r="F734" s="24"/>
    </row>
    <row r="735" spans="1:6" ht="12.75" x14ac:dyDescent="0.2">
      <c r="A735" s="24"/>
      <c r="B735" s="24"/>
      <c r="D735" s="25"/>
      <c r="E735" s="24"/>
      <c r="F735" s="24"/>
    </row>
    <row r="736" spans="1:6" ht="12.75" x14ac:dyDescent="0.2">
      <c r="A736" s="24"/>
      <c r="B736" s="24"/>
      <c r="D736" s="25"/>
      <c r="E736" s="24"/>
      <c r="F736" s="24"/>
    </row>
    <row r="737" spans="1:6" ht="12.75" x14ac:dyDescent="0.2">
      <c r="A737" s="24"/>
      <c r="B737" s="24"/>
      <c r="D737" s="25"/>
      <c r="E737" s="24"/>
      <c r="F737" s="24"/>
    </row>
    <row r="738" spans="1:6" ht="12.75" x14ac:dyDescent="0.2">
      <c r="A738" s="24"/>
      <c r="B738" s="24"/>
      <c r="D738" s="25"/>
      <c r="E738" s="24"/>
      <c r="F738" s="24"/>
    </row>
    <row r="739" spans="1:6" ht="12.75" x14ac:dyDescent="0.2">
      <c r="A739" s="24"/>
      <c r="B739" s="24"/>
      <c r="D739" s="25"/>
      <c r="E739" s="24"/>
      <c r="F739" s="24"/>
    </row>
    <row r="740" spans="1:6" ht="12.75" x14ac:dyDescent="0.2">
      <c r="A740" s="24"/>
      <c r="B740" s="24"/>
      <c r="D740" s="25"/>
      <c r="E740" s="24"/>
      <c r="F740" s="24"/>
    </row>
    <row r="741" spans="1:6" ht="12.75" x14ac:dyDescent="0.2">
      <c r="A741" s="24"/>
      <c r="B741" s="24"/>
      <c r="D741" s="25"/>
      <c r="E741" s="24"/>
      <c r="F741" s="24"/>
    </row>
    <row r="742" spans="1:6" ht="12.75" x14ac:dyDescent="0.2">
      <c r="A742" s="24"/>
      <c r="B742" s="24"/>
      <c r="D742" s="25"/>
      <c r="E742" s="24"/>
      <c r="F742" s="24"/>
    </row>
    <row r="743" spans="1:6" ht="12.75" x14ac:dyDescent="0.2">
      <c r="A743" s="24"/>
      <c r="B743" s="24"/>
      <c r="D743" s="25"/>
      <c r="E743" s="24"/>
      <c r="F743" s="24"/>
    </row>
    <row r="744" spans="1:6" ht="12.75" x14ac:dyDescent="0.2">
      <c r="A744" s="24"/>
      <c r="B744" s="24"/>
      <c r="D744" s="25"/>
      <c r="E744" s="24"/>
      <c r="F744" s="24"/>
    </row>
    <row r="745" spans="1:6" ht="12.75" x14ac:dyDescent="0.2">
      <c r="A745" s="24"/>
      <c r="B745" s="24"/>
      <c r="D745" s="25"/>
      <c r="E745" s="24"/>
      <c r="F745" s="24"/>
    </row>
    <row r="746" spans="1:6" ht="12.75" x14ac:dyDescent="0.2">
      <c r="A746" s="24"/>
      <c r="B746" s="24"/>
      <c r="D746" s="25"/>
      <c r="E746" s="24"/>
      <c r="F746" s="24"/>
    </row>
    <row r="747" spans="1:6" ht="12.75" x14ac:dyDescent="0.2">
      <c r="A747" s="24"/>
      <c r="B747" s="24"/>
      <c r="D747" s="25"/>
      <c r="E747" s="24"/>
      <c r="F747" s="24"/>
    </row>
    <row r="748" spans="1:6" ht="12.75" x14ac:dyDescent="0.2">
      <c r="A748" s="24"/>
      <c r="B748" s="24"/>
      <c r="D748" s="25"/>
      <c r="E748" s="24"/>
      <c r="F748" s="24"/>
    </row>
    <row r="749" spans="1:6" ht="12.75" x14ac:dyDescent="0.2">
      <c r="A749" s="24"/>
      <c r="B749" s="24"/>
      <c r="D749" s="25"/>
      <c r="E749" s="24"/>
      <c r="F749" s="24"/>
    </row>
    <row r="750" spans="1:6" ht="12.75" x14ac:dyDescent="0.2">
      <c r="A750" s="24"/>
      <c r="B750" s="24"/>
      <c r="D750" s="25"/>
      <c r="E750" s="24"/>
      <c r="F750" s="24"/>
    </row>
    <row r="751" spans="1:6" ht="12.75" x14ac:dyDescent="0.2">
      <c r="A751" s="24"/>
      <c r="B751" s="24"/>
      <c r="D751" s="25"/>
      <c r="E751" s="24"/>
      <c r="F751" s="24"/>
    </row>
    <row r="752" spans="1:6" ht="12.75" x14ac:dyDescent="0.2">
      <c r="A752" s="24"/>
      <c r="B752" s="24"/>
      <c r="D752" s="25"/>
      <c r="E752" s="24"/>
      <c r="F752" s="24"/>
    </row>
    <row r="753" spans="1:6" ht="12.75" x14ac:dyDescent="0.2">
      <c r="A753" s="24"/>
      <c r="B753" s="24"/>
      <c r="D753" s="25"/>
      <c r="E753" s="24"/>
      <c r="F753" s="24"/>
    </row>
    <row r="754" spans="1:6" ht="12.75" x14ac:dyDescent="0.2">
      <c r="A754" s="24"/>
      <c r="B754" s="24"/>
      <c r="D754" s="25"/>
      <c r="E754" s="24"/>
      <c r="F754" s="24"/>
    </row>
    <row r="755" spans="1:6" ht="12.75" x14ac:dyDescent="0.2">
      <c r="A755" s="24"/>
      <c r="B755" s="24"/>
      <c r="D755" s="25"/>
      <c r="E755" s="24"/>
      <c r="F755" s="24"/>
    </row>
    <row r="756" spans="1:6" ht="12.75" x14ac:dyDescent="0.2">
      <c r="A756" s="24"/>
      <c r="B756" s="24"/>
      <c r="D756" s="25"/>
      <c r="E756" s="24"/>
      <c r="F756" s="24"/>
    </row>
    <row r="757" spans="1:6" ht="12.75" x14ac:dyDescent="0.2">
      <c r="A757" s="24"/>
      <c r="B757" s="24"/>
      <c r="D757" s="25"/>
      <c r="E757" s="24"/>
      <c r="F757" s="24"/>
    </row>
    <row r="758" spans="1:6" ht="12.75" x14ac:dyDescent="0.2">
      <c r="A758" s="24"/>
      <c r="B758" s="24"/>
      <c r="D758" s="25"/>
      <c r="E758" s="24"/>
      <c r="F758" s="24"/>
    </row>
    <row r="759" spans="1:6" ht="12.75" x14ac:dyDescent="0.2">
      <c r="A759" s="24"/>
      <c r="B759" s="24"/>
      <c r="D759" s="25"/>
      <c r="E759" s="24"/>
      <c r="F759" s="24"/>
    </row>
    <row r="760" spans="1:6" ht="12.75" x14ac:dyDescent="0.2">
      <c r="A760" s="24"/>
      <c r="B760" s="24"/>
      <c r="D760" s="25"/>
      <c r="E760" s="24"/>
      <c r="F760" s="24"/>
    </row>
    <row r="761" spans="1:6" ht="12.75" x14ac:dyDescent="0.2">
      <c r="A761" s="24"/>
      <c r="B761" s="24"/>
      <c r="D761" s="25"/>
      <c r="E761" s="24"/>
      <c r="F761" s="24"/>
    </row>
    <row r="762" spans="1:6" ht="12.75" x14ac:dyDescent="0.2">
      <c r="A762" s="24"/>
      <c r="B762" s="24"/>
      <c r="D762" s="25"/>
      <c r="E762" s="24"/>
      <c r="F762" s="24"/>
    </row>
    <row r="763" spans="1:6" ht="12.75" x14ac:dyDescent="0.2">
      <c r="A763" s="24"/>
      <c r="B763" s="24"/>
      <c r="D763" s="25"/>
      <c r="E763" s="24"/>
      <c r="F763" s="24"/>
    </row>
    <row r="764" spans="1:6" ht="12.75" x14ac:dyDescent="0.2">
      <c r="A764" s="24"/>
      <c r="B764" s="24"/>
      <c r="D764" s="25"/>
      <c r="E764" s="24"/>
      <c r="F764" s="24"/>
    </row>
    <row r="765" spans="1:6" ht="12.75" x14ac:dyDescent="0.2">
      <c r="A765" s="24"/>
      <c r="B765" s="24"/>
      <c r="D765" s="25"/>
      <c r="E765" s="24"/>
      <c r="F765" s="24"/>
    </row>
    <row r="766" spans="1:6" ht="12.75" x14ac:dyDescent="0.2">
      <c r="A766" s="24"/>
      <c r="B766" s="24"/>
      <c r="D766" s="25"/>
      <c r="E766" s="24"/>
      <c r="F766" s="24"/>
    </row>
    <row r="767" spans="1:6" ht="12.75" x14ac:dyDescent="0.2">
      <c r="A767" s="24"/>
      <c r="B767" s="24"/>
      <c r="D767" s="25"/>
      <c r="E767" s="24"/>
      <c r="F767" s="24"/>
    </row>
    <row r="768" spans="1:6" ht="12.75" x14ac:dyDescent="0.2">
      <c r="A768" s="24"/>
      <c r="B768" s="24"/>
      <c r="D768" s="25"/>
      <c r="E768" s="24"/>
      <c r="F768" s="24"/>
    </row>
    <row r="769" spans="1:6" ht="12.75" x14ac:dyDescent="0.2">
      <c r="A769" s="24"/>
      <c r="B769" s="24"/>
      <c r="D769" s="25"/>
      <c r="E769" s="24"/>
      <c r="F769" s="24"/>
    </row>
    <row r="770" spans="1:6" ht="12.75" x14ac:dyDescent="0.2">
      <c r="A770" s="24"/>
      <c r="B770" s="24"/>
      <c r="D770" s="25"/>
      <c r="E770" s="24"/>
      <c r="F770" s="24"/>
    </row>
    <row r="771" spans="1:6" ht="12.75" x14ac:dyDescent="0.2">
      <c r="A771" s="24"/>
      <c r="B771" s="24"/>
      <c r="D771" s="25"/>
      <c r="E771" s="24"/>
      <c r="F771" s="24"/>
    </row>
    <row r="772" spans="1:6" ht="12.75" x14ac:dyDescent="0.2">
      <c r="A772" s="24"/>
      <c r="B772" s="24"/>
      <c r="D772" s="25"/>
      <c r="E772" s="24"/>
      <c r="F772" s="24"/>
    </row>
    <row r="773" spans="1:6" ht="12.75" x14ac:dyDescent="0.2">
      <c r="A773" s="24"/>
      <c r="B773" s="24"/>
      <c r="D773" s="25"/>
      <c r="E773" s="24"/>
      <c r="F773" s="24"/>
    </row>
    <row r="774" spans="1:6" ht="12.75" x14ac:dyDescent="0.2">
      <c r="A774" s="24"/>
      <c r="B774" s="24"/>
      <c r="D774" s="25"/>
      <c r="E774" s="24"/>
      <c r="F774" s="24"/>
    </row>
    <row r="775" spans="1:6" ht="12.75" x14ac:dyDescent="0.2">
      <c r="A775" s="24"/>
      <c r="B775" s="24"/>
      <c r="D775" s="25"/>
      <c r="E775" s="24"/>
      <c r="F775" s="24"/>
    </row>
    <row r="776" spans="1:6" ht="12.75" x14ac:dyDescent="0.2">
      <c r="A776" s="24"/>
      <c r="B776" s="24"/>
      <c r="D776" s="25"/>
      <c r="E776" s="24"/>
      <c r="F776" s="24"/>
    </row>
    <row r="777" spans="1:6" ht="12.75" x14ac:dyDescent="0.2">
      <c r="A777" s="24"/>
      <c r="B777" s="24"/>
      <c r="D777" s="25"/>
      <c r="E777" s="24"/>
      <c r="F777" s="24"/>
    </row>
    <row r="778" spans="1:6" ht="12.75" x14ac:dyDescent="0.2">
      <c r="A778" s="24"/>
      <c r="B778" s="24"/>
      <c r="D778" s="25"/>
      <c r="E778" s="24"/>
      <c r="F778" s="24"/>
    </row>
    <row r="779" spans="1:6" ht="12.75" x14ac:dyDescent="0.2">
      <c r="A779" s="24"/>
      <c r="B779" s="24"/>
      <c r="D779" s="25"/>
      <c r="E779" s="24"/>
      <c r="F779" s="24"/>
    </row>
    <row r="780" spans="1:6" ht="12.75" x14ac:dyDescent="0.2">
      <c r="A780" s="24"/>
      <c r="B780" s="24"/>
      <c r="D780" s="25"/>
      <c r="E780" s="24"/>
      <c r="F780" s="24"/>
    </row>
    <row r="781" spans="1:6" ht="12.75" x14ac:dyDescent="0.2">
      <c r="A781" s="24"/>
      <c r="B781" s="24"/>
      <c r="D781" s="25"/>
      <c r="E781" s="24"/>
      <c r="F781" s="24"/>
    </row>
    <row r="782" spans="1:6" ht="12.75" x14ac:dyDescent="0.2">
      <c r="A782" s="24"/>
      <c r="B782" s="24"/>
      <c r="D782" s="25"/>
      <c r="E782" s="24"/>
      <c r="F782" s="24"/>
    </row>
    <row r="783" spans="1:6" ht="12.75" x14ac:dyDescent="0.2">
      <c r="A783" s="24"/>
      <c r="B783" s="24"/>
      <c r="D783" s="25"/>
      <c r="E783" s="24"/>
      <c r="F783" s="24"/>
    </row>
    <row r="784" spans="1:6" ht="12.75" x14ac:dyDescent="0.2">
      <c r="A784" s="24"/>
      <c r="B784" s="24"/>
      <c r="D784" s="25"/>
      <c r="E784" s="24"/>
      <c r="F784" s="24"/>
    </row>
    <row r="785" spans="1:6" ht="12.75" x14ac:dyDescent="0.2">
      <c r="A785" s="24"/>
      <c r="B785" s="24"/>
      <c r="D785" s="25"/>
      <c r="E785" s="24"/>
      <c r="F785" s="24"/>
    </row>
    <row r="786" spans="1:6" ht="12.75" x14ac:dyDescent="0.2">
      <c r="A786" s="24"/>
      <c r="B786" s="24"/>
      <c r="D786" s="25"/>
      <c r="E786" s="24"/>
      <c r="F786" s="24"/>
    </row>
    <row r="787" spans="1:6" ht="12.75" x14ac:dyDescent="0.2">
      <c r="A787" s="24"/>
      <c r="B787" s="24"/>
      <c r="D787" s="25"/>
      <c r="E787" s="24"/>
      <c r="F787" s="24"/>
    </row>
    <row r="788" spans="1:6" ht="12.75" x14ac:dyDescent="0.2">
      <c r="A788" s="24"/>
      <c r="B788" s="24"/>
      <c r="D788" s="25"/>
      <c r="E788" s="24"/>
      <c r="F788" s="24"/>
    </row>
    <row r="789" spans="1:6" ht="12.75" x14ac:dyDescent="0.2">
      <c r="A789" s="24"/>
      <c r="B789" s="24"/>
      <c r="D789" s="25"/>
      <c r="E789" s="24"/>
      <c r="F789" s="24"/>
    </row>
    <row r="790" spans="1:6" ht="12.75" x14ac:dyDescent="0.2">
      <c r="A790" s="24"/>
      <c r="B790" s="24"/>
      <c r="D790" s="25"/>
      <c r="E790" s="24"/>
      <c r="F790" s="24"/>
    </row>
    <row r="791" spans="1:6" ht="12.75" x14ac:dyDescent="0.2">
      <c r="A791" s="24"/>
      <c r="B791" s="24"/>
      <c r="D791" s="25"/>
      <c r="E791" s="24"/>
      <c r="F791" s="24"/>
    </row>
    <row r="792" spans="1:6" ht="12.75" x14ac:dyDescent="0.2">
      <c r="A792" s="24"/>
      <c r="B792" s="24"/>
      <c r="D792" s="25"/>
      <c r="E792" s="24"/>
      <c r="F792" s="24"/>
    </row>
    <row r="793" spans="1:6" ht="12.75" x14ac:dyDescent="0.2">
      <c r="A793" s="24"/>
      <c r="B793" s="24"/>
      <c r="D793" s="25"/>
      <c r="E793" s="24"/>
      <c r="F793" s="24"/>
    </row>
    <row r="794" spans="1:6" ht="12.75" x14ac:dyDescent="0.2">
      <c r="A794" s="24"/>
      <c r="B794" s="24"/>
      <c r="D794" s="25"/>
      <c r="E794" s="24"/>
      <c r="F794" s="24"/>
    </row>
    <row r="795" spans="1:6" ht="12.75" x14ac:dyDescent="0.2">
      <c r="A795" s="24"/>
      <c r="B795" s="24"/>
      <c r="D795" s="25"/>
      <c r="E795" s="24"/>
      <c r="F795" s="24"/>
    </row>
    <row r="796" spans="1:6" ht="12.75" x14ac:dyDescent="0.2">
      <c r="A796" s="24"/>
      <c r="B796" s="24"/>
      <c r="D796" s="25"/>
      <c r="E796" s="24"/>
      <c r="F796" s="24"/>
    </row>
    <row r="797" spans="1:6" ht="12.75" x14ac:dyDescent="0.2">
      <c r="A797" s="24"/>
      <c r="B797" s="24"/>
      <c r="D797" s="25"/>
      <c r="E797" s="24"/>
      <c r="F797" s="24"/>
    </row>
    <row r="798" spans="1:6" ht="12.75" x14ac:dyDescent="0.2">
      <c r="A798" s="24"/>
      <c r="B798" s="24"/>
      <c r="D798" s="25"/>
      <c r="E798" s="24"/>
      <c r="F798" s="24"/>
    </row>
    <row r="799" spans="1:6" ht="12.75" x14ac:dyDescent="0.2">
      <c r="A799" s="24"/>
      <c r="B799" s="24"/>
      <c r="D799" s="25"/>
      <c r="E799" s="24"/>
      <c r="F799" s="24"/>
    </row>
    <row r="800" spans="1:6" ht="12.75" x14ac:dyDescent="0.2">
      <c r="A800" s="24"/>
      <c r="B800" s="24"/>
      <c r="D800" s="25"/>
      <c r="E800" s="24"/>
      <c r="F800" s="24"/>
    </row>
    <row r="801" spans="1:6" ht="12.75" x14ac:dyDescent="0.2">
      <c r="A801" s="24"/>
      <c r="B801" s="24"/>
      <c r="D801" s="25"/>
      <c r="E801" s="24"/>
      <c r="F801" s="24"/>
    </row>
    <row r="802" spans="1:6" ht="12.75" x14ac:dyDescent="0.2">
      <c r="A802" s="24"/>
      <c r="B802" s="24"/>
      <c r="D802" s="25"/>
      <c r="E802" s="24"/>
      <c r="F802" s="24"/>
    </row>
    <row r="803" spans="1:6" ht="12.75" x14ac:dyDescent="0.2">
      <c r="A803" s="24"/>
      <c r="B803" s="24"/>
      <c r="D803" s="25"/>
      <c r="E803" s="24"/>
      <c r="F803" s="24"/>
    </row>
    <row r="804" spans="1:6" ht="12.75" x14ac:dyDescent="0.2">
      <c r="A804" s="24"/>
      <c r="B804" s="24"/>
      <c r="D804" s="25"/>
      <c r="E804" s="24"/>
      <c r="F804" s="24"/>
    </row>
    <row r="805" spans="1:6" ht="12.75" x14ac:dyDescent="0.2">
      <c r="A805" s="24"/>
      <c r="B805" s="24"/>
      <c r="D805" s="25"/>
      <c r="E805" s="24"/>
      <c r="F805" s="24"/>
    </row>
    <row r="806" spans="1:6" ht="12.75" x14ac:dyDescent="0.2">
      <c r="A806" s="24"/>
      <c r="B806" s="24"/>
      <c r="D806" s="25"/>
      <c r="E806" s="24"/>
      <c r="F806" s="24"/>
    </row>
    <row r="807" spans="1:6" ht="12.75" x14ac:dyDescent="0.2">
      <c r="A807" s="24"/>
      <c r="B807" s="24"/>
      <c r="D807" s="25"/>
      <c r="E807" s="24"/>
      <c r="F807" s="24"/>
    </row>
    <row r="808" spans="1:6" ht="12.75" x14ac:dyDescent="0.2">
      <c r="A808" s="24"/>
      <c r="B808" s="24"/>
      <c r="D808" s="25"/>
      <c r="E808" s="24"/>
      <c r="F808" s="24"/>
    </row>
    <row r="809" spans="1:6" ht="12.75" x14ac:dyDescent="0.2">
      <c r="A809" s="24"/>
      <c r="B809" s="24"/>
      <c r="D809" s="25"/>
      <c r="E809" s="24"/>
      <c r="F809" s="24"/>
    </row>
    <row r="810" spans="1:6" ht="12.75" x14ac:dyDescent="0.2">
      <c r="A810" s="24"/>
      <c r="B810" s="24"/>
      <c r="D810" s="25"/>
      <c r="E810" s="24"/>
      <c r="F810" s="24"/>
    </row>
    <row r="811" spans="1:6" ht="12.75" x14ac:dyDescent="0.2">
      <c r="A811" s="24"/>
      <c r="B811" s="24"/>
      <c r="D811" s="25"/>
      <c r="E811" s="24"/>
      <c r="F811" s="24"/>
    </row>
    <row r="812" spans="1:6" ht="12.75" x14ac:dyDescent="0.2">
      <c r="A812" s="24"/>
      <c r="B812" s="24"/>
      <c r="D812" s="25"/>
      <c r="E812" s="24"/>
      <c r="F812" s="24"/>
    </row>
    <row r="813" spans="1:6" ht="12.75" x14ac:dyDescent="0.2">
      <c r="A813" s="24"/>
      <c r="B813" s="24"/>
      <c r="D813" s="25"/>
      <c r="E813" s="24"/>
      <c r="F813" s="24"/>
    </row>
    <row r="814" spans="1:6" ht="12.75" x14ac:dyDescent="0.2">
      <c r="A814" s="24"/>
      <c r="B814" s="24"/>
      <c r="D814" s="25"/>
      <c r="E814" s="24"/>
      <c r="F814" s="24"/>
    </row>
    <row r="815" spans="1:6" ht="12.75" x14ac:dyDescent="0.2">
      <c r="A815" s="24"/>
      <c r="B815" s="24"/>
      <c r="D815" s="25"/>
      <c r="E815" s="24"/>
      <c r="F815" s="24"/>
    </row>
    <row r="816" spans="1:6" ht="12.75" x14ac:dyDescent="0.2">
      <c r="A816" s="24"/>
      <c r="B816" s="24"/>
      <c r="D816" s="25"/>
      <c r="E816" s="24"/>
      <c r="F816" s="24"/>
    </row>
    <row r="817" spans="1:6" ht="12.75" x14ac:dyDescent="0.2">
      <c r="A817" s="24"/>
      <c r="B817" s="24"/>
      <c r="D817" s="25"/>
      <c r="E817" s="24"/>
      <c r="F817" s="24"/>
    </row>
    <row r="818" spans="1:6" ht="12.75" x14ac:dyDescent="0.2">
      <c r="A818" s="24"/>
      <c r="B818" s="24"/>
      <c r="D818" s="25"/>
      <c r="E818" s="24"/>
      <c r="F818" s="24"/>
    </row>
    <row r="819" spans="1:6" ht="12.75" x14ac:dyDescent="0.2">
      <c r="A819" s="24"/>
      <c r="B819" s="24"/>
      <c r="D819" s="25"/>
      <c r="E819" s="24"/>
      <c r="F819" s="24"/>
    </row>
    <row r="820" spans="1:6" ht="12.75" x14ac:dyDescent="0.2">
      <c r="A820" s="24"/>
      <c r="B820" s="24"/>
      <c r="D820" s="25"/>
      <c r="E820" s="24"/>
      <c r="F820" s="24"/>
    </row>
    <row r="821" spans="1:6" ht="12.75" x14ac:dyDescent="0.2">
      <c r="A821" s="24"/>
      <c r="B821" s="24"/>
      <c r="D821" s="25"/>
      <c r="E821" s="24"/>
      <c r="F821" s="24"/>
    </row>
    <row r="822" spans="1:6" ht="12.75" x14ac:dyDescent="0.2">
      <c r="A822" s="24"/>
      <c r="B822" s="24"/>
      <c r="D822" s="25"/>
      <c r="E822" s="24"/>
      <c r="F822" s="24"/>
    </row>
    <row r="823" spans="1:6" ht="12.75" x14ac:dyDescent="0.2">
      <c r="A823" s="24"/>
      <c r="B823" s="24"/>
      <c r="D823" s="25"/>
      <c r="E823" s="24"/>
      <c r="F823" s="24"/>
    </row>
    <row r="824" spans="1:6" ht="12.75" x14ac:dyDescent="0.2">
      <c r="A824" s="24"/>
      <c r="B824" s="24"/>
      <c r="D824" s="25"/>
      <c r="E824" s="24"/>
      <c r="F824" s="24"/>
    </row>
    <row r="825" spans="1:6" ht="12.75" x14ac:dyDescent="0.2">
      <c r="A825" s="24"/>
      <c r="B825" s="24"/>
      <c r="D825" s="25"/>
      <c r="E825" s="24"/>
      <c r="F825" s="24"/>
    </row>
    <row r="826" spans="1:6" ht="12.75" x14ac:dyDescent="0.2">
      <c r="A826" s="24"/>
      <c r="B826" s="24"/>
      <c r="D826" s="25"/>
      <c r="E826" s="24"/>
      <c r="F826" s="24"/>
    </row>
    <row r="827" spans="1:6" ht="12.75" x14ac:dyDescent="0.2">
      <c r="A827" s="24"/>
      <c r="B827" s="24"/>
      <c r="D827" s="25"/>
      <c r="E827" s="24"/>
      <c r="F827" s="24"/>
    </row>
    <row r="828" spans="1:6" ht="12.75" x14ac:dyDescent="0.2">
      <c r="A828" s="24"/>
      <c r="B828" s="24"/>
      <c r="D828" s="25"/>
      <c r="E828" s="24"/>
      <c r="F828" s="24"/>
    </row>
    <row r="829" spans="1:6" ht="12.75" x14ac:dyDescent="0.2">
      <c r="A829" s="24"/>
      <c r="B829" s="24"/>
      <c r="D829" s="25"/>
      <c r="E829" s="24"/>
      <c r="F829" s="24"/>
    </row>
    <row r="830" spans="1:6" ht="12.75" x14ac:dyDescent="0.2">
      <c r="A830" s="24"/>
      <c r="B830" s="24"/>
      <c r="D830" s="25"/>
      <c r="E830" s="24"/>
      <c r="F830" s="24"/>
    </row>
    <row r="831" spans="1:6" ht="12.75" x14ac:dyDescent="0.2">
      <c r="A831" s="24"/>
      <c r="B831" s="24"/>
      <c r="D831" s="25"/>
      <c r="E831" s="24"/>
      <c r="F831" s="24"/>
    </row>
    <row r="832" spans="1:6" ht="12.75" x14ac:dyDescent="0.2">
      <c r="A832" s="24"/>
      <c r="B832" s="24"/>
      <c r="D832" s="25"/>
      <c r="E832" s="24"/>
      <c r="F832" s="24"/>
    </row>
    <row r="833" spans="1:6" ht="12.75" x14ac:dyDescent="0.2">
      <c r="A833" s="24"/>
      <c r="B833" s="24"/>
      <c r="D833" s="25"/>
      <c r="E833" s="24"/>
      <c r="F833" s="24"/>
    </row>
    <row r="834" spans="1:6" ht="12.75" x14ac:dyDescent="0.2">
      <c r="A834" s="24"/>
      <c r="B834" s="24"/>
      <c r="D834" s="25"/>
      <c r="E834" s="24"/>
      <c r="F834" s="24"/>
    </row>
    <row r="835" spans="1:6" ht="12.75" x14ac:dyDescent="0.2">
      <c r="A835" s="24"/>
      <c r="B835" s="24"/>
      <c r="D835" s="25"/>
      <c r="E835" s="24"/>
      <c r="F835" s="24"/>
    </row>
    <row r="836" spans="1:6" ht="12.75" x14ac:dyDescent="0.2">
      <c r="A836" s="24"/>
      <c r="B836" s="24"/>
      <c r="D836" s="25"/>
      <c r="E836" s="24"/>
      <c r="F836" s="24"/>
    </row>
    <row r="837" spans="1:6" ht="12.75" x14ac:dyDescent="0.2">
      <c r="A837" s="24"/>
      <c r="B837" s="24"/>
      <c r="D837" s="25"/>
      <c r="E837" s="24"/>
      <c r="F837" s="24"/>
    </row>
    <row r="838" spans="1:6" ht="12.75" x14ac:dyDescent="0.2">
      <c r="A838" s="24"/>
      <c r="B838" s="24"/>
      <c r="D838" s="25"/>
      <c r="E838" s="24"/>
      <c r="F838" s="24"/>
    </row>
    <row r="839" spans="1:6" ht="12.75" x14ac:dyDescent="0.2">
      <c r="A839" s="24"/>
      <c r="B839" s="24"/>
      <c r="D839" s="25"/>
      <c r="E839" s="24"/>
      <c r="F839" s="24"/>
    </row>
    <row r="840" spans="1:6" ht="12.75" x14ac:dyDescent="0.2">
      <c r="A840" s="24"/>
      <c r="B840" s="24"/>
      <c r="D840" s="25"/>
      <c r="E840" s="24"/>
      <c r="F840" s="24"/>
    </row>
    <row r="841" spans="1:6" ht="12.75" x14ac:dyDescent="0.2">
      <c r="A841" s="24"/>
      <c r="B841" s="24"/>
      <c r="D841" s="25"/>
      <c r="E841" s="24"/>
      <c r="F841" s="24"/>
    </row>
    <row r="842" spans="1:6" ht="12.75" x14ac:dyDescent="0.2">
      <c r="A842" s="24"/>
      <c r="B842" s="24"/>
      <c r="D842" s="25"/>
      <c r="E842" s="24"/>
      <c r="F842" s="24"/>
    </row>
    <row r="843" spans="1:6" ht="12.75" x14ac:dyDescent="0.2">
      <c r="A843" s="24"/>
      <c r="B843" s="24"/>
      <c r="D843" s="25"/>
      <c r="E843" s="24"/>
      <c r="F843" s="24"/>
    </row>
    <row r="844" spans="1:6" ht="12.75" x14ac:dyDescent="0.2">
      <c r="A844" s="24"/>
      <c r="B844" s="24"/>
      <c r="D844" s="25"/>
      <c r="E844" s="24"/>
      <c r="F844" s="24"/>
    </row>
    <row r="845" spans="1:6" ht="12.75" x14ac:dyDescent="0.2">
      <c r="A845" s="24"/>
      <c r="B845" s="24"/>
      <c r="D845" s="25"/>
      <c r="E845" s="24"/>
      <c r="F845" s="24"/>
    </row>
    <row r="846" spans="1:6" ht="12.75" x14ac:dyDescent="0.2">
      <c r="A846" s="24"/>
      <c r="B846" s="24"/>
      <c r="D846" s="25"/>
      <c r="E846" s="24"/>
      <c r="F846" s="24"/>
    </row>
    <row r="847" spans="1:6" ht="12.75" x14ac:dyDescent="0.2">
      <c r="A847" s="24"/>
      <c r="B847" s="24"/>
      <c r="D847" s="25"/>
      <c r="E847" s="24"/>
      <c r="F847" s="24"/>
    </row>
    <row r="848" spans="1:6" ht="12.75" x14ac:dyDescent="0.2">
      <c r="A848" s="24"/>
      <c r="B848" s="24"/>
      <c r="D848" s="25"/>
      <c r="E848" s="24"/>
      <c r="F848" s="24"/>
    </row>
    <row r="849" spans="1:6" ht="12.75" x14ac:dyDescent="0.2">
      <c r="A849" s="24"/>
      <c r="B849" s="24"/>
      <c r="D849" s="25"/>
      <c r="E849" s="24"/>
      <c r="F849" s="24"/>
    </row>
    <row r="850" spans="1:6" ht="12.75" x14ac:dyDescent="0.2">
      <c r="A850" s="24"/>
      <c r="B850" s="24"/>
      <c r="D850" s="25"/>
      <c r="E850" s="24"/>
      <c r="F850" s="24"/>
    </row>
    <row r="851" spans="1:6" ht="12.75" x14ac:dyDescent="0.2">
      <c r="A851" s="24"/>
      <c r="B851" s="24"/>
      <c r="D851" s="25"/>
      <c r="E851" s="24"/>
      <c r="F851" s="24"/>
    </row>
    <row r="852" spans="1:6" ht="12.75" x14ac:dyDescent="0.2">
      <c r="A852" s="24"/>
      <c r="B852" s="24"/>
      <c r="D852" s="25"/>
      <c r="E852" s="24"/>
      <c r="F852" s="24"/>
    </row>
    <row r="853" spans="1:6" ht="12.75" x14ac:dyDescent="0.2">
      <c r="A853" s="24"/>
      <c r="B853" s="24"/>
      <c r="D853" s="25"/>
      <c r="E853" s="24"/>
      <c r="F853" s="24"/>
    </row>
    <row r="854" spans="1:6" ht="12.75" x14ac:dyDescent="0.2">
      <c r="A854" s="24"/>
      <c r="B854" s="24"/>
      <c r="D854" s="25"/>
      <c r="E854" s="24"/>
      <c r="F854" s="24"/>
    </row>
    <row r="855" spans="1:6" ht="12.75" x14ac:dyDescent="0.2">
      <c r="A855" s="24"/>
      <c r="B855" s="24"/>
      <c r="D855" s="25"/>
      <c r="E855" s="24"/>
      <c r="F855" s="24"/>
    </row>
    <row r="856" spans="1:6" ht="12.75" x14ac:dyDescent="0.2">
      <c r="A856" s="24"/>
      <c r="B856" s="24"/>
      <c r="D856" s="25"/>
      <c r="E856" s="24"/>
      <c r="F856" s="24"/>
    </row>
    <row r="857" spans="1:6" ht="12.75" x14ac:dyDescent="0.2">
      <c r="A857" s="24"/>
      <c r="B857" s="24"/>
      <c r="D857" s="25"/>
      <c r="E857" s="24"/>
      <c r="F857" s="24"/>
    </row>
    <row r="858" spans="1:6" ht="12.75" x14ac:dyDescent="0.2">
      <c r="A858" s="24"/>
      <c r="B858" s="24"/>
      <c r="D858" s="25"/>
      <c r="E858" s="24"/>
      <c r="F858" s="24"/>
    </row>
    <row r="859" spans="1:6" ht="12.75" x14ac:dyDescent="0.2">
      <c r="A859" s="24"/>
      <c r="B859" s="24"/>
      <c r="D859" s="25"/>
      <c r="E859" s="24"/>
      <c r="F859" s="24"/>
    </row>
    <row r="860" spans="1:6" ht="12.75" x14ac:dyDescent="0.2">
      <c r="A860" s="24"/>
      <c r="B860" s="24"/>
      <c r="D860" s="25"/>
      <c r="E860" s="24"/>
      <c r="F860" s="24"/>
    </row>
    <row r="861" spans="1:6" ht="12.75" x14ac:dyDescent="0.2">
      <c r="A861" s="24"/>
      <c r="B861" s="24"/>
      <c r="D861" s="25"/>
      <c r="E861" s="24"/>
      <c r="F861" s="24"/>
    </row>
    <row r="862" spans="1:6" ht="12.75" x14ac:dyDescent="0.2">
      <c r="A862" s="24"/>
      <c r="B862" s="24"/>
      <c r="D862" s="25"/>
      <c r="E862" s="24"/>
      <c r="F862" s="24"/>
    </row>
    <row r="863" spans="1:6" ht="12.75" x14ac:dyDescent="0.2">
      <c r="A863" s="24"/>
      <c r="B863" s="24"/>
      <c r="D863" s="25"/>
      <c r="E863" s="24"/>
      <c r="F863" s="24"/>
    </row>
    <row r="864" spans="1:6" ht="12.75" x14ac:dyDescent="0.2">
      <c r="A864" s="24"/>
      <c r="B864" s="24"/>
      <c r="D864" s="25"/>
      <c r="E864" s="24"/>
      <c r="F864" s="24"/>
    </row>
    <row r="865" spans="1:6" ht="12.75" x14ac:dyDescent="0.2">
      <c r="A865" s="24"/>
      <c r="B865" s="24"/>
      <c r="D865" s="25"/>
      <c r="E865" s="24"/>
      <c r="F865" s="24"/>
    </row>
    <row r="866" spans="1:6" ht="12.75" x14ac:dyDescent="0.2">
      <c r="A866" s="24"/>
      <c r="B866" s="24"/>
      <c r="D866" s="25"/>
      <c r="E866" s="24"/>
      <c r="F866" s="24"/>
    </row>
    <row r="867" spans="1:6" ht="12.75" x14ac:dyDescent="0.2">
      <c r="A867" s="24"/>
      <c r="B867" s="24"/>
      <c r="D867" s="25"/>
      <c r="E867" s="24"/>
      <c r="F867" s="24"/>
    </row>
    <row r="868" spans="1:6" ht="12.75" x14ac:dyDescent="0.2">
      <c r="A868" s="24"/>
      <c r="B868" s="24"/>
      <c r="D868" s="25"/>
      <c r="E868" s="24"/>
      <c r="F868" s="24"/>
    </row>
    <row r="869" spans="1:6" ht="12.75" x14ac:dyDescent="0.2">
      <c r="A869" s="24"/>
      <c r="B869" s="24"/>
      <c r="D869" s="25"/>
      <c r="E869" s="24"/>
      <c r="F869" s="24"/>
    </row>
    <row r="870" spans="1:6" ht="12.75" x14ac:dyDescent="0.2">
      <c r="A870" s="24"/>
      <c r="B870" s="24"/>
      <c r="D870" s="25"/>
      <c r="E870" s="24"/>
      <c r="F870" s="24"/>
    </row>
    <row r="871" spans="1:6" ht="12.75" x14ac:dyDescent="0.2">
      <c r="A871" s="24"/>
      <c r="B871" s="24"/>
      <c r="D871" s="25"/>
      <c r="E871" s="24"/>
      <c r="F871" s="24"/>
    </row>
    <row r="872" spans="1:6" ht="12.75" x14ac:dyDescent="0.2">
      <c r="A872" s="24"/>
      <c r="B872" s="24"/>
      <c r="D872" s="25"/>
      <c r="E872" s="24"/>
      <c r="F872" s="24"/>
    </row>
    <row r="873" spans="1:6" ht="12.75" x14ac:dyDescent="0.2">
      <c r="A873" s="24"/>
      <c r="B873" s="24"/>
      <c r="D873" s="25"/>
      <c r="E873" s="24"/>
      <c r="F873" s="24"/>
    </row>
    <row r="874" spans="1:6" ht="12.75" x14ac:dyDescent="0.2">
      <c r="A874" s="24"/>
      <c r="B874" s="24"/>
      <c r="D874" s="25"/>
      <c r="E874" s="24"/>
      <c r="F874" s="24"/>
    </row>
    <row r="875" spans="1:6" ht="12.75" x14ac:dyDescent="0.2">
      <c r="A875" s="24"/>
      <c r="B875" s="24"/>
      <c r="D875" s="25"/>
      <c r="E875" s="24"/>
      <c r="F875" s="24"/>
    </row>
    <row r="876" spans="1:6" ht="12.75" x14ac:dyDescent="0.2">
      <c r="A876" s="24"/>
      <c r="B876" s="24"/>
      <c r="D876" s="25"/>
      <c r="E876" s="24"/>
      <c r="F876" s="24"/>
    </row>
    <row r="877" spans="1:6" ht="12.75" x14ac:dyDescent="0.2">
      <c r="A877" s="24"/>
      <c r="B877" s="24"/>
      <c r="D877" s="25"/>
      <c r="E877" s="24"/>
      <c r="F877" s="24"/>
    </row>
    <row r="878" spans="1:6" ht="12.75" x14ac:dyDescent="0.2">
      <c r="A878" s="24"/>
      <c r="B878" s="24"/>
      <c r="D878" s="25"/>
      <c r="E878" s="24"/>
      <c r="F878" s="24"/>
    </row>
    <row r="879" spans="1:6" ht="12.75" x14ac:dyDescent="0.2">
      <c r="A879" s="24"/>
      <c r="B879" s="24"/>
      <c r="D879" s="25"/>
      <c r="E879" s="24"/>
      <c r="F879" s="24"/>
    </row>
    <row r="880" spans="1:6" ht="12.75" x14ac:dyDescent="0.2">
      <c r="A880" s="24"/>
      <c r="B880" s="24"/>
      <c r="D880" s="25"/>
      <c r="E880" s="24"/>
      <c r="F880" s="24"/>
    </row>
    <row r="881" spans="1:6" ht="12.75" x14ac:dyDescent="0.2">
      <c r="A881" s="24"/>
      <c r="B881" s="24"/>
      <c r="D881" s="25"/>
      <c r="E881" s="24"/>
      <c r="F881" s="24"/>
    </row>
    <row r="882" spans="1:6" ht="12.75" x14ac:dyDescent="0.2">
      <c r="A882" s="24"/>
      <c r="B882" s="24"/>
      <c r="D882" s="25"/>
      <c r="E882" s="24"/>
      <c r="F882" s="24"/>
    </row>
    <row r="883" spans="1:6" ht="12.75" x14ac:dyDescent="0.2">
      <c r="A883" s="24"/>
      <c r="B883" s="24"/>
      <c r="D883" s="25"/>
      <c r="E883" s="24"/>
      <c r="F883" s="24"/>
    </row>
    <row r="884" spans="1:6" ht="12.75" x14ac:dyDescent="0.2">
      <c r="A884" s="24"/>
      <c r="B884" s="24"/>
      <c r="D884" s="25"/>
      <c r="E884" s="24"/>
      <c r="F884" s="24"/>
    </row>
    <row r="885" spans="1:6" ht="12.75" x14ac:dyDescent="0.2">
      <c r="A885" s="24"/>
      <c r="B885" s="24"/>
      <c r="D885" s="25"/>
      <c r="E885" s="24"/>
      <c r="F885" s="24"/>
    </row>
    <row r="886" spans="1:6" ht="12.75" x14ac:dyDescent="0.2">
      <c r="A886" s="24"/>
      <c r="B886" s="24"/>
      <c r="D886" s="25"/>
      <c r="E886" s="24"/>
      <c r="F886" s="24"/>
    </row>
    <row r="887" spans="1:6" ht="12.75" x14ac:dyDescent="0.2">
      <c r="A887" s="24"/>
      <c r="B887" s="24"/>
      <c r="D887" s="25"/>
      <c r="E887" s="24"/>
      <c r="F887" s="24"/>
    </row>
    <row r="888" spans="1:6" ht="12.75" x14ac:dyDescent="0.2">
      <c r="A888" s="24"/>
      <c r="B888" s="24"/>
      <c r="D888" s="25"/>
      <c r="E888" s="24"/>
      <c r="F888" s="24"/>
    </row>
    <row r="889" spans="1:6" ht="12.75" x14ac:dyDescent="0.2">
      <c r="A889" s="24"/>
      <c r="B889" s="24"/>
      <c r="D889" s="25"/>
      <c r="E889" s="24"/>
      <c r="F889" s="24"/>
    </row>
    <row r="890" spans="1:6" ht="12.75" x14ac:dyDescent="0.2">
      <c r="A890" s="24"/>
      <c r="B890" s="24"/>
      <c r="D890" s="25"/>
      <c r="E890" s="24"/>
      <c r="F890" s="24"/>
    </row>
    <row r="891" spans="1:6" ht="12.75" x14ac:dyDescent="0.2">
      <c r="A891" s="24"/>
      <c r="B891" s="24"/>
      <c r="D891" s="25"/>
      <c r="E891" s="24"/>
      <c r="F891" s="24"/>
    </row>
    <row r="892" spans="1:6" ht="12.75" x14ac:dyDescent="0.2">
      <c r="A892" s="24"/>
      <c r="B892" s="24"/>
      <c r="D892" s="25"/>
      <c r="E892" s="24"/>
      <c r="F892" s="24"/>
    </row>
    <row r="893" spans="1:6" ht="12.75" x14ac:dyDescent="0.2">
      <c r="A893" s="24"/>
      <c r="B893" s="24"/>
      <c r="D893" s="25"/>
      <c r="E893" s="24"/>
      <c r="F893" s="24"/>
    </row>
    <row r="894" spans="1:6" ht="12.75" x14ac:dyDescent="0.2">
      <c r="A894" s="24"/>
      <c r="B894" s="24"/>
      <c r="D894" s="25"/>
      <c r="E894" s="24"/>
      <c r="F894" s="24"/>
    </row>
    <row r="895" spans="1:6" ht="12.75" x14ac:dyDescent="0.2">
      <c r="A895" s="24"/>
      <c r="B895" s="24"/>
      <c r="D895" s="25"/>
      <c r="E895" s="24"/>
      <c r="F895" s="24"/>
    </row>
    <row r="896" spans="1:6" ht="12.75" x14ac:dyDescent="0.2">
      <c r="A896" s="24"/>
      <c r="B896" s="24"/>
      <c r="D896" s="25"/>
      <c r="E896" s="24"/>
      <c r="F896" s="24"/>
    </row>
    <row r="897" spans="1:6" ht="12.75" x14ac:dyDescent="0.2">
      <c r="A897" s="24"/>
      <c r="B897" s="24"/>
      <c r="D897" s="25"/>
      <c r="E897" s="24"/>
      <c r="F897" s="24"/>
    </row>
    <row r="898" spans="1:6" ht="12.75" x14ac:dyDescent="0.2">
      <c r="A898" s="24"/>
      <c r="B898" s="24"/>
      <c r="D898" s="25"/>
      <c r="E898" s="24"/>
      <c r="F898" s="24"/>
    </row>
    <row r="899" spans="1:6" ht="12.75" x14ac:dyDescent="0.2">
      <c r="A899" s="24"/>
      <c r="B899" s="24"/>
      <c r="D899" s="25"/>
      <c r="E899" s="24"/>
      <c r="F899" s="24"/>
    </row>
    <row r="900" spans="1:6" ht="12.75" x14ac:dyDescent="0.2">
      <c r="A900" s="24"/>
      <c r="B900" s="24"/>
      <c r="D900" s="25"/>
      <c r="E900" s="24"/>
      <c r="F900" s="24"/>
    </row>
    <row r="901" spans="1:6" ht="12.75" x14ac:dyDescent="0.2">
      <c r="A901" s="24"/>
      <c r="B901" s="24"/>
      <c r="D901" s="25"/>
      <c r="E901" s="24"/>
      <c r="F901" s="24"/>
    </row>
    <row r="902" spans="1:6" ht="12.75" x14ac:dyDescent="0.2">
      <c r="A902" s="24"/>
      <c r="B902" s="24"/>
      <c r="D902" s="25"/>
      <c r="E902" s="24"/>
      <c r="F902" s="24"/>
    </row>
    <row r="903" spans="1:6" ht="12.75" x14ac:dyDescent="0.2">
      <c r="A903" s="24"/>
      <c r="B903" s="24"/>
      <c r="D903" s="25"/>
      <c r="E903" s="24"/>
      <c r="F903" s="24"/>
    </row>
    <row r="904" spans="1:6" ht="12.75" x14ac:dyDescent="0.2">
      <c r="A904" s="24"/>
      <c r="B904" s="24"/>
      <c r="D904" s="25"/>
      <c r="E904" s="24"/>
      <c r="F904" s="24"/>
    </row>
    <row r="905" spans="1:6" ht="12.75" x14ac:dyDescent="0.2">
      <c r="A905" s="24"/>
      <c r="B905" s="24"/>
      <c r="D905" s="25"/>
      <c r="E905" s="24"/>
      <c r="F905" s="24"/>
    </row>
    <row r="906" spans="1:6" ht="12.75" x14ac:dyDescent="0.2">
      <c r="A906" s="24"/>
      <c r="B906" s="24"/>
      <c r="D906" s="25"/>
      <c r="E906" s="24"/>
      <c r="F906" s="24"/>
    </row>
    <row r="907" spans="1:6" ht="12.75" x14ac:dyDescent="0.2">
      <c r="A907" s="24"/>
      <c r="B907" s="24"/>
      <c r="D907" s="25"/>
      <c r="E907" s="24"/>
      <c r="F907" s="24"/>
    </row>
    <row r="908" spans="1:6" ht="12.75" x14ac:dyDescent="0.2">
      <c r="A908" s="24"/>
      <c r="B908" s="24"/>
      <c r="D908" s="25"/>
      <c r="E908" s="24"/>
      <c r="F908" s="24"/>
    </row>
    <row r="909" spans="1:6" ht="12.75" x14ac:dyDescent="0.2">
      <c r="A909" s="24"/>
      <c r="B909" s="24"/>
      <c r="D909" s="25"/>
      <c r="E909" s="24"/>
      <c r="F909" s="24"/>
    </row>
    <row r="910" spans="1:6" ht="12.75" x14ac:dyDescent="0.2">
      <c r="A910" s="24"/>
      <c r="B910" s="24"/>
      <c r="D910" s="25"/>
      <c r="E910" s="24"/>
      <c r="F910" s="24"/>
    </row>
    <row r="911" spans="1:6" ht="12.75" x14ac:dyDescent="0.2">
      <c r="A911" s="24"/>
      <c r="B911" s="24"/>
      <c r="D911" s="25"/>
      <c r="E911" s="24"/>
      <c r="F911" s="24"/>
    </row>
    <row r="912" spans="1:6" ht="12.75" x14ac:dyDescent="0.2">
      <c r="A912" s="24"/>
      <c r="B912" s="24"/>
      <c r="D912" s="25"/>
      <c r="E912" s="24"/>
      <c r="F912" s="24"/>
    </row>
    <row r="913" spans="1:6" ht="12.75" x14ac:dyDescent="0.2">
      <c r="A913" s="24"/>
      <c r="B913" s="24"/>
      <c r="D913" s="25"/>
      <c r="E913" s="24"/>
      <c r="F913" s="24"/>
    </row>
    <row r="914" spans="1:6" ht="12.75" x14ac:dyDescent="0.2">
      <c r="A914" s="24"/>
      <c r="B914" s="24"/>
      <c r="D914" s="25"/>
      <c r="E914" s="24"/>
      <c r="F914" s="24"/>
    </row>
    <row r="915" spans="1:6" ht="12.75" x14ac:dyDescent="0.2">
      <c r="A915" s="24"/>
      <c r="B915" s="24"/>
      <c r="D915" s="25"/>
      <c r="E915" s="24"/>
      <c r="F915" s="24"/>
    </row>
    <row r="916" spans="1:6" ht="12.75" x14ac:dyDescent="0.2">
      <c r="A916" s="24"/>
      <c r="B916" s="24"/>
      <c r="D916" s="25"/>
      <c r="E916" s="24"/>
      <c r="F916" s="24"/>
    </row>
    <row r="917" spans="1:6" ht="12.75" x14ac:dyDescent="0.2">
      <c r="A917" s="24"/>
      <c r="B917" s="24"/>
      <c r="D917" s="25"/>
      <c r="E917" s="24"/>
      <c r="F917" s="24"/>
    </row>
    <row r="918" spans="1:6" ht="12.75" x14ac:dyDescent="0.2">
      <c r="A918" s="24"/>
      <c r="B918" s="24"/>
      <c r="D918" s="25"/>
      <c r="E918" s="24"/>
      <c r="F918" s="24"/>
    </row>
    <row r="919" spans="1:6" ht="12.75" x14ac:dyDescent="0.2">
      <c r="A919" s="24"/>
      <c r="B919" s="24"/>
      <c r="D919" s="25"/>
      <c r="E919" s="24"/>
      <c r="F919" s="24"/>
    </row>
    <row r="920" spans="1:6" ht="12.75" x14ac:dyDescent="0.2">
      <c r="A920" s="24"/>
      <c r="B920" s="24"/>
      <c r="D920" s="25"/>
      <c r="E920" s="24"/>
      <c r="F920" s="24"/>
    </row>
    <row r="921" spans="1:6" ht="12.75" x14ac:dyDescent="0.2">
      <c r="A921" s="24"/>
      <c r="B921" s="24"/>
      <c r="D921" s="25"/>
      <c r="E921" s="24"/>
      <c r="F921" s="24"/>
    </row>
    <row r="922" spans="1:6" ht="12.75" x14ac:dyDescent="0.2">
      <c r="A922" s="24"/>
      <c r="B922" s="24"/>
      <c r="D922" s="25"/>
      <c r="E922" s="24"/>
      <c r="F922" s="24"/>
    </row>
    <row r="923" spans="1:6" ht="12.75" x14ac:dyDescent="0.2">
      <c r="A923" s="24"/>
      <c r="B923" s="24"/>
      <c r="D923" s="25"/>
      <c r="E923" s="24"/>
      <c r="F923" s="24"/>
    </row>
    <row r="924" spans="1:6" ht="12.75" x14ac:dyDescent="0.2">
      <c r="A924" s="24"/>
      <c r="B924" s="24"/>
      <c r="D924" s="25"/>
      <c r="E924" s="24"/>
      <c r="F924" s="24"/>
    </row>
    <row r="925" spans="1:6" ht="12.75" x14ac:dyDescent="0.2">
      <c r="A925" s="24"/>
      <c r="B925" s="24"/>
      <c r="D925" s="25"/>
      <c r="E925" s="24"/>
      <c r="F925" s="24"/>
    </row>
    <row r="926" spans="1:6" ht="12.75" x14ac:dyDescent="0.2">
      <c r="A926" s="24"/>
      <c r="B926" s="24"/>
      <c r="D926" s="25"/>
      <c r="E926" s="24"/>
      <c r="F926" s="24"/>
    </row>
    <row r="927" spans="1:6" ht="12.75" x14ac:dyDescent="0.2">
      <c r="A927" s="24"/>
      <c r="B927" s="24"/>
      <c r="D927" s="25"/>
      <c r="E927" s="24"/>
      <c r="F927" s="24"/>
    </row>
    <row r="928" spans="1:6" ht="12.75" x14ac:dyDescent="0.2">
      <c r="A928" s="24"/>
      <c r="B928" s="24"/>
      <c r="D928" s="25"/>
      <c r="E928" s="24"/>
      <c r="F928" s="24"/>
    </row>
    <row r="929" spans="1:6" ht="12.75" x14ac:dyDescent="0.2">
      <c r="A929" s="24"/>
      <c r="B929" s="24"/>
      <c r="D929" s="25"/>
      <c r="E929" s="24"/>
      <c r="F929" s="24"/>
    </row>
    <row r="930" spans="1:6" ht="12.75" x14ac:dyDescent="0.2">
      <c r="A930" s="24"/>
      <c r="B930" s="24"/>
      <c r="D930" s="25"/>
      <c r="E930" s="24"/>
      <c r="F930" s="24"/>
    </row>
    <row r="931" spans="1:6" ht="12.75" x14ac:dyDescent="0.2">
      <c r="A931" s="24"/>
      <c r="B931" s="24"/>
      <c r="D931" s="25"/>
      <c r="E931" s="24"/>
      <c r="F931" s="24"/>
    </row>
    <row r="932" spans="1:6" ht="12.75" x14ac:dyDescent="0.2">
      <c r="A932" s="24"/>
      <c r="B932" s="24"/>
      <c r="D932" s="25"/>
      <c r="E932" s="24"/>
      <c r="F932" s="24"/>
    </row>
    <row r="933" spans="1:6" ht="12.75" x14ac:dyDescent="0.2">
      <c r="A933" s="24"/>
      <c r="B933" s="24"/>
      <c r="D933" s="25"/>
      <c r="E933" s="24"/>
      <c r="F933" s="24"/>
    </row>
    <row r="934" spans="1:6" ht="12.75" x14ac:dyDescent="0.2">
      <c r="A934" s="24"/>
      <c r="B934" s="24"/>
      <c r="D934" s="25"/>
      <c r="E934" s="24"/>
      <c r="F934" s="24"/>
    </row>
    <row r="935" spans="1:6" ht="12.75" x14ac:dyDescent="0.2">
      <c r="A935" s="24"/>
      <c r="B935" s="24"/>
      <c r="D935" s="25"/>
      <c r="E935" s="24"/>
      <c r="F935" s="24"/>
    </row>
    <row r="936" spans="1:6" ht="12.75" x14ac:dyDescent="0.2">
      <c r="A936" s="24"/>
      <c r="B936" s="24"/>
      <c r="D936" s="25"/>
      <c r="E936" s="24"/>
      <c r="F936" s="24"/>
    </row>
    <row r="937" spans="1:6" ht="12.75" x14ac:dyDescent="0.2">
      <c r="A937" s="24"/>
      <c r="B937" s="24"/>
      <c r="D937" s="25"/>
      <c r="E937" s="24"/>
      <c r="F937" s="24"/>
    </row>
    <row r="938" spans="1:6" ht="12.75" x14ac:dyDescent="0.2">
      <c r="A938" s="24"/>
      <c r="B938" s="24"/>
      <c r="D938" s="25"/>
      <c r="E938" s="24"/>
      <c r="F938" s="24"/>
    </row>
    <row r="939" spans="1:6" ht="12.75" x14ac:dyDescent="0.2">
      <c r="A939" s="24"/>
      <c r="B939" s="24"/>
      <c r="D939" s="25"/>
      <c r="E939" s="24"/>
      <c r="F939" s="24"/>
    </row>
    <row r="940" spans="1:6" ht="12.75" x14ac:dyDescent="0.2">
      <c r="A940" s="24"/>
      <c r="B940" s="24"/>
      <c r="D940" s="25"/>
      <c r="E940" s="24"/>
      <c r="F940" s="24"/>
    </row>
    <row r="941" spans="1:6" ht="12.75" x14ac:dyDescent="0.2">
      <c r="A941" s="24"/>
      <c r="B941" s="24"/>
      <c r="D941" s="25"/>
      <c r="E941" s="24"/>
      <c r="F941" s="24"/>
    </row>
    <row r="942" spans="1:6" ht="12.75" x14ac:dyDescent="0.2">
      <c r="A942" s="24"/>
      <c r="B942" s="24"/>
      <c r="D942" s="25"/>
      <c r="E942" s="24"/>
      <c r="F942" s="24"/>
    </row>
    <row r="943" spans="1:6" ht="12.75" x14ac:dyDescent="0.2">
      <c r="A943" s="24"/>
      <c r="B943" s="24"/>
      <c r="D943" s="25"/>
      <c r="E943" s="24"/>
      <c r="F943" s="24"/>
    </row>
    <row r="944" spans="1:6" ht="12.75" x14ac:dyDescent="0.2">
      <c r="A944" s="24"/>
      <c r="B944" s="24"/>
      <c r="D944" s="25"/>
      <c r="E944" s="24"/>
      <c r="F944" s="24"/>
    </row>
    <row r="945" spans="1:6" ht="12.75" x14ac:dyDescent="0.2">
      <c r="A945" s="24"/>
      <c r="B945" s="24"/>
      <c r="D945" s="25"/>
      <c r="E945" s="24"/>
      <c r="F945" s="24"/>
    </row>
    <row r="946" spans="1:6" ht="12.75" x14ac:dyDescent="0.2">
      <c r="A946" s="24"/>
      <c r="B946" s="24"/>
      <c r="D946" s="25"/>
      <c r="E946" s="24"/>
      <c r="F946" s="24"/>
    </row>
    <row r="947" spans="1:6" ht="12.75" x14ac:dyDescent="0.2">
      <c r="A947" s="24"/>
      <c r="B947" s="24"/>
      <c r="D947" s="25"/>
      <c r="E947" s="24"/>
      <c r="F947" s="24"/>
    </row>
    <row r="948" spans="1:6" ht="12.75" x14ac:dyDescent="0.2">
      <c r="A948" s="24"/>
      <c r="B948" s="24"/>
      <c r="D948" s="25"/>
      <c r="E948" s="24"/>
      <c r="F948" s="24"/>
    </row>
    <row r="949" spans="1:6" ht="12.75" x14ac:dyDescent="0.2">
      <c r="A949" s="24"/>
      <c r="B949" s="24"/>
      <c r="D949" s="25"/>
      <c r="E949" s="24"/>
      <c r="F949" s="24"/>
    </row>
    <row r="950" spans="1:6" ht="12.75" x14ac:dyDescent="0.2">
      <c r="A950" s="24"/>
      <c r="B950" s="24"/>
      <c r="D950" s="25"/>
      <c r="E950" s="24"/>
      <c r="F950" s="24"/>
    </row>
    <row r="951" spans="1:6" ht="12.75" x14ac:dyDescent="0.2">
      <c r="A951" s="24"/>
      <c r="B951" s="24"/>
      <c r="D951" s="25"/>
      <c r="E951" s="24"/>
      <c r="F951" s="24"/>
    </row>
    <row r="952" spans="1:6" ht="12.75" x14ac:dyDescent="0.2">
      <c r="A952" s="24"/>
      <c r="B952" s="24"/>
      <c r="D952" s="25"/>
      <c r="E952" s="24"/>
      <c r="F952" s="24"/>
    </row>
    <row r="953" spans="1:6" ht="12.75" x14ac:dyDescent="0.2">
      <c r="A953" s="24"/>
      <c r="B953" s="24"/>
      <c r="D953" s="25"/>
      <c r="E953" s="24"/>
      <c r="F953" s="24"/>
    </row>
    <row r="954" spans="1:6" ht="12.75" x14ac:dyDescent="0.2">
      <c r="A954" s="24"/>
      <c r="B954" s="24"/>
      <c r="D954" s="25"/>
      <c r="E954" s="24"/>
      <c r="F954" s="24"/>
    </row>
    <row r="955" spans="1:6" ht="12.75" x14ac:dyDescent="0.2">
      <c r="A955" s="24"/>
      <c r="B955" s="24"/>
      <c r="D955" s="25"/>
      <c r="E955" s="24"/>
      <c r="F955" s="24"/>
    </row>
    <row r="956" spans="1:6" ht="12.75" x14ac:dyDescent="0.2">
      <c r="A956" s="24"/>
      <c r="B956" s="24"/>
      <c r="D956" s="25"/>
      <c r="E956" s="24"/>
      <c r="F956" s="24"/>
    </row>
    <row r="957" spans="1:6" ht="12.75" x14ac:dyDescent="0.2">
      <c r="A957" s="24"/>
      <c r="B957" s="24"/>
      <c r="D957" s="25"/>
      <c r="E957" s="24"/>
      <c r="F957" s="24"/>
    </row>
    <row r="958" spans="1:6" ht="12.75" x14ac:dyDescent="0.2">
      <c r="A958" s="24"/>
      <c r="B958" s="24"/>
      <c r="D958" s="25"/>
      <c r="E958" s="24"/>
      <c r="F958" s="24"/>
    </row>
    <row r="959" spans="1:6" ht="12.75" x14ac:dyDescent="0.2">
      <c r="A959" s="24"/>
      <c r="B959" s="24"/>
      <c r="D959" s="25"/>
      <c r="E959" s="24"/>
      <c r="F959" s="24"/>
    </row>
    <row r="960" spans="1:6" ht="12.75" x14ac:dyDescent="0.2">
      <c r="A960" s="24"/>
      <c r="B960" s="24"/>
      <c r="D960" s="25"/>
      <c r="E960" s="24"/>
      <c r="F960" s="24"/>
    </row>
    <row r="961" spans="1:6" ht="12.75" x14ac:dyDescent="0.2">
      <c r="A961" s="24"/>
      <c r="B961" s="24"/>
      <c r="D961" s="25"/>
      <c r="E961" s="24"/>
      <c r="F961" s="24"/>
    </row>
    <row r="962" spans="1:6" ht="12.75" x14ac:dyDescent="0.2">
      <c r="A962" s="24"/>
      <c r="B962" s="24"/>
      <c r="D962" s="25"/>
      <c r="E962" s="24"/>
      <c r="F962" s="24"/>
    </row>
    <row r="963" spans="1:6" ht="12.75" x14ac:dyDescent="0.2">
      <c r="A963" s="24"/>
      <c r="B963" s="24"/>
      <c r="D963" s="25"/>
      <c r="E963" s="24"/>
      <c r="F963" s="24"/>
    </row>
    <row r="964" spans="1:6" ht="12.75" x14ac:dyDescent="0.2">
      <c r="A964" s="24"/>
      <c r="B964" s="24"/>
      <c r="D964" s="25"/>
      <c r="E964" s="24"/>
      <c r="F964" s="24"/>
    </row>
    <row r="965" spans="1:6" ht="12.75" x14ac:dyDescent="0.2">
      <c r="A965" s="24"/>
      <c r="B965" s="24"/>
      <c r="D965" s="25"/>
      <c r="E965" s="24"/>
      <c r="F965" s="24"/>
    </row>
    <row r="966" spans="1:6" ht="12.75" x14ac:dyDescent="0.2">
      <c r="A966" s="24"/>
      <c r="B966" s="24"/>
      <c r="D966" s="25"/>
      <c r="E966" s="24"/>
      <c r="F966" s="24"/>
    </row>
    <row r="967" spans="1:6" ht="12.75" x14ac:dyDescent="0.2">
      <c r="A967" s="24"/>
      <c r="B967" s="24"/>
      <c r="D967" s="25"/>
      <c r="E967" s="24"/>
      <c r="F967" s="24"/>
    </row>
    <row r="968" spans="1:6" ht="12.75" x14ac:dyDescent="0.2">
      <c r="A968" s="24"/>
      <c r="B968" s="24"/>
      <c r="D968" s="25"/>
      <c r="E968" s="24"/>
      <c r="F968" s="24"/>
    </row>
    <row r="969" spans="1:6" ht="12.75" x14ac:dyDescent="0.2">
      <c r="A969" s="24"/>
      <c r="B969" s="24"/>
      <c r="D969" s="25"/>
      <c r="E969" s="24"/>
      <c r="F969" s="24"/>
    </row>
    <row r="970" spans="1:6" ht="12.75" x14ac:dyDescent="0.2">
      <c r="A970" s="24"/>
      <c r="B970" s="24"/>
      <c r="D970" s="25"/>
      <c r="E970" s="24"/>
      <c r="F970" s="24"/>
    </row>
    <row r="971" spans="1:6" ht="12.75" x14ac:dyDescent="0.2">
      <c r="A971" s="24"/>
      <c r="B971" s="24"/>
      <c r="D971" s="25"/>
      <c r="E971" s="24"/>
      <c r="F971" s="24"/>
    </row>
    <row r="972" spans="1:6" ht="12.75" x14ac:dyDescent="0.2">
      <c r="A972" s="24"/>
      <c r="B972" s="24"/>
      <c r="D972" s="25"/>
      <c r="E972" s="24"/>
      <c r="F972" s="24"/>
    </row>
    <row r="973" spans="1:6" ht="12.75" x14ac:dyDescent="0.2">
      <c r="A973" s="24"/>
      <c r="B973" s="24"/>
      <c r="D973" s="25"/>
      <c r="E973" s="24"/>
      <c r="F973" s="24"/>
    </row>
    <row r="974" spans="1:6" ht="12.75" x14ac:dyDescent="0.2">
      <c r="A974" s="24"/>
      <c r="B974" s="24"/>
      <c r="D974" s="25"/>
      <c r="E974" s="24"/>
      <c r="F974" s="24"/>
    </row>
    <row r="975" spans="1:6" ht="12.75" x14ac:dyDescent="0.2">
      <c r="A975" s="24"/>
      <c r="B975" s="24"/>
      <c r="D975" s="25"/>
      <c r="E975" s="24"/>
      <c r="F975" s="24"/>
    </row>
    <row r="976" spans="1:6" ht="12.75" x14ac:dyDescent="0.2">
      <c r="A976" s="24"/>
      <c r="B976" s="24"/>
      <c r="D976" s="25"/>
      <c r="E976" s="24"/>
      <c r="F976" s="24"/>
    </row>
    <row r="977" spans="1:6" ht="12.75" x14ac:dyDescent="0.2">
      <c r="A977" s="24"/>
      <c r="B977" s="24"/>
      <c r="D977" s="25"/>
      <c r="E977" s="24"/>
      <c r="F977" s="24"/>
    </row>
    <row r="978" spans="1:6" ht="12.75" x14ac:dyDescent="0.2">
      <c r="A978" s="24"/>
      <c r="B978" s="24"/>
      <c r="D978" s="25"/>
      <c r="E978" s="24"/>
      <c r="F978" s="24"/>
    </row>
    <row r="979" spans="1:6" ht="12.75" x14ac:dyDescent="0.2">
      <c r="A979" s="24"/>
      <c r="B979" s="24"/>
      <c r="D979" s="25"/>
      <c r="E979" s="24"/>
      <c r="F979" s="24"/>
    </row>
    <row r="980" spans="1:6" ht="12.75" x14ac:dyDescent="0.2">
      <c r="A980" s="24"/>
      <c r="B980" s="24"/>
      <c r="D980" s="25"/>
      <c r="E980" s="24"/>
      <c r="F980" s="24"/>
    </row>
    <row r="981" spans="1:6" ht="12.75" x14ac:dyDescent="0.2">
      <c r="A981" s="24"/>
      <c r="B981" s="24"/>
      <c r="D981" s="25"/>
      <c r="E981" s="24"/>
      <c r="F981" s="24"/>
    </row>
    <row r="982" spans="1:6" ht="12.75" x14ac:dyDescent="0.2">
      <c r="A982" s="24"/>
      <c r="B982" s="24"/>
      <c r="D982" s="25"/>
      <c r="E982" s="24"/>
      <c r="F982" s="24"/>
    </row>
    <row r="983" spans="1:6" ht="12.75" x14ac:dyDescent="0.2">
      <c r="A983" s="24"/>
      <c r="B983" s="24"/>
      <c r="D983" s="25"/>
      <c r="E983" s="24"/>
      <c r="F983" s="24"/>
    </row>
    <row r="984" spans="1:6" ht="12.75" x14ac:dyDescent="0.2">
      <c r="A984" s="24"/>
      <c r="B984" s="24"/>
      <c r="D984" s="25"/>
      <c r="E984" s="24"/>
      <c r="F984" s="24"/>
    </row>
    <row r="985" spans="1:6" ht="12.75" x14ac:dyDescent="0.2">
      <c r="A985" s="24"/>
      <c r="B985" s="24"/>
      <c r="D985" s="25"/>
      <c r="E985" s="24"/>
      <c r="F985" s="24"/>
    </row>
    <row r="986" spans="1:6" ht="12.75" x14ac:dyDescent="0.2">
      <c r="A986" s="24"/>
      <c r="B986" s="24"/>
      <c r="D986" s="25"/>
      <c r="E986" s="24"/>
      <c r="F986" s="24"/>
    </row>
    <row r="987" spans="1:6" ht="12.75" x14ac:dyDescent="0.2">
      <c r="A987" s="24"/>
      <c r="B987" s="24"/>
      <c r="D987" s="25"/>
      <c r="E987" s="24"/>
      <c r="F987" s="24"/>
    </row>
    <row r="988" spans="1:6" ht="12.75" x14ac:dyDescent="0.2">
      <c r="A988" s="24"/>
      <c r="B988" s="24"/>
      <c r="D988" s="25"/>
      <c r="E988" s="24"/>
      <c r="F988" s="24"/>
    </row>
    <row r="989" spans="1:6" ht="12.75" x14ac:dyDescent="0.2">
      <c r="A989" s="24"/>
      <c r="B989" s="24"/>
      <c r="D989" s="25"/>
      <c r="E989" s="24"/>
      <c r="F989" s="24"/>
    </row>
    <row r="990" spans="1:6" ht="12.75" x14ac:dyDescent="0.2">
      <c r="A990" s="24"/>
      <c r="B990" s="24"/>
      <c r="D990" s="25"/>
      <c r="E990" s="24"/>
      <c r="F990" s="24"/>
    </row>
    <row r="991" spans="1:6" ht="12.75" x14ac:dyDescent="0.2">
      <c r="A991" s="24"/>
      <c r="B991" s="24"/>
      <c r="D991" s="25"/>
      <c r="E991" s="24"/>
      <c r="F991" s="24"/>
    </row>
    <row r="992" spans="1:6" ht="12.75" x14ac:dyDescent="0.2">
      <c r="A992" s="24"/>
      <c r="B992" s="24"/>
      <c r="D992" s="25"/>
      <c r="E992" s="24"/>
      <c r="F992" s="24"/>
    </row>
    <row r="993" spans="1:6" ht="12.75" x14ac:dyDescent="0.2">
      <c r="A993" s="24"/>
      <c r="B993" s="24"/>
      <c r="D993" s="25"/>
      <c r="E993" s="24"/>
      <c r="F993" s="24"/>
    </row>
    <row r="994" spans="1:6" ht="12.75" x14ac:dyDescent="0.2">
      <c r="A994" s="24"/>
      <c r="B994" s="24"/>
      <c r="D994" s="25"/>
      <c r="E994" s="24"/>
      <c r="F994" s="24"/>
    </row>
    <row r="995" spans="1:6" ht="12.75" x14ac:dyDescent="0.2">
      <c r="A995" s="24"/>
      <c r="B995" s="24"/>
      <c r="D995" s="25"/>
      <c r="E995" s="24"/>
      <c r="F995" s="24"/>
    </row>
    <row r="996" spans="1:6" ht="12.75" x14ac:dyDescent="0.2">
      <c r="A996" s="24"/>
      <c r="B996" s="24"/>
      <c r="D996" s="25"/>
      <c r="E996" s="24"/>
      <c r="F996" s="24"/>
    </row>
    <row r="997" spans="1:6" ht="12.75" x14ac:dyDescent="0.2">
      <c r="A997" s="24"/>
      <c r="B997" s="24"/>
      <c r="D997" s="25"/>
      <c r="E997" s="24"/>
      <c r="F997" s="24"/>
    </row>
    <row r="998" spans="1:6" ht="12.75" x14ac:dyDescent="0.2">
      <c r="A998" s="24"/>
      <c r="B998" s="24"/>
      <c r="D998" s="25"/>
      <c r="E998" s="24"/>
      <c r="F998" s="24"/>
    </row>
    <row r="999" spans="1:6" ht="12.75" x14ac:dyDescent="0.2">
      <c r="A999" s="24"/>
      <c r="B999" s="24"/>
      <c r="D999" s="25"/>
      <c r="E999" s="24"/>
      <c r="F999" s="24"/>
    </row>
    <row r="1000" spans="1:6" ht="12.75" x14ac:dyDescent="0.2">
      <c r="A1000" s="24"/>
      <c r="B1000" s="24"/>
      <c r="D1000" s="25"/>
      <c r="E1000" s="24"/>
      <c r="F1000" s="24"/>
    </row>
    <row r="1001" spans="1:6" ht="12.75" x14ac:dyDescent="0.2">
      <c r="A1001" s="24"/>
      <c r="B1001" s="24"/>
      <c r="D1001" s="25"/>
      <c r="E1001" s="24"/>
      <c r="F1001" s="24"/>
    </row>
  </sheetData>
  <autoFilter ref="A1:G48" xr:uid="{00000000-0009-0000-0000-000001000000}"/>
  <mergeCells count="11">
    <mergeCell ref="A2:G2"/>
    <mergeCell ref="A50:G50"/>
    <mergeCell ref="A86:G86"/>
    <mergeCell ref="A104:G104"/>
    <mergeCell ref="A1:G1"/>
    <mergeCell ref="A166:G166"/>
    <mergeCell ref="A146:G146"/>
    <mergeCell ref="A148:G148"/>
    <mergeCell ref="A48:G48"/>
    <mergeCell ref="A84:G84"/>
    <mergeCell ref="A102:G10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84"/>
  <sheetViews>
    <sheetView tabSelected="1" topLeftCell="C94" zoomScale="130" zoomScaleNormal="130" workbookViewId="0">
      <selection activeCell="G96" sqref="G96"/>
    </sheetView>
  </sheetViews>
  <sheetFormatPr defaultColWidth="12.5703125" defaultRowHeight="15.75" customHeight="1" x14ac:dyDescent="0.2"/>
  <cols>
    <col min="1" max="1" width="7.28515625" customWidth="1"/>
    <col min="2" max="2" width="17.28515625" customWidth="1"/>
    <col min="3" max="3" width="38.7109375" customWidth="1"/>
    <col min="4" max="4" width="62.85546875" customWidth="1"/>
    <col min="6" max="6" width="14.7109375" customWidth="1"/>
    <col min="7" max="7" width="50" customWidth="1"/>
    <col min="8" max="8" width="35.140625" customWidth="1"/>
  </cols>
  <sheetData>
    <row r="1" spans="1:26" ht="41.25" customHeight="1" x14ac:dyDescent="0.2">
      <c r="A1" s="131" t="s">
        <v>265</v>
      </c>
      <c r="B1" s="132"/>
      <c r="C1" s="132"/>
      <c r="D1" s="132"/>
      <c r="E1" s="132"/>
      <c r="F1" s="132"/>
      <c r="G1" s="132"/>
    </row>
    <row r="2" spans="1:26" ht="26.25" customHeight="1" x14ac:dyDescent="0.2">
      <c r="A2" s="130" t="s">
        <v>2</v>
      </c>
      <c r="B2" s="127"/>
      <c r="C2" s="127"/>
      <c r="D2" s="127"/>
      <c r="E2" s="127"/>
      <c r="F2" s="127"/>
      <c r="G2" s="128"/>
    </row>
    <row r="3" spans="1:26" ht="26.25" customHeight="1" x14ac:dyDescent="0.2">
      <c r="A3" s="2" t="s">
        <v>9</v>
      </c>
      <c r="B3" s="2" t="s">
        <v>10</v>
      </c>
      <c r="C3" s="2" t="s">
        <v>11</v>
      </c>
      <c r="D3" s="3" t="s">
        <v>12</v>
      </c>
      <c r="E3" s="2" t="s">
        <v>13</v>
      </c>
      <c r="F3" s="2" t="s">
        <v>14</v>
      </c>
      <c r="G3" s="2" t="s">
        <v>15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26.25" customHeight="1" x14ac:dyDescent="0.25">
      <c r="A4" s="9">
        <v>1</v>
      </c>
      <c r="B4" s="26">
        <v>596165</v>
      </c>
      <c r="C4" s="27" t="s">
        <v>266</v>
      </c>
      <c r="D4" s="28" t="s">
        <v>267</v>
      </c>
      <c r="E4" s="9" t="s">
        <v>26</v>
      </c>
      <c r="F4" s="29">
        <v>31589</v>
      </c>
      <c r="G4" s="10" t="s">
        <v>268</v>
      </c>
    </row>
    <row r="5" spans="1:26" ht="26.25" customHeight="1" x14ac:dyDescent="0.25">
      <c r="A5" s="9">
        <f t="shared" ref="A5:A15" si="0">A4+1</f>
        <v>2</v>
      </c>
      <c r="B5" s="26">
        <v>587812</v>
      </c>
      <c r="C5" s="27" t="s">
        <v>269</v>
      </c>
      <c r="D5" s="28" t="s">
        <v>331</v>
      </c>
      <c r="E5" s="9" t="s">
        <v>26</v>
      </c>
      <c r="F5" s="30">
        <v>27113</v>
      </c>
      <c r="G5" s="10" t="s">
        <v>268</v>
      </c>
    </row>
    <row r="6" spans="1:26" ht="26.25" customHeight="1" x14ac:dyDescent="0.25">
      <c r="A6" s="9">
        <f t="shared" si="0"/>
        <v>3</v>
      </c>
      <c r="B6" s="26">
        <v>472890</v>
      </c>
      <c r="C6" s="27" t="s">
        <v>270</v>
      </c>
      <c r="D6" s="28" t="s">
        <v>271</v>
      </c>
      <c r="E6" s="9" t="s">
        <v>26</v>
      </c>
      <c r="F6" s="30">
        <v>26029</v>
      </c>
      <c r="G6" s="10" t="s">
        <v>268</v>
      </c>
    </row>
    <row r="7" spans="1:26" ht="26.25" customHeight="1" x14ac:dyDescent="0.25">
      <c r="A7" s="9">
        <f t="shared" si="0"/>
        <v>4</v>
      </c>
      <c r="B7" s="26">
        <v>578550</v>
      </c>
      <c r="C7" s="27" t="s">
        <v>272</v>
      </c>
      <c r="D7" s="28" t="s">
        <v>271</v>
      </c>
      <c r="E7" s="9" t="s">
        <v>26</v>
      </c>
      <c r="F7" s="30">
        <v>27980</v>
      </c>
      <c r="G7" s="10" t="s">
        <v>268</v>
      </c>
    </row>
    <row r="8" spans="1:26" ht="26.25" customHeight="1" x14ac:dyDescent="0.25">
      <c r="A8" s="9">
        <f t="shared" si="0"/>
        <v>5</v>
      </c>
      <c r="B8" s="26">
        <v>583972</v>
      </c>
      <c r="C8" s="27" t="s">
        <v>273</v>
      </c>
      <c r="D8" s="28" t="s">
        <v>274</v>
      </c>
      <c r="E8" s="9" t="s">
        <v>26</v>
      </c>
      <c r="F8" s="29">
        <v>27829</v>
      </c>
      <c r="G8" s="10" t="s">
        <v>268</v>
      </c>
    </row>
    <row r="9" spans="1:26" ht="26.25" customHeight="1" x14ac:dyDescent="0.25">
      <c r="A9" s="9">
        <f t="shared" si="0"/>
        <v>6</v>
      </c>
      <c r="B9" s="26">
        <v>164959</v>
      </c>
      <c r="C9" s="27" t="s">
        <v>275</v>
      </c>
      <c r="D9" s="28" t="s">
        <v>101</v>
      </c>
      <c r="E9" s="9" t="s">
        <v>26</v>
      </c>
      <c r="F9" s="30">
        <v>33116</v>
      </c>
      <c r="G9" s="10" t="s">
        <v>268</v>
      </c>
    </row>
    <row r="10" spans="1:26" ht="26.25" customHeight="1" x14ac:dyDescent="0.25">
      <c r="A10" s="9">
        <f t="shared" si="0"/>
        <v>7</v>
      </c>
      <c r="B10" s="26">
        <v>817959</v>
      </c>
      <c r="C10" s="27" t="s">
        <v>276</v>
      </c>
      <c r="D10" s="28" t="s">
        <v>277</v>
      </c>
      <c r="E10" s="9" t="s">
        <v>26</v>
      </c>
      <c r="F10" s="30">
        <v>31386</v>
      </c>
      <c r="G10" s="10" t="s">
        <v>268</v>
      </c>
    </row>
    <row r="11" spans="1:26" ht="26.25" customHeight="1" x14ac:dyDescent="0.25">
      <c r="A11" s="9">
        <f t="shared" si="0"/>
        <v>8</v>
      </c>
      <c r="B11" s="26">
        <v>722450</v>
      </c>
      <c r="C11" s="27" t="s">
        <v>278</v>
      </c>
      <c r="D11" s="28" t="s">
        <v>35</v>
      </c>
      <c r="E11" s="9" t="s">
        <v>26</v>
      </c>
      <c r="F11" s="30">
        <v>28163</v>
      </c>
      <c r="G11" s="10" t="s">
        <v>268</v>
      </c>
    </row>
    <row r="12" spans="1:26" ht="26.25" customHeight="1" x14ac:dyDescent="0.25">
      <c r="A12" s="9">
        <f t="shared" si="0"/>
        <v>9</v>
      </c>
      <c r="B12" s="26">
        <v>723219</v>
      </c>
      <c r="C12" s="27" t="s">
        <v>279</v>
      </c>
      <c r="D12" s="28" t="s">
        <v>280</v>
      </c>
      <c r="E12" s="9" t="s">
        <v>26</v>
      </c>
      <c r="F12" s="30">
        <v>28446</v>
      </c>
      <c r="G12" s="10" t="s">
        <v>281</v>
      </c>
    </row>
    <row r="13" spans="1:26" ht="26.25" customHeight="1" x14ac:dyDescent="0.25">
      <c r="A13" s="9">
        <f t="shared" si="0"/>
        <v>10</v>
      </c>
      <c r="B13" s="31">
        <v>929272</v>
      </c>
      <c r="C13" s="27" t="s">
        <v>282</v>
      </c>
      <c r="D13" s="28" t="s">
        <v>283</v>
      </c>
      <c r="E13" s="9" t="s">
        <v>18</v>
      </c>
      <c r="F13" s="32">
        <v>26671</v>
      </c>
      <c r="G13" s="10" t="s">
        <v>268</v>
      </c>
    </row>
    <row r="14" spans="1:26" ht="26.25" customHeight="1" x14ac:dyDescent="0.25">
      <c r="A14" s="9">
        <f t="shared" si="0"/>
        <v>11</v>
      </c>
      <c r="B14" s="9">
        <v>660100</v>
      </c>
      <c r="C14" s="10" t="s">
        <v>284</v>
      </c>
      <c r="D14" s="11" t="s">
        <v>101</v>
      </c>
      <c r="E14" s="9" t="s">
        <v>26</v>
      </c>
      <c r="F14" s="32">
        <v>33926</v>
      </c>
      <c r="G14" s="10" t="s">
        <v>268</v>
      </c>
    </row>
    <row r="15" spans="1:26" ht="26.25" customHeight="1" x14ac:dyDescent="0.25">
      <c r="A15" s="9">
        <f t="shared" si="0"/>
        <v>12</v>
      </c>
      <c r="B15" s="9">
        <v>740109</v>
      </c>
      <c r="C15" s="10" t="s">
        <v>285</v>
      </c>
      <c r="D15" s="11" t="s">
        <v>286</v>
      </c>
      <c r="E15" s="9" t="s">
        <v>18</v>
      </c>
      <c r="F15" s="32">
        <v>23643</v>
      </c>
      <c r="G15" s="10" t="s">
        <v>268</v>
      </c>
    </row>
    <row r="16" spans="1:26" ht="13.5" x14ac:dyDescent="0.2">
      <c r="A16" s="134" t="s">
        <v>106</v>
      </c>
      <c r="B16" s="127"/>
      <c r="C16" s="127"/>
      <c r="D16" s="127"/>
      <c r="E16" s="127"/>
      <c r="F16" s="127"/>
      <c r="G16" s="128"/>
    </row>
    <row r="17" spans="1:26" ht="13.5" x14ac:dyDescent="0.25">
      <c r="A17" s="16"/>
      <c r="B17" s="16"/>
      <c r="C17" s="17"/>
      <c r="D17" s="18"/>
      <c r="E17" s="16"/>
      <c r="F17" s="16"/>
      <c r="G17" s="17"/>
    </row>
    <row r="18" spans="1:26" ht="26.25" customHeight="1" x14ac:dyDescent="0.2">
      <c r="A18" s="135" t="s">
        <v>3</v>
      </c>
      <c r="B18" s="127"/>
      <c r="C18" s="127"/>
      <c r="D18" s="127"/>
      <c r="E18" s="127"/>
      <c r="F18" s="127"/>
      <c r="G18" s="12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6.25" customHeight="1" x14ac:dyDescent="0.2">
      <c r="A19" s="2" t="s">
        <v>9</v>
      </c>
      <c r="B19" s="2" t="s">
        <v>10</v>
      </c>
      <c r="C19" s="2" t="s">
        <v>11</v>
      </c>
      <c r="D19" s="3" t="s">
        <v>12</v>
      </c>
      <c r="E19" s="2" t="s">
        <v>13</v>
      </c>
      <c r="F19" s="2" t="s">
        <v>14</v>
      </c>
      <c r="G19" s="2" t="s">
        <v>15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26.25" customHeight="1" x14ac:dyDescent="0.25">
      <c r="A20" s="9">
        <v>1</v>
      </c>
      <c r="B20" s="26">
        <v>990269</v>
      </c>
      <c r="C20" s="27" t="s">
        <v>287</v>
      </c>
      <c r="D20" s="28" t="s">
        <v>288</v>
      </c>
      <c r="E20" s="9" t="s">
        <v>18</v>
      </c>
      <c r="F20" s="32">
        <v>36085</v>
      </c>
      <c r="G20" s="10" t="s">
        <v>268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 customHeight="1" x14ac:dyDescent="0.25">
      <c r="A21" s="9">
        <f t="shared" ref="A21:A51" si="1">A20+1</f>
        <v>2</v>
      </c>
      <c r="B21" s="26">
        <v>599880</v>
      </c>
      <c r="C21" s="33" t="s">
        <v>289</v>
      </c>
      <c r="D21" s="34" t="s">
        <v>271</v>
      </c>
      <c r="E21" s="9" t="s">
        <v>26</v>
      </c>
      <c r="F21" s="32">
        <v>28809</v>
      </c>
      <c r="G21" s="10" t="s">
        <v>281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 x14ac:dyDescent="0.25">
      <c r="A22" s="9">
        <f t="shared" si="1"/>
        <v>3</v>
      </c>
      <c r="B22" s="35">
        <v>545194</v>
      </c>
      <c r="C22" s="36" t="s">
        <v>290</v>
      </c>
      <c r="D22" s="37" t="s">
        <v>101</v>
      </c>
      <c r="E22" s="9" t="s">
        <v>26</v>
      </c>
      <c r="F22" s="32">
        <v>34051</v>
      </c>
      <c r="G22" s="10" t="s">
        <v>281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6.25" customHeight="1" x14ac:dyDescent="0.25">
      <c r="A23" s="9">
        <f t="shared" si="1"/>
        <v>4</v>
      </c>
      <c r="B23" s="35">
        <v>135180</v>
      </c>
      <c r="C23" s="36" t="s">
        <v>291</v>
      </c>
      <c r="D23" s="37" t="s">
        <v>29</v>
      </c>
      <c r="E23" s="9" t="s">
        <v>26</v>
      </c>
      <c r="F23" s="32">
        <v>33619</v>
      </c>
      <c r="G23" s="10" t="s">
        <v>268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6.25" customHeight="1" x14ac:dyDescent="0.25">
      <c r="A24" s="9">
        <f t="shared" si="1"/>
        <v>5</v>
      </c>
      <c r="B24" s="35">
        <v>983454</v>
      </c>
      <c r="C24" s="36" t="s">
        <v>292</v>
      </c>
      <c r="D24" s="37" t="s">
        <v>286</v>
      </c>
      <c r="E24" s="9" t="s">
        <v>18</v>
      </c>
      <c r="F24" s="32">
        <v>37022</v>
      </c>
      <c r="G24" s="10" t="s">
        <v>268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6.25" customHeight="1" x14ac:dyDescent="0.25">
      <c r="A25" s="9">
        <f t="shared" si="1"/>
        <v>6</v>
      </c>
      <c r="B25" s="35">
        <v>706109</v>
      </c>
      <c r="C25" s="36" t="s">
        <v>293</v>
      </c>
      <c r="D25" s="37" t="s">
        <v>58</v>
      </c>
      <c r="E25" s="9" t="s">
        <v>26</v>
      </c>
      <c r="F25" s="32">
        <v>30611</v>
      </c>
      <c r="G25" s="10" t="s">
        <v>268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6.25" customHeight="1" x14ac:dyDescent="0.25">
      <c r="A26" s="9">
        <f t="shared" si="1"/>
        <v>7</v>
      </c>
      <c r="B26" s="35">
        <v>287556</v>
      </c>
      <c r="C26" s="36" t="s">
        <v>294</v>
      </c>
      <c r="D26" s="37" t="s">
        <v>89</v>
      </c>
      <c r="E26" s="9" t="s">
        <v>18</v>
      </c>
      <c r="F26" s="32">
        <v>28556</v>
      </c>
      <c r="G26" s="10" t="s">
        <v>268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6.25" customHeight="1" x14ac:dyDescent="0.25">
      <c r="A27" s="9">
        <f t="shared" si="1"/>
        <v>8</v>
      </c>
      <c r="B27" s="35">
        <v>705491</v>
      </c>
      <c r="C27" s="36" t="s">
        <v>295</v>
      </c>
      <c r="D27" s="37" t="s">
        <v>32</v>
      </c>
      <c r="E27" s="9" t="s">
        <v>18</v>
      </c>
      <c r="F27" s="32">
        <v>30689</v>
      </c>
      <c r="G27" s="10" t="s">
        <v>268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6.25" customHeight="1" x14ac:dyDescent="0.25">
      <c r="A28" s="9">
        <f t="shared" si="1"/>
        <v>9</v>
      </c>
      <c r="B28" s="35">
        <v>505503</v>
      </c>
      <c r="C28" s="36" t="s">
        <v>296</v>
      </c>
      <c r="D28" s="37" t="s">
        <v>222</v>
      </c>
      <c r="E28" s="9" t="s">
        <v>26</v>
      </c>
      <c r="F28" s="32">
        <v>31163</v>
      </c>
      <c r="G28" s="10" t="s">
        <v>268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6.25" customHeight="1" x14ac:dyDescent="0.25">
      <c r="A29" s="9">
        <f t="shared" si="1"/>
        <v>10</v>
      </c>
      <c r="B29" s="35">
        <v>488433</v>
      </c>
      <c r="C29" s="36" t="s">
        <v>297</v>
      </c>
      <c r="D29" s="37" t="s">
        <v>29</v>
      </c>
      <c r="E29" s="9" t="s">
        <v>18</v>
      </c>
      <c r="F29" s="32">
        <v>35057</v>
      </c>
      <c r="G29" s="10" t="s">
        <v>268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6.25" customHeight="1" x14ac:dyDescent="0.25">
      <c r="A30" s="9">
        <f t="shared" si="1"/>
        <v>11</v>
      </c>
      <c r="B30" s="35">
        <v>411215</v>
      </c>
      <c r="C30" s="36" t="s">
        <v>298</v>
      </c>
      <c r="D30" s="37" t="s">
        <v>299</v>
      </c>
      <c r="E30" s="9" t="s">
        <v>26</v>
      </c>
      <c r="F30" s="32">
        <v>29050</v>
      </c>
      <c r="G30" s="10" t="s">
        <v>268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6.25" customHeight="1" x14ac:dyDescent="0.25">
      <c r="A31" s="9">
        <f t="shared" si="1"/>
        <v>12</v>
      </c>
      <c r="B31" s="35">
        <v>905404</v>
      </c>
      <c r="C31" s="36" t="s">
        <v>300</v>
      </c>
      <c r="D31" s="37" t="s">
        <v>22</v>
      </c>
      <c r="E31" s="9" t="s">
        <v>18</v>
      </c>
      <c r="F31" s="32">
        <v>35616</v>
      </c>
      <c r="G31" s="10" t="s">
        <v>268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6.25" customHeight="1" x14ac:dyDescent="0.25">
      <c r="A32" s="9">
        <f t="shared" si="1"/>
        <v>13</v>
      </c>
      <c r="B32" s="35">
        <v>489240</v>
      </c>
      <c r="C32" s="36" t="s">
        <v>301</v>
      </c>
      <c r="D32" s="37" t="s">
        <v>32</v>
      </c>
      <c r="E32" s="9" t="s">
        <v>18</v>
      </c>
      <c r="F32" s="32">
        <v>35340</v>
      </c>
      <c r="G32" s="10" t="s">
        <v>268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6.25" customHeight="1" x14ac:dyDescent="0.25">
      <c r="A33" s="9">
        <f t="shared" si="1"/>
        <v>14</v>
      </c>
      <c r="B33" s="35">
        <v>406321</v>
      </c>
      <c r="C33" s="36" t="s">
        <v>302</v>
      </c>
      <c r="D33" s="37" t="s">
        <v>303</v>
      </c>
      <c r="E33" s="9" t="s">
        <v>18</v>
      </c>
      <c r="F33" s="32">
        <v>30108</v>
      </c>
      <c r="G33" s="10" t="s">
        <v>268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6.25" customHeight="1" x14ac:dyDescent="0.25">
      <c r="A34" s="9">
        <f t="shared" si="1"/>
        <v>15</v>
      </c>
      <c r="B34" s="35">
        <v>751102</v>
      </c>
      <c r="C34" s="36" t="s">
        <v>304</v>
      </c>
      <c r="D34" s="37" t="s">
        <v>101</v>
      </c>
      <c r="E34" s="9" t="s">
        <v>26</v>
      </c>
      <c r="F34" s="32">
        <v>35989</v>
      </c>
      <c r="G34" s="10" t="s">
        <v>268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6.25" customHeight="1" x14ac:dyDescent="0.25">
      <c r="A35" s="9">
        <f t="shared" si="1"/>
        <v>16</v>
      </c>
      <c r="B35" s="35">
        <v>250817</v>
      </c>
      <c r="C35" s="36" t="s">
        <v>305</v>
      </c>
      <c r="D35" s="37" t="s">
        <v>22</v>
      </c>
      <c r="E35" s="9" t="s">
        <v>26</v>
      </c>
      <c r="F35" s="32">
        <v>31281</v>
      </c>
      <c r="G35" s="10" t="s">
        <v>268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6.25" customHeight="1" x14ac:dyDescent="0.25">
      <c r="A36" s="9">
        <f t="shared" si="1"/>
        <v>17</v>
      </c>
      <c r="B36" s="35">
        <v>608312</v>
      </c>
      <c r="C36" s="36" t="s">
        <v>306</v>
      </c>
      <c r="D36" s="37" t="s">
        <v>25</v>
      </c>
      <c r="E36" s="9" t="s">
        <v>26</v>
      </c>
      <c r="F36" s="32">
        <v>26812</v>
      </c>
      <c r="G36" s="10" t="s">
        <v>281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6.25" customHeight="1" x14ac:dyDescent="0.25">
      <c r="A37" s="9">
        <f t="shared" si="1"/>
        <v>18</v>
      </c>
      <c r="B37" s="35">
        <v>553783</v>
      </c>
      <c r="C37" s="36" t="s">
        <v>307</v>
      </c>
      <c r="D37" s="37" t="s">
        <v>308</v>
      </c>
      <c r="E37" s="9" t="s">
        <v>18</v>
      </c>
      <c r="F37" s="32">
        <v>29894</v>
      </c>
      <c r="G37" s="10" t="s">
        <v>281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6.25" customHeight="1" x14ac:dyDescent="0.25">
      <c r="A38" s="9">
        <f t="shared" si="1"/>
        <v>19</v>
      </c>
      <c r="B38" s="35">
        <v>935951</v>
      </c>
      <c r="C38" s="36" t="s">
        <v>309</v>
      </c>
      <c r="D38" s="37" t="s">
        <v>29</v>
      </c>
      <c r="E38" s="9" t="s">
        <v>26</v>
      </c>
      <c r="F38" s="32">
        <v>22780</v>
      </c>
      <c r="G38" s="10" t="s">
        <v>268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6.25" customHeight="1" x14ac:dyDescent="0.25">
      <c r="A39" s="9">
        <f t="shared" si="1"/>
        <v>20</v>
      </c>
      <c r="B39" s="35">
        <v>232531</v>
      </c>
      <c r="C39" s="36" t="s">
        <v>310</v>
      </c>
      <c r="D39" s="37" t="s">
        <v>311</v>
      </c>
      <c r="E39" s="9" t="s">
        <v>26</v>
      </c>
      <c r="F39" s="32">
        <v>28969</v>
      </c>
      <c r="G39" s="10" t="s">
        <v>268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6.25" customHeight="1" x14ac:dyDescent="0.25">
      <c r="A40" s="9">
        <f t="shared" si="1"/>
        <v>21</v>
      </c>
      <c r="B40" s="35">
        <v>331046</v>
      </c>
      <c r="C40" s="36" t="s">
        <v>312</v>
      </c>
      <c r="D40" s="37" t="s">
        <v>222</v>
      </c>
      <c r="E40" s="9" t="s">
        <v>26</v>
      </c>
      <c r="F40" s="32">
        <v>29091</v>
      </c>
      <c r="G40" s="10" t="s">
        <v>268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6.25" customHeight="1" x14ac:dyDescent="0.25">
      <c r="A41" s="9">
        <f t="shared" si="1"/>
        <v>22</v>
      </c>
      <c r="B41" s="35">
        <v>938818</v>
      </c>
      <c r="C41" s="36" t="s">
        <v>313</v>
      </c>
      <c r="D41" s="37" t="s">
        <v>29</v>
      </c>
      <c r="E41" s="9" t="s">
        <v>18</v>
      </c>
      <c r="F41" s="32">
        <v>34989</v>
      </c>
      <c r="G41" s="10" t="s">
        <v>268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6.25" customHeight="1" x14ac:dyDescent="0.25">
      <c r="A42" s="9">
        <f t="shared" si="1"/>
        <v>23</v>
      </c>
      <c r="B42" s="35">
        <v>382370</v>
      </c>
      <c r="C42" s="36" t="s">
        <v>314</v>
      </c>
      <c r="D42" s="37" t="s">
        <v>222</v>
      </c>
      <c r="E42" s="9" t="s">
        <v>26</v>
      </c>
      <c r="F42" s="38">
        <v>35498</v>
      </c>
      <c r="G42" s="10" t="s">
        <v>268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6.25" customHeight="1" x14ac:dyDescent="0.25">
      <c r="A43" s="9">
        <f t="shared" si="1"/>
        <v>24</v>
      </c>
      <c r="B43" s="35">
        <v>956528</v>
      </c>
      <c r="C43" s="36" t="s">
        <v>315</v>
      </c>
      <c r="D43" s="37" t="s">
        <v>101</v>
      </c>
      <c r="E43" s="9" t="s">
        <v>26</v>
      </c>
      <c r="F43" s="32">
        <v>34330</v>
      </c>
      <c r="G43" s="10" t="s">
        <v>268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6.25" customHeight="1" x14ac:dyDescent="0.25">
      <c r="A44" s="9">
        <f t="shared" si="1"/>
        <v>25</v>
      </c>
      <c r="B44" s="35">
        <v>429389</v>
      </c>
      <c r="C44" s="36" t="s">
        <v>316</v>
      </c>
      <c r="D44" s="37" t="s">
        <v>104</v>
      </c>
      <c r="E44" s="9" t="s">
        <v>18</v>
      </c>
      <c r="F44" s="32">
        <v>32955</v>
      </c>
      <c r="G44" s="10" t="s">
        <v>268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6.25" customHeight="1" x14ac:dyDescent="0.25">
      <c r="A45" s="9">
        <f t="shared" si="1"/>
        <v>26</v>
      </c>
      <c r="B45" s="35">
        <v>300179</v>
      </c>
      <c r="C45" s="36" t="s">
        <v>317</v>
      </c>
      <c r="D45" s="37" t="s">
        <v>25</v>
      </c>
      <c r="E45" s="9" t="s">
        <v>26</v>
      </c>
      <c r="F45" s="32">
        <v>28163</v>
      </c>
      <c r="G45" s="10" t="s">
        <v>268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6.25" customHeight="1" x14ac:dyDescent="0.25">
      <c r="A46" s="9">
        <f t="shared" si="1"/>
        <v>27</v>
      </c>
      <c r="B46" s="35">
        <v>921488</v>
      </c>
      <c r="C46" s="36" t="s">
        <v>318</v>
      </c>
      <c r="D46" s="37" t="s">
        <v>319</v>
      </c>
      <c r="E46" s="9" t="s">
        <v>18</v>
      </c>
      <c r="F46" s="39">
        <v>36055</v>
      </c>
      <c r="G46" s="10" t="s">
        <v>268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6.25" customHeight="1" x14ac:dyDescent="0.25">
      <c r="A47" s="9">
        <f t="shared" si="1"/>
        <v>28</v>
      </c>
      <c r="B47" s="35">
        <v>740531</v>
      </c>
      <c r="C47" s="36" t="s">
        <v>320</v>
      </c>
      <c r="D47" s="37" t="s">
        <v>101</v>
      </c>
      <c r="E47" s="9" t="s">
        <v>26</v>
      </c>
      <c r="F47" s="32">
        <v>34583</v>
      </c>
      <c r="G47" s="10" t="s">
        <v>268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6.25" customHeight="1" x14ac:dyDescent="0.25">
      <c r="A48" s="9">
        <f t="shared" si="1"/>
        <v>29</v>
      </c>
      <c r="B48" s="35">
        <v>348180</v>
      </c>
      <c r="C48" s="36" t="s">
        <v>321</v>
      </c>
      <c r="D48" s="37" t="s">
        <v>51</v>
      </c>
      <c r="E48" s="9" t="s">
        <v>26</v>
      </c>
      <c r="F48" s="32">
        <v>26577</v>
      </c>
      <c r="G48" s="10" t="s">
        <v>268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6.25" customHeight="1" x14ac:dyDescent="0.25">
      <c r="A49" s="9">
        <f t="shared" si="1"/>
        <v>30</v>
      </c>
      <c r="B49" s="35">
        <v>104282</v>
      </c>
      <c r="C49" s="36" t="s">
        <v>322</v>
      </c>
      <c r="D49" s="37" t="s">
        <v>51</v>
      </c>
      <c r="E49" s="9" t="s">
        <v>26</v>
      </c>
      <c r="F49" s="32">
        <v>33575</v>
      </c>
      <c r="G49" s="10" t="s">
        <v>268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6.25" customHeight="1" x14ac:dyDescent="0.25">
      <c r="A50" s="9">
        <f t="shared" si="1"/>
        <v>31</v>
      </c>
      <c r="B50" s="35">
        <v>413637</v>
      </c>
      <c r="C50" s="36" t="s">
        <v>323</v>
      </c>
      <c r="D50" s="37" t="s">
        <v>58</v>
      </c>
      <c r="E50" s="9" t="s">
        <v>26</v>
      </c>
      <c r="F50" s="32">
        <v>31229</v>
      </c>
      <c r="G50" s="10" t="s">
        <v>268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6.25" customHeight="1" x14ac:dyDescent="0.25">
      <c r="A51" s="9">
        <f t="shared" si="1"/>
        <v>32</v>
      </c>
      <c r="B51" s="35">
        <v>568533</v>
      </c>
      <c r="C51" s="36" t="s">
        <v>324</v>
      </c>
      <c r="D51" s="37" t="s">
        <v>101</v>
      </c>
      <c r="E51" s="9" t="s">
        <v>18</v>
      </c>
      <c r="F51" s="32">
        <v>36760</v>
      </c>
      <c r="G51" s="10" t="s">
        <v>268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x14ac:dyDescent="0.25">
      <c r="A52" s="126" t="s">
        <v>106</v>
      </c>
      <c r="B52" s="127"/>
      <c r="C52" s="127"/>
      <c r="D52" s="127"/>
      <c r="E52" s="127"/>
      <c r="F52" s="127"/>
      <c r="G52" s="128"/>
    </row>
    <row r="53" spans="1:26" ht="13.5" x14ac:dyDescent="0.25">
      <c r="A53" s="16"/>
      <c r="B53" s="16"/>
      <c r="C53" s="17"/>
      <c r="D53" s="18"/>
      <c r="E53" s="16"/>
      <c r="F53" s="16"/>
      <c r="G53" s="17"/>
    </row>
    <row r="54" spans="1:26" ht="26.25" customHeight="1" x14ac:dyDescent="0.2">
      <c r="A54" s="129" t="s">
        <v>4</v>
      </c>
      <c r="B54" s="127"/>
      <c r="C54" s="127"/>
      <c r="D54" s="127"/>
      <c r="E54" s="127"/>
      <c r="F54" s="127"/>
      <c r="G54" s="12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6.25" customHeight="1" x14ac:dyDescent="0.2">
      <c r="A55" s="2" t="s">
        <v>9</v>
      </c>
      <c r="B55" s="2" t="s">
        <v>10</v>
      </c>
      <c r="C55" s="2" t="s">
        <v>11</v>
      </c>
      <c r="D55" s="3" t="s">
        <v>12</v>
      </c>
      <c r="E55" s="2" t="s">
        <v>13</v>
      </c>
      <c r="F55" s="2" t="s">
        <v>14</v>
      </c>
      <c r="G55" s="2" t="s">
        <v>15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26.25" customHeight="1" x14ac:dyDescent="0.25">
      <c r="A56" s="9">
        <v>1</v>
      </c>
      <c r="B56" s="26">
        <v>970465</v>
      </c>
      <c r="C56" s="27" t="s">
        <v>325</v>
      </c>
      <c r="D56" s="40" t="s">
        <v>326</v>
      </c>
      <c r="E56" s="9" t="s">
        <v>26</v>
      </c>
      <c r="F56" s="32">
        <v>29566</v>
      </c>
      <c r="G56" s="10" t="s">
        <v>268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6.25" customHeight="1" x14ac:dyDescent="0.25">
      <c r="A57" s="9">
        <f t="shared" ref="A57:A65" si="2">A56+1</f>
        <v>2</v>
      </c>
      <c r="B57" s="26">
        <v>435914</v>
      </c>
      <c r="C57" s="27" t="s">
        <v>327</v>
      </c>
      <c r="D57" s="40" t="s">
        <v>328</v>
      </c>
      <c r="E57" s="9" t="s">
        <v>26</v>
      </c>
      <c r="F57" s="32">
        <v>35631</v>
      </c>
      <c r="G57" s="10" t="s">
        <v>268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6.25" customHeight="1" x14ac:dyDescent="0.25">
      <c r="A58" s="9">
        <f t="shared" si="2"/>
        <v>3</v>
      </c>
      <c r="B58" s="26">
        <v>669920</v>
      </c>
      <c r="C58" s="27" t="s">
        <v>329</v>
      </c>
      <c r="D58" s="40" t="s">
        <v>222</v>
      </c>
      <c r="E58" s="9" t="s">
        <v>26</v>
      </c>
      <c r="F58" s="32">
        <v>36089</v>
      </c>
      <c r="G58" s="10" t="s">
        <v>268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6.25" customHeight="1" x14ac:dyDescent="0.25">
      <c r="A59" s="9">
        <f t="shared" si="2"/>
        <v>4</v>
      </c>
      <c r="B59" s="26">
        <v>447264</v>
      </c>
      <c r="C59" s="27" t="s">
        <v>330</v>
      </c>
      <c r="D59" s="40" t="s">
        <v>331</v>
      </c>
      <c r="E59" s="9" t="s">
        <v>18</v>
      </c>
      <c r="F59" s="32">
        <v>28745</v>
      </c>
      <c r="G59" s="10" t="s">
        <v>268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6.25" customHeight="1" x14ac:dyDescent="0.25">
      <c r="A60" s="9">
        <f t="shared" si="2"/>
        <v>5</v>
      </c>
      <c r="B60" s="26">
        <v>478643</v>
      </c>
      <c r="C60" s="41" t="s">
        <v>332</v>
      </c>
      <c r="D60" s="40" t="s">
        <v>333</v>
      </c>
      <c r="E60" s="9" t="s">
        <v>18</v>
      </c>
      <c r="F60" s="32">
        <v>23614</v>
      </c>
      <c r="G60" s="10" t="s">
        <v>268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6.25" customHeight="1" x14ac:dyDescent="0.25">
      <c r="A61" s="9">
        <f t="shared" si="2"/>
        <v>6</v>
      </c>
      <c r="B61" s="26">
        <v>429064</v>
      </c>
      <c r="C61" s="41" t="s">
        <v>334</v>
      </c>
      <c r="D61" s="40" t="s">
        <v>286</v>
      </c>
      <c r="E61" s="9" t="s">
        <v>26</v>
      </c>
      <c r="F61" s="32">
        <v>33255</v>
      </c>
      <c r="G61" s="10" t="s">
        <v>268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6.25" customHeight="1" x14ac:dyDescent="0.25">
      <c r="A62" s="9">
        <f t="shared" si="2"/>
        <v>7</v>
      </c>
      <c r="B62" s="26">
        <v>432411</v>
      </c>
      <c r="C62" s="41" t="s">
        <v>335</v>
      </c>
      <c r="D62" s="40" t="s">
        <v>333</v>
      </c>
      <c r="E62" s="9" t="s">
        <v>26</v>
      </c>
      <c r="F62" s="32">
        <v>22736</v>
      </c>
      <c r="G62" s="10" t="s">
        <v>268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6.25" customHeight="1" x14ac:dyDescent="0.25">
      <c r="A63" s="9">
        <f t="shared" si="2"/>
        <v>8</v>
      </c>
      <c r="B63" s="26">
        <v>168325</v>
      </c>
      <c r="C63" s="41" t="s">
        <v>336</v>
      </c>
      <c r="D63" s="40" t="s">
        <v>333</v>
      </c>
      <c r="E63" s="9" t="s">
        <v>26</v>
      </c>
      <c r="F63" s="32">
        <v>28363</v>
      </c>
      <c r="G63" s="10" t="s">
        <v>268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6.25" customHeight="1" x14ac:dyDescent="0.25">
      <c r="A64" s="9">
        <f t="shared" si="2"/>
        <v>9</v>
      </c>
      <c r="B64" s="26">
        <v>187727</v>
      </c>
      <c r="C64" s="41" t="s">
        <v>337</v>
      </c>
      <c r="D64" s="40" t="s">
        <v>333</v>
      </c>
      <c r="E64" s="9" t="s">
        <v>18</v>
      </c>
      <c r="F64" s="32">
        <v>29834</v>
      </c>
      <c r="G64" s="10" t="s">
        <v>268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6.25" customHeight="1" x14ac:dyDescent="0.25">
      <c r="A65" s="9">
        <f t="shared" si="2"/>
        <v>10</v>
      </c>
      <c r="B65" s="26">
        <v>625407</v>
      </c>
      <c r="C65" s="27" t="s">
        <v>338</v>
      </c>
      <c r="D65" s="40" t="s">
        <v>51</v>
      </c>
      <c r="E65" s="9" t="s">
        <v>26</v>
      </c>
      <c r="F65" s="32">
        <v>33531</v>
      </c>
      <c r="G65" s="10" t="s">
        <v>268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x14ac:dyDescent="0.25">
      <c r="A66" s="126" t="s">
        <v>106</v>
      </c>
      <c r="B66" s="127"/>
      <c r="C66" s="127"/>
      <c r="D66" s="127"/>
      <c r="E66" s="127"/>
      <c r="F66" s="127"/>
      <c r="G66" s="128"/>
    </row>
    <row r="67" spans="1:26" ht="13.5" x14ac:dyDescent="0.25">
      <c r="A67" s="16"/>
      <c r="B67" s="16"/>
      <c r="C67" s="17"/>
      <c r="D67" s="18"/>
      <c r="E67" s="16"/>
      <c r="F67" s="16"/>
      <c r="G67" s="17"/>
    </row>
    <row r="68" spans="1:26" ht="26.25" customHeight="1" x14ac:dyDescent="0.2">
      <c r="A68" s="136" t="s">
        <v>5</v>
      </c>
      <c r="B68" s="127"/>
      <c r="C68" s="127"/>
      <c r="D68" s="127"/>
      <c r="E68" s="127"/>
      <c r="F68" s="127"/>
      <c r="G68" s="12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6.25" customHeight="1" x14ac:dyDescent="0.2">
      <c r="A69" s="2" t="s">
        <v>9</v>
      </c>
      <c r="B69" s="2" t="s">
        <v>10</v>
      </c>
      <c r="C69" s="2" t="s">
        <v>11</v>
      </c>
      <c r="D69" s="3" t="s">
        <v>12</v>
      </c>
      <c r="E69" s="2" t="s">
        <v>13</v>
      </c>
      <c r="F69" s="2" t="s">
        <v>14</v>
      </c>
      <c r="G69" s="2" t="s">
        <v>15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26.25" customHeight="1" x14ac:dyDescent="0.25">
      <c r="A70" s="9">
        <v>1</v>
      </c>
      <c r="B70" s="26">
        <v>254906</v>
      </c>
      <c r="C70" s="27" t="s">
        <v>339</v>
      </c>
      <c r="D70" s="28" t="s">
        <v>340</v>
      </c>
      <c r="E70" s="9" t="s">
        <v>26</v>
      </c>
      <c r="F70" s="38">
        <v>37770</v>
      </c>
      <c r="G70" s="10" t="s">
        <v>268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6.25" customHeight="1" x14ac:dyDescent="0.25">
      <c r="A71" s="9">
        <f t="shared" ref="A71:A123" si="3">A70+1</f>
        <v>2</v>
      </c>
      <c r="B71" s="26">
        <v>199052</v>
      </c>
      <c r="C71" s="27" t="s">
        <v>341</v>
      </c>
      <c r="D71" s="28" t="s">
        <v>342</v>
      </c>
      <c r="E71" s="9" t="s">
        <v>18</v>
      </c>
      <c r="F71" s="39">
        <v>36450</v>
      </c>
      <c r="G71" s="10" t="s">
        <v>268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6.25" customHeight="1" x14ac:dyDescent="0.25">
      <c r="A72" s="9">
        <f t="shared" si="3"/>
        <v>3</v>
      </c>
      <c r="B72" s="26">
        <v>441058</v>
      </c>
      <c r="C72" s="33" t="s">
        <v>343</v>
      </c>
      <c r="D72" s="34" t="s">
        <v>344</v>
      </c>
      <c r="E72" s="9" t="s">
        <v>18</v>
      </c>
      <c r="F72" s="38">
        <v>36809</v>
      </c>
      <c r="G72" s="10" t="s">
        <v>281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6.25" customHeight="1" x14ac:dyDescent="0.25">
      <c r="A73" s="9">
        <f t="shared" si="3"/>
        <v>4</v>
      </c>
      <c r="B73" s="35">
        <v>983424</v>
      </c>
      <c r="C73" s="36" t="s">
        <v>345</v>
      </c>
      <c r="D73" s="37" t="s">
        <v>346</v>
      </c>
      <c r="E73" s="9" t="s">
        <v>26</v>
      </c>
      <c r="F73" s="39">
        <v>36080</v>
      </c>
      <c r="G73" s="10" t="s">
        <v>268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6.25" customHeight="1" x14ac:dyDescent="0.25">
      <c r="A74" s="9">
        <f t="shared" si="3"/>
        <v>5</v>
      </c>
      <c r="B74" s="35">
        <v>983758</v>
      </c>
      <c r="C74" s="36" t="s">
        <v>347</v>
      </c>
      <c r="D74" s="37" t="s">
        <v>308</v>
      </c>
      <c r="E74" s="9" t="s">
        <v>26</v>
      </c>
      <c r="F74" s="39">
        <v>32820</v>
      </c>
      <c r="G74" s="10" t="s">
        <v>268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6.25" customHeight="1" x14ac:dyDescent="0.25">
      <c r="A75" s="9">
        <f t="shared" si="3"/>
        <v>6</v>
      </c>
      <c r="B75" s="35">
        <v>620998</v>
      </c>
      <c r="C75" s="36" t="s">
        <v>348</v>
      </c>
      <c r="D75" s="37" t="s">
        <v>349</v>
      </c>
      <c r="E75" s="9" t="s">
        <v>26</v>
      </c>
      <c r="F75" s="39">
        <v>35893</v>
      </c>
      <c r="G75" s="10" t="s">
        <v>268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6.25" customHeight="1" x14ac:dyDescent="0.25">
      <c r="A76" s="9">
        <f t="shared" si="3"/>
        <v>7</v>
      </c>
      <c r="B76" s="35">
        <v>515714</v>
      </c>
      <c r="C76" s="36" t="s">
        <v>350</v>
      </c>
      <c r="D76" s="37" t="s">
        <v>32</v>
      </c>
      <c r="E76" s="9" t="s">
        <v>26</v>
      </c>
      <c r="F76" s="39">
        <v>36666</v>
      </c>
      <c r="G76" s="10" t="s">
        <v>268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6.25" customHeight="1" x14ac:dyDescent="0.25">
      <c r="A77" s="9">
        <f t="shared" si="3"/>
        <v>8</v>
      </c>
      <c r="B77" s="35">
        <v>453727</v>
      </c>
      <c r="C77" s="36" t="s">
        <v>351</v>
      </c>
      <c r="D77" s="37" t="s">
        <v>308</v>
      </c>
      <c r="E77" s="9" t="s">
        <v>26</v>
      </c>
      <c r="F77" s="39">
        <v>36450</v>
      </c>
      <c r="G77" s="10" t="s">
        <v>268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6.25" customHeight="1" x14ac:dyDescent="0.25">
      <c r="A78" s="9">
        <f t="shared" si="3"/>
        <v>9</v>
      </c>
      <c r="B78" s="35">
        <v>652524</v>
      </c>
      <c r="C78" s="36" t="s">
        <v>352</v>
      </c>
      <c r="D78" s="37" t="s">
        <v>208</v>
      </c>
      <c r="E78" s="9" t="s">
        <v>18</v>
      </c>
      <c r="F78" s="39">
        <v>35920</v>
      </c>
      <c r="G78" s="10" t="s">
        <v>268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6.25" customHeight="1" x14ac:dyDescent="0.25">
      <c r="A79" s="9">
        <f t="shared" si="3"/>
        <v>10</v>
      </c>
      <c r="B79" s="42" t="s">
        <v>353</v>
      </c>
      <c r="C79" s="36" t="s">
        <v>354</v>
      </c>
      <c r="D79" s="37" t="s">
        <v>346</v>
      </c>
      <c r="E79" s="9" t="s">
        <v>26</v>
      </c>
      <c r="F79" s="38">
        <v>29200</v>
      </c>
      <c r="G79" s="10" t="s">
        <v>268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6.25" customHeight="1" x14ac:dyDescent="0.25">
      <c r="A80" s="9">
        <f t="shared" si="3"/>
        <v>11</v>
      </c>
      <c r="B80" s="35">
        <v>677630</v>
      </c>
      <c r="C80" s="36" t="s">
        <v>355</v>
      </c>
      <c r="D80" s="37" t="s">
        <v>356</v>
      </c>
      <c r="E80" s="9" t="s">
        <v>18</v>
      </c>
      <c r="F80" s="39">
        <v>36472</v>
      </c>
      <c r="G80" s="10" t="s">
        <v>268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6.25" customHeight="1" x14ac:dyDescent="0.25">
      <c r="A81" s="9">
        <f t="shared" si="3"/>
        <v>12</v>
      </c>
      <c r="B81" s="35">
        <v>879431</v>
      </c>
      <c r="C81" s="36" t="s">
        <v>357</v>
      </c>
      <c r="D81" s="37" t="s">
        <v>183</v>
      </c>
      <c r="E81" s="9" t="s">
        <v>26</v>
      </c>
      <c r="F81" s="39">
        <v>33822</v>
      </c>
      <c r="G81" s="10" t="s">
        <v>281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6.25" customHeight="1" x14ac:dyDescent="0.25">
      <c r="A82" s="9">
        <f t="shared" si="3"/>
        <v>13</v>
      </c>
      <c r="B82" s="35">
        <v>864981</v>
      </c>
      <c r="C82" s="36" t="s">
        <v>358</v>
      </c>
      <c r="D82" s="37" t="s">
        <v>308</v>
      </c>
      <c r="E82" s="9" t="s">
        <v>26</v>
      </c>
      <c r="F82" s="39">
        <v>33354</v>
      </c>
      <c r="G82" s="10" t="s">
        <v>268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6.25" customHeight="1" x14ac:dyDescent="0.25">
      <c r="A83" s="9">
        <f t="shared" si="3"/>
        <v>14</v>
      </c>
      <c r="B83" s="35">
        <v>107996</v>
      </c>
      <c r="C83" s="36" t="s">
        <v>359</v>
      </c>
      <c r="D83" s="37" t="s">
        <v>360</v>
      </c>
      <c r="E83" s="9" t="s">
        <v>26</v>
      </c>
      <c r="F83" s="38">
        <v>37373</v>
      </c>
      <c r="G83" s="10" t="s">
        <v>268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6.25" customHeight="1" x14ac:dyDescent="0.25">
      <c r="A84" s="9">
        <f t="shared" si="3"/>
        <v>15</v>
      </c>
      <c r="B84" s="35">
        <v>778342</v>
      </c>
      <c r="C84" s="36" t="s">
        <v>361</v>
      </c>
      <c r="D84" s="37" t="s">
        <v>362</v>
      </c>
      <c r="E84" s="9" t="s">
        <v>26</v>
      </c>
      <c r="F84" s="39">
        <v>31338</v>
      </c>
      <c r="G84" s="10" t="s">
        <v>268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6.25" customHeight="1" x14ac:dyDescent="0.25">
      <c r="A85" s="9">
        <f t="shared" si="3"/>
        <v>16</v>
      </c>
      <c r="B85" s="35">
        <v>692846</v>
      </c>
      <c r="C85" s="36" t="s">
        <v>363</v>
      </c>
      <c r="D85" s="37" t="s">
        <v>364</v>
      </c>
      <c r="E85" s="9" t="s">
        <v>18</v>
      </c>
      <c r="F85" s="39">
        <v>35877</v>
      </c>
      <c r="G85" s="10" t="s">
        <v>268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6.25" customHeight="1" x14ac:dyDescent="0.25">
      <c r="A86" s="9">
        <f t="shared" si="3"/>
        <v>17</v>
      </c>
      <c r="B86" s="35">
        <v>196770</v>
      </c>
      <c r="C86" s="36" t="s">
        <v>365</v>
      </c>
      <c r="D86" s="37" t="s">
        <v>366</v>
      </c>
      <c r="E86" s="9" t="s">
        <v>26</v>
      </c>
      <c r="F86" s="39">
        <v>29727</v>
      </c>
      <c r="G86" s="10" t="s">
        <v>268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6.25" customHeight="1" x14ac:dyDescent="0.25">
      <c r="A87" s="9">
        <f t="shared" si="3"/>
        <v>18</v>
      </c>
      <c r="B87" s="35">
        <v>194240</v>
      </c>
      <c r="C87" s="36" t="s">
        <v>367</v>
      </c>
      <c r="D87" s="37" t="s">
        <v>346</v>
      </c>
      <c r="E87" s="9" t="s">
        <v>26</v>
      </c>
      <c r="F87" s="39">
        <v>35920</v>
      </c>
      <c r="G87" s="10" t="s">
        <v>268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6.25" customHeight="1" x14ac:dyDescent="0.25">
      <c r="A88" s="9">
        <f t="shared" si="3"/>
        <v>19</v>
      </c>
      <c r="B88" s="35">
        <v>892078</v>
      </c>
      <c r="C88" s="36" t="s">
        <v>368</v>
      </c>
      <c r="D88" s="37" t="s">
        <v>369</v>
      </c>
      <c r="E88" s="9" t="s">
        <v>26</v>
      </c>
      <c r="F88" s="39">
        <v>28187</v>
      </c>
      <c r="G88" s="10" t="s">
        <v>268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6.25" customHeight="1" x14ac:dyDescent="0.25">
      <c r="A89" s="9">
        <f t="shared" si="3"/>
        <v>20</v>
      </c>
      <c r="B89" s="35">
        <v>265370</v>
      </c>
      <c r="C89" s="36" t="s">
        <v>370</v>
      </c>
      <c r="D89" s="37" t="s">
        <v>360</v>
      </c>
      <c r="E89" s="9" t="s">
        <v>18</v>
      </c>
      <c r="F89" s="38">
        <v>37158</v>
      </c>
      <c r="G89" s="10" t="s">
        <v>268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6.25" customHeight="1" x14ac:dyDescent="0.25">
      <c r="A90" s="9">
        <f t="shared" si="3"/>
        <v>21</v>
      </c>
      <c r="B90" s="35">
        <v>595261</v>
      </c>
      <c r="C90" s="36" t="s">
        <v>371</v>
      </c>
      <c r="D90" s="37" t="s">
        <v>346</v>
      </c>
      <c r="E90" s="9" t="s">
        <v>26</v>
      </c>
      <c r="F90" s="38">
        <v>24380</v>
      </c>
      <c r="G90" s="10" t="s">
        <v>268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6.25" customHeight="1" x14ac:dyDescent="0.25">
      <c r="A91" s="9">
        <f t="shared" si="3"/>
        <v>22</v>
      </c>
      <c r="B91" s="35">
        <v>466181</v>
      </c>
      <c r="C91" s="36" t="s">
        <v>372</v>
      </c>
      <c r="D91" s="37" t="s">
        <v>308</v>
      </c>
      <c r="E91" s="9" t="s">
        <v>26</v>
      </c>
      <c r="F91" s="38">
        <v>36836</v>
      </c>
      <c r="G91" s="10" t="s">
        <v>268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6.25" customHeight="1" x14ac:dyDescent="0.25">
      <c r="A92" s="9">
        <f t="shared" si="3"/>
        <v>23</v>
      </c>
      <c r="B92" s="35">
        <v>853739</v>
      </c>
      <c r="C92" s="36" t="s">
        <v>373</v>
      </c>
      <c r="D92" s="37" t="s">
        <v>369</v>
      </c>
      <c r="E92" s="9" t="s">
        <v>26</v>
      </c>
      <c r="F92" s="39">
        <v>34726</v>
      </c>
      <c r="G92" s="10" t="s">
        <v>268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6.25" customHeight="1" x14ac:dyDescent="0.25">
      <c r="A93" s="9">
        <f t="shared" si="3"/>
        <v>24</v>
      </c>
      <c r="B93" s="35">
        <v>243192</v>
      </c>
      <c r="C93" s="36" t="s">
        <v>374</v>
      </c>
      <c r="D93" s="37" t="s">
        <v>283</v>
      </c>
      <c r="E93" s="9" t="s">
        <v>18</v>
      </c>
      <c r="F93" s="39">
        <v>36855</v>
      </c>
      <c r="G93" s="10" t="s">
        <v>268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6.25" customHeight="1" x14ac:dyDescent="0.25">
      <c r="A94" s="9">
        <f t="shared" si="3"/>
        <v>25</v>
      </c>
      <c r="B94" s="35">
        <v>318147</v>
      </c>
      <c r="C94" s="36" t="s">
        <v>375</v>
      </c>
      <c r="D94" s="37" t="s">
        <v>22</v>
      </c>
      <c r="E94" s="9" t="s">
        <v>26</v>
      </c>
      <c r="F94" s="38">
        <v>36537</v>
      </c>
      <c r="G94" s="10" t="s">
        <v>268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6.25" customHeight="1" x14ac:dyDescent="0.25">
      <c r="A95" s="9">
        <f t="shared" si="3"/>
        <v>26</v>
      </c>
      <c r="B95" s="35">
        <v>416828</v>
      </c>
      <c r="C95" s="36" t="s">
        <v>376</v>
      </c>
      <c r="D95" s="37" t="s">
        <v>377</v>
      </c>
      <c r="E95" s="9" t="s">
        <v>18</v>
      </c>
      <c r="F95" s="39">
        <v>36647</v>
      </c>
      <c r="G95" s="10" t="s">
        <v>268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6.25" customHeight="1" x14ac:dyDescent="0.25">
      <c r="A96" s="9">
        <f t="shared" si="3"/>
        <v>27</v>
      </c>
      <c r="B96" s="35">
        <v>522191</v>
      </c>
      <c r="C96" s="36" t="s">
        <v>378</v>
      </c>
      <c r="D96" s="37" t="s">
        <v>379</v>
      </c>
      <c r="E96" s="9" t="s">
        <v>26</v>
      </c>
      <c r="F96" s="38">
        <v>30284</v>
      </c>
      <c r="G96" s="10" t="s">
        <v>268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6.25" customHeight="1" x14ac:dyDescent="0.25">
      <c r="A97" s="9">
        <f t="shared" si="3"/>
        <v>28</v>
      </c>
      <c r="B97" s="35">
        <v>529551</v>
      </c>
      <c r="C97" s="36" t="s">
        <v>380</v>
      </c>
      <c r="D97" s="37" t="s">
        <v>366</v>
      </c>
      <c r="E97" s="9" t="s">
        <v>26</v>
      </c>
      <c r="F97" s="39">
        <v>27067</v>
      </c>
      <c r="G97" s="10" t="s">
        <v>268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6.25" customHeight="1" x14ac:dyDescent="0.25">
      <c r="A98" s="9">
        <f t="shared" si="3"/>
        <v>29</v>
      </c>
      <c r="B98" s="35">
        <v>607452</v>
      </c>
      <c r="C98" s="36" t="s">
        <v>381</v>
      </c>
      <c r="D98" s="37" t="s">
        <v>32</v>
      </c>
      <c r="E98" s="9" t="s">
        <v>26</v>
      </c>
      <c r="F98" s="39">
        <v>36809</v>
      </c>
      <c r="G98" s="10" t="s">
        <v>268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6.25" customHeight="1" x14ac:dyDescent="0.25">
      <c r="A99" s="9">
        <f t="shared" si="3"/>
        <v>30</v>
      </c>
      <c r="B99" s="35">
        <v>255154</v>
      </c>
      <c r="C99" s="36" t="s">
        <v>382</v>
      </c>
      <c r="D99" s="37" t="s">
        <v>22</v>
      </c>
      <c r="E99" s="9" t="s">
        <v>18</v>
      </c>
      <c r="F99" s="39">
        <v>35579</v>
      </c>
      <c r="G99" s="10" t="s">
        <v>268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6.25" customHeight="1" x14ac:dyDescent="0.25">
      <c r="A100" s="9">
        <f t="shared" si="3"/>
        <v>31</v>
      </c>
      <c r="B100" s="35">
        <v>616630</v>
      </c>
      <c r="C100" s="36" t="s">
        <v>383</v>
      </c>
      <c r="D100" s="37" t="s">
        <v>384</v>
      </c>
      <c r="E100" s="9" t="s">
        <v>26</v>
      </c>
      <c r="F100" s="39">
        <v>35304</v>
      </c>
      <c r="G100" s="10" t="s">
        <v>268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6.25" customHeight="1" x14ac:dyDescent="0.25">
      <c r="A101" s="9">
        <f t="shared" si="3"/>
        <v>32</v>
      </c>
      <c r="B101" s="35">
        <v>405192</v>
      </c>
      <c r="C101" s="36" t="s">
        <v>385</v>
      </c>
      <c r="D101" s="37" t="s">
        <v>386</v>
      </c>
      <c r="E101" s="9" t="s">
        <v>26</v>
      </c>
      <c r="F101" s="38">
        <v>34148</v>
      </c>
      <c r="G101" s="10" t="s">
        <v>268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6.25" customHeight="1" x14ac:dyDescent="0.25">
      <c r="A102" s="9">
        <f t="shared" si="3"/>
        <v>33</v>
      </c>
      <c r="B102" s="35">
        <v>372895</v>
      </c>
      <c r="C102" s="36" t="s">
        <v>387</v>
      </c>
      <c r="D102" s="37" t="s">
        <v>388</v>
      </c>
      <c r="E102" s="9" t="s">
        <v>26</v>
      </c>
      <c r="F102" s="39">
        <v>31060</v>
      </c>
      <c r="G102" s="10" t="s">
        <v>268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6.25" customHeight="1" x14ac:dyDescent="0.25">
      <c r="A103" s="9">
        <f t="shared" si="3"/>
        <v>34</v>
      </c>
      <c r="B103" s="35">
        <v>862342</v>
      </c>
      <c r="C103" s="36" t="s">
        <v>389</v>
      </c>
      <c r="D103" s="37" t="s">
        <v>208</v>
      </c>
      <c r="E103" s="9" t="s">
        <v>26</v>
      </c>
      <c r="F103" s="39">
        <v>34839</v>
      </c>
      <c r="G103" s="10" t="s">
        <v>268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6.25" customHeight="1" x14ac:dyDescent="0.25">
      <c r="A104" s="9">
        <f t="shared" si="3"/>
        <v>35</v>
      </c>
      <c r="B104" s="35">
        <v>719165</v>
      </c>
      <c r="C104" s="36" t="s">
        <v>390</v>
      </c>
      <c r="D104" s="37" t="s">
        <v>391</v>
      </c>
      <c r="E104" s="9" t="s">
        <v>26</v>
      </c>
      <c r="F104" s="39">
        <v>28418</v>
      </c>
      <c r="G104" s="10" t="s">
        <v>268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6.25" customHeight="1" x14ac:dyDescent="0.25">
      <c r="A105" s="9">
        <f t="shared" si="3"/>
        <v>36</v>
      </c>
      <c r="B105" s="35">
        <v>177646</v>
      </c>
      <c r="C105" s="36" t="s">
        <v>392</v>
      </c>
      <c r="D105" s="37" t="s">
        <v>379</v>
      </c>
      <c r="E105" s="9" t="s">
        <v>26</v>
      </c>
      <c r="F105" s="38">
        <v>36771</v>
      </c>
      <c r="G105" s="10" t="s">
        <v>268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6.25" customHeight="1" x14ac:dyDescent="0.25">
      <c r="A106" s="9">
        <f t="shared" si="3"/>
        <v>37</v>
      </c>
      <c r="B106" s="35">
        <v>785273</v>
      </c>
      <c r="C106" s="36" t="s">
        <v>393</v>
      </c>
      <c r="D106" s="37" t="s">
        <v>394</v>
      </c>
      <c r="E106" s="9" t="s">
        <v>18</v>
      </c>
      <c r="F106" s="38">
        <v>37144</v>
      </c>
      <c r="G106" s="10" t="s">
        <v>268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6.25" customHeight="1" x14ac:dyDescent="0.25">
      <c r="A107" s="9">
        <f t="shared" si="3"/>
        <v>38</v>
      </c>
      <c r="B107" s="43">
        <v>652524</v>
      </c>
      <c r="C107" s="36" t="s">
        <v>395</v>
      </c>
      <c r="D107" s="37" t="s">
        <v>208</v>
      </c>
      <c r="E107" s="9" t="s">
        <v>18</v>
      </c>
      <c r="F107" s="38">
        <v>36786</v>
      </c>
      <c r="G107" s="10" t="s">
        <v>268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6.25" customHeight="1" x14ac:dyDescent="0.25">
      <c r="A108" s="9">
        <f t="shared" si="3"/>
        <v>39</v>
      </c>
      <c r="B108" s="35">
        <v>587844</v>
      </c>
      <c r="C108" s="36" t="s">
        <v>396</v>
      </c>
      <c r="D108" s="37" t="s">
        <v>22</v>
      </c>
      <c r="E108" s="9" t="s">
        <v>18</v>
      </c>
      <c r="F108" s="39">
        <v>33939</v>
      </c>
      <c r="G108" s="10" t="s">
        <v>268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6.25" customHeight="1" x14ac:dyDescent="0.25">
      <c r="A109" s="9">
        <f t="shared" si="3"/>
        <v>40</v>
      </c>
      <c r="B109" s="35">
        <v>570364</v>
      </c>
      <c r="C109" s="36" t="s">
        <v>397</v>
      </c>
      <c r="D109" s="37" t="s">
        <v>379</v>
      </c>
      <c r="E109" s="9" t="s">
        <v>26</v>
      </c>
      <c r="F109" s="39">
        <v>34582</v>
      </c>
      <c r="G109" s="10" t="s">
        <v>268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6.25" customHeight="1" x14ac:dyDescent="0.25">
      <c r="A110" s="9">
        <f t="shared" si="3"/>
        <v>41</v>
      </c>
      <c r="B110" s="35">
        <v>556604</v>
      </c>
      <c r="C110" s="36" t="s">
        <v>398</v>
      </c>
      <c r="D110" s="37" t="s">
        <v>25</v>
      </c>
      <c r="E110" s="9" t="s">
        <v>26</v>
      </c>
      <c r="F110" s="39">
        <v>36978</v>
      </c>
      <c r="G110" s="10" t="s">
        <v>268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6.25" customHeight="1" x14ac:dyDescent="0.25">
      <c r="A111" s="9">
        <f t="shared" si="3"/>
        <v>42</v>
      </c>
      <c r="B111" s="35">
        <v>200580</v>
      </c>
      <c r="C111" s="36" t="s">
        <v>399</v>
      </c>
      <c r="D111" s="37" t="s">
        <v>222</v>
      </c>
      <c r="E111" s="9" t="s">
        <v>26</v>
      </c>
      <c r="F111" s="39">
        <v>25916</v>
      </c>
      <c r="G111" s="10" t="s">
        <v>268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6.25" customHeight="1" x14ac:dyDescent="0.25">
      <c r="A112" s="9">
        <f t="shared" si="3"/>
        <v>43</v>
      </c>
      <c r="B112" s="35">
        <v>648385</v>
      </c>
      <c r="C112" s="36" t="s">
        <v>400</v>
      </c>
      <c r="D112" s="37" t="s">
        <v>346</v>
      </c>
      <c r="E112" s="9" t="s">
        <v>26</v>
      </c>
      <c r="F112" s="39">
        <v>31527</v>
      </c>
      <c r="G112" s="10" t="s">
        <v>268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6.25" customHeight="1" x14ac:dyDescent="0.25">
      <c r="A113" s="9">
        <f t="shared" si="3"/>
        <v>44</v>
      </c>
      <c r="B113" s="35">
        <v>323604</v>
      </c>
      <c r="C113" s="36" t="s">
        <v>401</v>
      </c>
      <c r="D113" s="37" t="s">
        <v>346</v>
      </c>
      <c r="E113" s="9" t="s">
        <v>26</v>
      </c>
      <c r="F113" s="39">
        <v>34628</v>
      </c>
      <c r="G113" s="10" t="s">
        <v>268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6.25" customHeight="1" x14ac:dyDescent="0.25">
      <c r="A114" s="9">
        <f t="shared" si="3"/>
        <v>45</v>
      </c>
      <c r="B114" s="35">
        <v>614317</v>
      </c>
      <c r="C114" s="36" t="s">
        <v>402</v>
      </c>
      <c r="D114" s="37" t="s">
        <v>403</v>
      </c>
      <c r="E114" s="9" t="s">
        <v>26</v>
      </c>
      <c r="F114" s="39">
        <v>31465</v>
      </c>
      <c r="G114" s="10" t="s">
        <v>268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6.25" customHeight="1" x14ac:dyDescent="0.25">
      <c r="A115" s="9">
        <f t="shared" si="3"/>
        <v>46</v>
      </c>
      <c r="B115" s="35">
        <v>466455</v>
      </c>
      <c r="C115" s="36" t="s">
        <v>404</v>
      </c>
      <c r="D115" s="37" t="s">
        <v>346</v>
      </c>
      <c r="E115" s="9" t="s">
        <v>26</v>
      </c>
      <c r="F115" s="39">
        <v>31238</v>
      </c>
      <c r="G115" s="10" t="s">
        <v>268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6.25" customHeight="1" x14ac:dyDescent="0.25">
      <c r="A116" s="9">
        <f t="shared" si="3"/>
        <v>47</v>
      </c>
      <c r="B116" s="35">
        <v>141832</v>
      </c>
      <c r="C116" s="36" t="s">
        <v>405</v>
      </c>
      <c r="D116" s="37" t="s">
        <v>25</v>
      </c>
      <c r="E116" s="9" t="s">
        <v>26</v>
      </c>
      <c r="F116" s="39">
        <v>36152</v>
      </c>
      <c r="G116" s="10" t="s">
        <v>268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6.25" customHeight="1" x14ac:dyDescent="0.25">
      <c r="A117" s="9">
        <f t="shared" si="3"/>
        <v>48</v>
      </c>
      <c r="B117" s="35">
        <v>793242</v>
      </c>
      <c r="C117" s="36" t="s">
        <v>406</v>
      </c>
      <c r="D117" s="37" t="s">
        <v>346</v>
      </c>
      <c r="E117" s="9" t="s">
        <v>26</v>
      </c>
      <c r="F117" s="39">
        <v>22956</v>
      </c>
      <c r="G117" s="10" t="s">
        <v>268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6.25" customHeight="1" x14ac:dyDescent="0.25">
      <c r="A118" s="9">
        <f t="shared" si="3"/>
        <v>49</v>
      </c>
      <c r="B118" s="35">
        <v>861143</v>
      </c>
      <c r="C118" s="36" t="s">
        <v>407</v>
      </c>
      <c r="D118" s="37" t="s">
        <v>408</v>
      </c>
      <c r="E118" s="9" t="s">
        <v>18</v>
      </c>
      <c r="F118" s="38">
        <v>36904</v>
      </c>
      <c r="G118" s="10" t="s">
        <v>268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6.25" customHeight="1" x14ac:dyDescent="0.25">
      <c r="A119" s="9">
        <f t="shared" si="3"/>
        <v>50</v>
      </c>
      <c r="B119" s="35">
        <v>282537</v>
      </c>
      <c r="C119" s="36" t="s">
        <v>409</v>
      </c>
      <c r="D119" s="37" t="s">
        <v>377</v>
      </c>
      <c r="E119" s="9" t="s">
        <v>18</v>
      </c>
      <c r="F119" s="39">
        <v>37008</v>
      </c>
      <c r="G119" s="10" t="s">
        <v>268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6.25" customHeight="1" x14ac:dyDescent="0.25">
      <c r="A120" s="9">
        <f t="shared" si="3"/>
        <v>51</v>
      </c>
      <c r="B120" s="35">
        <v>578474</v>
      </c>
      <c r="C120" s="36" t="s">
        <v>410</v>
      </c>
      <c r="D120" s="37" t="s">
        <v>411</v>
      </c>
      <c r="E120" s="9" t="s">
        <v>26</v>
      </c>
      <c r="F120" s="38">
        <v>35219</v>
      </c>
      <c r="G120" s="10" t="s">
        <v>281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6.25" customHeight="1" x14ac:dyDescent="0.25">
      <c r="A121" s="9">
        <f t="shared" si="3"/>
        <v>52</v>
      </c>
      <c r="B121" s="35">
        <v>157931</v>
      </c>
      <c r="C121" s="36" t="s">
        <v>412</v>
      </c>
      <c r="D121" s="37" t="s">
        <v>413</v>
      </c>
      <c r="E121" s="9" t="s">
        <v>18</v>
      </c>
      <c r="F121" s="39">
        <v>34123</v>
      </c>
      <c r="G121" s="10" t="s">
        <v>268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6.25" customHeight="1" x14ac:dyDescent="0.25">
      <c r="A122" s="9">
        <f t="shared" si="3"/>
        <v>53</v>
      </c>
      <c r="B122" s="35">
        <v>398513</v>
      </c>
      <c r="C122" s="36" t="s">
        <v>414</v>
      </c>
      <c r="D122" s="37" t="s">
        <v>25</v>
      </c>
      <c r="E122" s="9" t="s">
        <v>26</v>
      </c>
      <c r="F122" s="38">
        <v>33753</v>
      </c>
      <c r="G122" s="10" t="s">
        <v>268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6.25" customHeight="1" x14ac:dyDescent="0.25">
      <c r="A123" s="9">
        <f t="shared" si="3"/>
        <v>54</v>
      </c>
      <c r="B123" s="35">
        <v>979595</v>
      </c>
      <c r="C123" s="36" t="s">
        <v>415</v>
      </c>
      <c r="D123" s="37" t="s">
        <v>25</v>
      </c>
      <c r="E123" s="9" t="s">
        <v>26</v>
      </c>
      <c r="F123" s="39">
        <v>30108</v>
      </c>
      <c r="G123" s="10" t="s">
        <v>268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x14ac:dyDescent="0.25">
      <c r="A124" s="126" t="s">
        <v>106</v>
      </c>
      <c r="B124" s="127"/>
      <c r="C124" s="127"/>
      <c r="D124" s="127"/>
      <c r="E124" s="127"/>
      <c r="F124" s="127"/>
      <c r="G124" s="128"/>
    </row>
    <row r="125" spans="1:26" ht="13.5" x14ac:dyDescent="0.25">
      <c r="A125" s="16"/>
      <c r="B125" s="16"/>
      <c r="C125" s="17"/>
      <c r="D125" s="18"/>
      <c r="E125" s="16"/>
      <c r="F125" s="16"/>
      <c r="G125" s="17"/>
    </row>
    <row r="126" spans="1:26" ht="26.25" customHeight="1" x14ac:dyDescent="0.2">
      <c r="A126" s="133" t="s">
        <v>6</v>
      </c>
      <c r="B126" s="127"/>
      <c r="C126" s="127"/>
      <c r="D126" s="127"/>
      <c r="E126" s="127"/>
      <c r="F126" s="127"/>
      <c r="G126" s="128"/>
    </row>
    <row r="127" spans="1:26" ht="26.25" customHeight="1" x14ac:dyDescent="0.2">
      <c r="A127" s="2" t="s">
        <v>9</v>
      </c>
      <c r="B127" s="2" t="s">
        <v>10</v>
      </c>
      <c r="C127" s="2" t="s">
        <v>11</v>
      </c>
      <c r="D127" s="3" t="s">
        <v>12</v>
      </c>
      <c r="E127" s="2" t="s">
        <v>13</v>
      </c>
      <c r="F127" s="2" t="s">
        <v>14</v>
      </c>
      <c r="G127" s="2" t="s">
        <v>15</v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26.25" customHeight="1" x14ac:dyDescent="0.25">
      <c r="A128" s="9">
        <v>1</v>
      </c>
      <c r="B128" s="26">
        <v>503396</v>
      </c>
      <c r="C128" s="27" t="s">
        <v>416</v>
      </c>
      <c r="D128" s="28" t="s">
        <v>244</v>
      </c>
      <c r="E128" s="9" t="s">
        <v>26</v>
      </c>
      <c r="F128" s="38">
        <v>36375</v>
      </c>
      <c r="G128" s="10" t="s">
        <v>268</v>
      </c>
    </row>
    <row r="129" spans="1:7" ht="26.25" customHeight="1" x14ac:dyDescent="0.25">
      <c r="A129" s="9">
        <f t="shared" ref="A129:A148" si="4">A128+1</f>
        <v>2</v>
      </c>
      <c r="B129" s="26">
        <v>299888</v>
      </c>
      <c r="C129" s="33" t="s">
        <v>417</v>
      </c>
      <c r="D129" s="28" t="s">
        <v>418</v>
      </c>
      <c r="E129" s="9" t="s">
        <v>26</v>
      </c>
      <c r="F129" s="38">
        <v>35363</v>
      </c>
      <c r="G129" s="10" t="s">
        <v>281</v>
      </c>
    </row>
    <row r="130" spans="1:7" ht="26.25" customHeight="1" x14ac:dyDescent="0.25">
      <c r="A130" s="9">
        <f t="shared" si="4"/>
        <v>3</v>
      </c>
      <c r="B130" s="26">
        <v>799103</v>
      </c>
      <c r="C130" s="33" t="s">
        <v>419</v>
      </c>
      <c r="D130" s="28" t="s">
        <v>244</v>
      </c>
      <c r="E130" s="9" t="s">
        <v>26</v>
      </c>
      <c r="F130" s="38">
        <v>36362</v>
      </c>
      <c r="G130" s="10" t="s">
        <v>268</v>
      </c>
    </row>
    <row r="131" spans="1:7" ht="26.25" customHeight="1" x14ac:dyDescent="0.25">
      <c r="A131" s="9">
        <f t="shared" si="4"/>
        <v>4</v>
      </c>
      <c r="B131" s="35">
        <v>500213</v>
      </c>
      <c r="C131" s="36" t="s">
        <v>420</v>
      </c>
      <c r="D131" s="37" t="s">
        <v>101</v>
      </c>
      <c r="E131" s="9" t="s">
        <v>26</v>
      </c>
      <c r="F131" s="38">
        <v>36806</v>
      </c>
      <c r="G131" s="10" t="s">
        <v>268</v>
      </c>
    </row>
    <row r="132" spans="1:7" ht="26.25" customHeight="1" x14ac:dyDescent="0.25">
      <c r="A132" s="9">
        <f t="shared" si="4"/>
        <v>5</v>
      </c>
      <c r="B132" s="35">
        <v>298598</v>
      </c>
      <c r="C132" s="36" t="s">
        <v>421</v>
      </c>
      <c r="D132" s="37" t="s">
        <v>101</v>
      </c>
      <c r="E132" s="9" t="s">
        <v>26</v>
      </c>
      <c r="F132" s="39">
        <v>36326</v>
      </c>
      <c r="G132" s="10" t="s">
        <v>268</v>
      </c>
    </row>
    <row r="133" spans="1:7" ht="26.25" customHeight="1" x14ac:dyDescent="0.25">
      <c r="A133" s="9">
        <f t="shared" si="4"/>
        <v>6</v>
      </c>
      <c r="B133" s="35">
        <v>134245</v>
      </c>
      <c r="C133" s="36" t="s">
        <v>422</v>
      </c>
      <c r="D133" s="37" t="s">
        <v>423</v>
      </c>
      <c r="E133" s="9" t="s">
        <v>18</v>
      </c>
      <c r="F133" s="38">
        <v>36673</v>
      </c>
      <c r="G133" s="10" t="s">
        <v>268</v>
      </c>
    </row>
    <row r="134" spans="1:7" ht="26.25" customHeight="1" x14ac:dyDescent="0.25">
      <c r="A134" s="9">
        <f t="shared" si="4"/>
        <v>7</v>
      </c>
      <c r="B134" s="35">
        <v>208506</v>
      </c>
      <c r="C134" s="36" t="s">
        <v>424</v>
      </c>
      <c r="D134" s="37" t="s">
        <v>425</v>
      </c>
      <c r="E134" s="9" t="s">
        <v>18</v>
      </c>
      <c r="F134" s="38">
        <v>37427</v>
      </c>
      <c r="G134" s="10" t="s">
        <v>268</v>
      </c>
    </row>
    <row r="135" spans="1:7" ht="26.25" customHeight="1" x14ac:dyDescent="0.25">
      <c r="A135" s="9">
        <f t="shared" si="4"/>
        <v>8</v>
      </c>
      <c r="B135" s="35">
        <v>136841</v>
      </c>
      <c r="C135" s="36" t="s">
        <v>426</v>
      </c>
      <c r="D135" s="37" t="s">
        <v>286</v>
      </c>
      <c r="E135" s="9" t="s">
        <v>26</v>
      </c>
      <c r="F135" s="39">
        <v>26204</v>
      </c>
      <c r="G135" s="10" t="s">
        <v>268</v>
      </c>
    </row>
    <row r="136" spans="1:7" ht="26.25" customHeight="1" x14ac:dyDescent="0.25">
      <c r="A136" s="9">
        <f t="shared" si="4"/>
        <v>9</v>
      </c>
      <c r="B136" s="35">
        <v>135884</v>
      </c>
      <c r="C136" s="36" t="s">
        <v>427</v>
      </c>
      <c r="D136" s="37" t="s">
        <v>244</v>
      </c>
      <c r="E136" s="9" t="s">
        <v>26</v>
      </c>
      <c r="F136" s="38">
        <v>36855</v>
      </c>
      <c r="G136" s="10" t="s">
        <v>281</v>
      </c>
    </row>
    <row r="137" spans="1:7" ht="26.25" customHeight="1" x14ac:dyDescent="0.25">
      <c r="A137" s="9">
        <f t="shared" si="4"/>
        <v>10</v>
      </c>
      <c r="B137" s="35">
        <v>653144</v>
      </c>
      <c r="C137" s="36" t="s">
        <v>428</v>
      </c>
      <c r="D137" s="37" t="s">
        <v>286</v>
      </c>
      <c r="E137" s="9" t="s">
        <v>26</v>
      </c>
      <c r="F137" s="38">
        <v>24928</v>
      </c>
      <c r="G137" s="10" t="s">
        <v>281</v>
      </c>
    </row>
    <row r="138" spans="1:7" ht="26.25" customHeight="1" x14ac:dyDescent="0.25">
      <c r="A138" s="9">
        <f t="shared" si="4"/>
        <v>11</v>
      </c>
      <c r="B138" s="35">
        <v>194697</v>
      </c>
      <c r="C138" s="36" t="s">
        <v>429</v>
      </c>
      <c r="D138" s="37" t="s">
        <v>101</v>
      </c>
      <c r="E138" s="9" t="s">
        <v>26</v>
      </c>
      <c r="F138" s="38">
        <v>37006</v>
      </c>
      <c r="G138" s="10" t="s">
        <v>268</v>
      </c>
    </row>
    <row r="139" spans="1:7" ht="26.25" customHeight="1" x14ac:dyDescent="0.25">
      <c r="A139" s="9">
        <f t="shared" si="4"/>
        <v>12</v>
      </c>
      <c r="B139" s="35">
        <v>333794</v>
      </c>
      <c r="C139" s="36" t="s">
        <v>430</v>
      </c>
      <c r="D139" s="37" t="s">
        <v>101</v>
      </c>
      <c r="E139" s="9" t="s">
        <v>26</v>
      </c>
      <c r="F139" s="38">
        <v>36885</v>
      </c>
      <c r="G139" s="10" t="s">
        <v>268</v>
      </c>
    </row>
    <row r="140" spans="1:7" ht="26.25" customHeight="1" x14ac:dyDescent="0.25">
      <c r="A140" s="9">
        <f t="shared" si="4"/>
        <v>13</v>
      </c>
      <c r="B140" s="35">
        <v>877653</v>
      </c>
      <c r="C140" s="36" t="s">
        <v>431</v>
      </c>
      <c r="D140" s="37" t="s">
        <v>333</v>
      </c>
      <c r="E140" s="9" t="s">
        <v>26</v>
      </c>
      <c r="F140" s="38">
        <v>35537</v>
      </c>
      <c r="G140" s="10" t="s">
        <v>281</v>
      </c>
    </row>
    <row r="141" spans="1:7" ht="26.25" customHeight="1" x14ac:dyDescent="0.25">
      <c r="A141" s="9">
        <f t="shared" si="4"/>
        <v>14</v>
      </c>
      <c r="B141" s="35">
        <v>659463</v>
      </c>
      <c r="C141" s="36" t="s">
        <v>432</v>
      </c>
      <c r="D141" s="37" t="s">
        <v>433</v>
      </c>
      <c r="E141" s="9" t="s">
        <v>26</v>
      </c>
      <c r="F141" s="38">
        <v>36158</v>
      </c>
      <c r="G141" s="10" t="s">
        <v>268</v>
      </c>
    </row>
    <row r="142" spans="1:7" ht="26.25" customHeight="1" x14ac:dyDescent="0.25">
      <c r="A142" s="9">
        <f t="shared" si="4"/>
        <v>15</v>
      </c>
      <c r="B142" s="35">
        <v>332514</v>
      </c>
      <c r="C142" s="36" t="s">
        <v>434</v>
      </c>
      <c r="D142" s="37" t="s">
        <v>101</v>
      </c>
      <c r="E142" s="9" t="s">
        <v>26</v>
      </c>
      <c r="F142" s="39">
        <v>37245</v>
      </c>
      <c r="G142" s="10" t="s">
        <v>268</v>
      </c>
    </row>
    <row r="143" spans="1:7" ht="26.25" customHeight="1" x14ac:dyDescent="0.25">
      <c r="A143" s="9">
        <f t="shared" si="4"/>
        <v>16</v>
      </c>
      <c r="B143" s="35">
        <v>524286</v>
      </c>
      <c r="C143" s="36" t="s">
        <v>435</v>
      </c>
      <c r="D143" s="37" t="s">
        <v>101</v>
      </c>
      <c r="E143" s="9" t="s">
        <v>26</v>
      </c>
      <c r="F143" s="39">
        <v>37337</v>
      </c>
      <c r="G143" s="10" t="s">
        <v>268</v>
      </c>
    </row>
    <row r="144" spans="1:7" ht="26.25" customHeight="1" x14ac:dyDescent="0.25">
      <c r="A144" s="9">
        <f t="shared" si="4"/>
        <v>17</v>
      </c>
      <c r="B144" s="35">
        <v>569250</v>
      </c>
      <c r="C144" s="36" t="s">
        <v>436</v>
      </c>
      <c r="D144" s="37" t="s">
        <v>286</v>
      </c>
      <c r="E144" s="9" t="s">
        <v>26</v>
      </c>
      <c r="F144" s="38">
        <v>37077</v>
      </c>
      <c r="G144" s="10" t="s">
        <v>268</v>
      </c>
    </row>
    <row r="145" spans="1:7" ht="26.25" customHeight="1" x14ac:dyDescent="0.25">
      <c r="A145" s="9">
        <f t="shared" si="4"/>
        <v>18</v>
      </c>
      <c r="B145" s="35">
        <v>534860</v>
      </c>
      <c r="C145" s="36" t="s">
        <v>437</v>
      </c>
      <c r="D145" s="37" t="s">
        <v>433</v>
      </c>
      <c r="E145" s="9" t="s">
        <v>26</v>
      </c>
      <c r="F145" s="38">
        <v>35973</v>
      </c>
      <c r="G145" s="10" t="s">
        <v>268</v>
      </c>
    </row>
    <row r="146" spans="1:7" ht="26.25" customHeight="1" x14ac:dyDescent="0.25">
      <c r="A146" s="9">
        <f t="shared" si="4"/>
        <v>19</v>
      </c>
      <c r="B146" s="35">
        <v>710547</v>
      </c>
      <c r="C146" s="36" t="s">
        <v>438</v>
      </c>
      <c r="D146" s="37" t="s">
        <v>433</v>
      </c>
      <c r="E146" s="9" t="s">
        <v>18</v>
      </c>
      <c r="F146" s="38">
        <v>36758</v>
      </c>
      <c r="G146" s="10" t="s">
        <v>268</v>
      </c>
    </row>
    <row r="147" spans="1:7" ht="26.25" customHeight="1" x14ac:dyDescent="0.25">
      <c r="A147" s="9">
        <f t="shared" si="4"/>
        <v>20</v>
      </c>
      <c r="B147" s="35">
        <v>298653</v>
      </c>
      <c r="C147" s="36" t="s">
        <v>439</v>
      </c>
      <c r="D147" s="37" t="s">
        <v>244</v>
      </c>
      <c r="E147" s="9" t="s">
        <v>18</v>
      </c>
      <c r="F147" s="38">
        <v>36527</v>
      </c>
      <c r="G147" s="10" t="s">
        <v>281</v>
      </c>
    </row>
    <row r="148" spans="1:7" ht="26.25" customHeight="1" x14ac:dyDescent="0.25">
      <c r="A148" s="9">
        <f t="shared" si="4"/>
        <v>21</v>
      </c>
      <c r="B148" s="35">
        <v>705059</v>
      </c>
      <c r="C148" s="36" t="s">
        <v>440</v>
      </c>
      <c r="D148" s="37" t="s">
        <v>433</v>
      </c>
      <c r="E148" s="9" t="s">
        <v>26</v>
      </c>
      <c r="F148" s="38">
        <v>36776</v>
      </c>
      <c r="G148" s="10" t="s">
        <v>268</v>
      </c>
    </row>
    <row r="149" spans="1:7" ht="13.5" x14ac:dyDescent="0.25">
      <c r="A149" s="126" t="s">
        <v>106</v>
      </c>
      <c r="B149" s="127"/>
      <c r="C149" s="127"/>
      <c r="D149" s="127"/>
      <c r="E149" s="127"/>
      <c r="F149" s="127"/>
      <c r="G149" s="128"/>
    </row>
    <row r="150" spans="1:7" ht="13.5" x14ac:dyDescent="0.25">
      <c r="A150" s="16"/>
      <c r="B150" s="16"/>
      <c r="C150" s="17"/>
      <c r="D150" s="18"/>
      <c r="E150" s="16"/>
      <c r="F150" s="16"/>
      <c r="G150" s="17"/>
    </row>
    <row r="151" spans="1:7" ht="13.5" x14ac:dyDescent="0.25">
      <c r="A151" s="16"/>
      <c r="B151" s="16"/>
      <c r="C151" s="17"/>
      <c r="D151" s="18"/>
      <c r="E151" s="16"/>
      <c r="F151" s="16"/>
      <c r="G151" s="17"/>
    </row>
    <row r="152" spans="1:7" ht="13.5" x14ac:dyDescent="0.25">
      <c r="A152" s="16"/>
      <c r="B152" s="16"/>
      <c r="C152" s="22" t="s">
        <v>0</v>
      </c>
      <c r="D152" s="23" t="s">
        <v>1</v>
      </c>
      <c r="E152" s="16"/>
      <c r="F152" s="16"/>
      <c r="G152" s="17"/>
    </row>
    <row r="153" spans="1:7" ht="13.5" x14ac:dyDescent="0.25">
      <c r="A153" s="16"/>
      <c r="B153" s="16"/>
      <c r="C153" s="22" t="s">
        <v>2</v>
      </c>
      <c r="D153" s="23">
        <v>12</v>
      </c>
      <c r="E153" s="16"/>
      <c r="F153" s="16"/>
      <c r="G153" s="17"/>
    </row>
    <row r="154" spans="1:7" ht="13.5" x14ac:dyDescent="0.25">
      <c r="A154" s="16"/>
      <c r="B154" s="16"/>
      <c r="C154" s="22" t="s">
        <v>3</v>
      </c>
      <c r="D154" s="23">
        <v>32</v>
      </c>
      <c r="E154" s="16"/>
      <c r="F154" s="16"/>
      <c r="G154" s="17"/>
    </row>
    <row r="155" spans="1:7" ht="13.5" x14ac:dyDescent="0.25">
      <c r="A155" s="16"/>
      <c r="B155" s="16"/>
      <c r="C155" s="22" t="s">
        <v>4</v>
      </c>
      <c r="D155" s="23">
        <v>10</v>
      </c>
      <c r="E155" s="16"/>
      <c r="F155" s="16"/>
      <c r="G155" s="17"/>
    </row>
    <row r="156" spans="1:7" ht="13.5" x14ac:dyDescent="0.25">
      <c r="A156" s="16"/>
      <c r="B156" s="16"/>
      <c r="C156" s="22" t="s">
        <v>5</v>
      </c>
      <c r="D156" s="23">
        <v>54</v>
      </c>
      <c r="E156" s="16"/>
      <c r="F156" s="16"/>
      <c r="G156" s="17"/>
    </row>
    <row r="157" spans="1:7" ht="13.5" x14ac:dyDescent="0.25">
      <c r="A157" s="16"/>
      <c r="B157" s="16"/>
      <c r="C157" s="22" t="s">
        <v>6</v>
      </c>
      <c r="D157" s="23">
        <f>A148</f>
        <v>21</v>
      </c>
      <c r="E157" s="16"/>
      <c r="F157" s="16"/>
      <c r="G157" s="17"/>
    </row>
    <row r="158" spans="1:7" ht="13.5" x14ac:dyDescent="0.25">
      <c r="A158" s="16"/>
      <c r="B158" s="16"/>
      <c r="C158" s="22" t="s">
        <v>7</v>
      </c>
      <c r="D158" s="23">
        <f>SUM(D153:D157)</f>
        <v>129</v>
      </c>
      <c r="E158" s="16"/>
      <c r="F158" s="16"/>
      <c r="G158" s="17"/>
    </row>
    <row r="159" spans="1:7" ht="12.75" x14ac:dyDescent="0.2">
      <c r="A159" s="24"/>
      <c r="B159" s="24"/>
      <c r="D159" s="25"/>
      <c r="E159" s="24"/>
      <c r="F159" s="24"/>
    </row>
    <row r="160" spans="1:7" ht="12.75" x14ac:dyDescent="0.2">
      <c r="A160" s="24"/>
      <c r="B160" s="24"/>
      <c r="D160" s="25"/>
      <c r="E160" s="24"/>
      <c r="F160" s="24"/>
    </row>
    <row r="161" spans="1:6" ht="12.75" x14ac:dyDescent="0.2">
      <c r="A161" s="24"/>
      <c r="B161" s="24"/>
      <c r="D161" s="25"/>
      <c r="E161" s="24"/>
      <c r="F161" s="24"/>
    </row>
    <row r="162" spans="1:6" ht="12.75" x14ac:dyDescent="0.2">
      <c r="A162" s="24"/>
      <c r="B162" s="24"/>
      <c r="D162" s="25"/>
      <c r="E162" s="24"/>
      <c r="F162" s="24"/>
    </row>
    <row r="163" spans="1:6" ht="12.75" x14ac:dyDescent="0.2">
      <c r="A163" s="24"/>
      <c r="B163" s="24"/>
      <c r="D163" s="25"/>
      <c r="E163" s="24"/>
      <c r="F163" s="24"/>
    </row>
    <row r="164" spans="1:6" ht="12.75" x14ac:dyDescent="0.2">
      <c r="A164" s="24"/>
      <c r="B164" s="24"/>
      <c r="D164" s="25"/>
      <c r="E164" s="24"/>
      <c r="F164" s="24"/>
    </row>
    <row r="165" spans="1:6" ht="12.75" x14ac:dyDescent="0.2">
      <c r="A165" s="24"/>
      <c r="B165" s="24"/>
      <c r="D165" s="25"/>
      <c r="E165" s="24"/>
      <c r="F165" s="24"/>
    </row>
    <row r="166" spans="1:6" ht="12.75" x14ac:dyDescent="0.2">
      <c r="A166" s="24"/>
      <c r="B166" s="24"/>
      <c r="D166" s="25"/>
      <c r="E166" s="24"/>
      <c r="F166" s="24"/>
    </row>
    <row r="167" spans="1:6" ht="12.75" x14ac:dyDescent="0.2">
      <c r="A167" s="24"/>
      <c r="B167" s="24"/>
      <c r="D167" s="25"/>
      <c r="E167" s="24"/>
      <c r="F167" s="24"/>
    </row>
    <row r="168" spans="1:6" ht="12.75" x14ac:dyDescent="0.2">
      <c r="A168" s="24"/>
      <c r="B168" s="24"/>
      <c r="D168" s="25"/>
      <c r="E168" s="24"/>
      <c r="F168" s="24"/>
    </row>
    <row r="169" spans="1:6" ht="12.75" x14ac:dyDescent="0.2">
      <c r="A169" s="24"/>
      <c r="B169" s="24"/>
      <c r="D169" s="25"/>
      <c r="E169" s="24"/>
      <c r="F169" s="24"/>
    </row>
    <row r="170" spans="1:6" ht="12.75" x14ac:dyDescent="0.2">
      <c r="A170" s="24"/>
      <c r="B170" s="24"/>
      <c r="D170" s="25"/>
      <c r="E170" s="24"/>
      <c r="F170" s="24"/>
    </row>
    <row r="171" spans="1:6" ht="12.75" x14ac:dyDescent="0.2">
      <c r="A171" s="24"/>
      <c r="B171" s="24"/>
      <c r="D171" s="25"/>
      <c r="E171" s="24"/>
      <c r="F171" s="24"/>
    </row>
    <row r="172" spans="1:6" ht="12.75" x14ac:dyDescent="0.2">
      <c r="A172" s="24"/>
      <c r="B172" s="24"/>
      <c r="D172" s="25"/>
      <c r="E172" s="24"/>
      <c r="F172" s="24"/>
    </row>
    <row r="173" spans="1:6" ht="12.75" x14ac:dyDescent="0.2">
      <c r="A173" s="24"/>
      <c r="B173" s="24"/>
      <c r="D173" s="25"/>
      <c r="E173" s="24"/>
      <c r="F173" s="24"/>
    </row>
    <row r="174" spans="1:6" ht="12.75" x14ac:dyDescent="0.2">
      <c r="A174" s="24"/>
      <c r="B174" s="24"/>
      <c r="D174" s="25"/>
      <c r="E174" s="24"/>
      <c r="F174" s="24"/>
    </row>
    <row r="175" spans="1:6" ht="12.75" x14ac:dyDescent="0.2">
      <c r="A175" s="24"/>
      <c r="B175" s="24"/>
      <c r="D175" s="25"/>
      <c r="E175" s="24"/>
      <c r="F175" s="24"/>
    </row>
    <row r="176" spans="1:6" ht="12.75" x14ac:dyDescent="0.2">
      <c r="A176" s="24"/>
      <c r="B176" s="24"/>
      <c r="D176" s="25"/>
      <c r="E176" s="24"/>
      <c r="F176" s="24"/>
    </row>
    <row r="177" spans="1:6" ht="12.75" x14ac:dyDescent="0.2">
      <c r="A177" s="24"/>
      <c r="B177" s="24"/>
      <c r="D177" s="25"/>
      <c r="E177" s="24"/>
      <c r="F177" s="24"/>
    </row>
    <row r="178" spans="1:6" ht="12.75" x14ac:dyDescent="0.2">
      <c r="A178" s="24"/>
      <c r="B178" s="24"/>
      <c r="D178" s="25"/>
      <c r="E178" s="24"/>
      <c r="F178" s="24"/>
    </row>
    <row r="179" spans="1:6" ht="12.75" x14ac:dyDescent="0.2">
      <c r="A179" s="24"/>
      <c r="B179" s="24"/>
      <c r="D179" s="25"/>
      <c r="E179" s="24"/>
      <c r="F179" s="24"/>
    </row>
    <row r="180" spans="1:6" ht="12.75" x14ac:dyDescent="0.2">
      <c r="A180" s="24"/>
      <c r="B180" s="24"/>
      <c r="D180" s="25"/>
      <c r="E180" s="24"/>
      <c r="F180" s="24"/>
    </row>
    <row r="181" spans="1:6" ht="12.75" x14ac:dyDescent="0.2">
      <c r="A181" s="24"/>
      <c r="B181" s="24"/>
      <c r="D181" s="25"/>
      <c r="E181" s="24"/>
      <c r="F181" s="24"/>
    </row>
    <row r="182" spans="1:6" ht="12.75" x14ac:dyDescent="0.2">
      <c r="A182" s="24"/>
      <c r="B182" s="24"/>
      <c r="D182" s="25"/>
      <c r="E182" s="24"/>
      <c r="F182" s="24"/>
    </row>
    <row r="183" spans="1:6" ht="12.75" x14ac:dyDescent="0.2">
      <c r="A183" s="24"/>
      <c r="B183" s="24"/>
      <c r="D183" s="25"/>
      <c r="E183" s="24"/>
      <c r="F183" s="24"/>
    </row>
    <row r="184" spans="1:6" ht="12.75" x14ac:dyDescent="0.2">
      <c r="A184" s="24"/>
      <c r="B184" s="24"/>
      <c r="D184" s="25"/>
      <c r="E184" s="24"/>
      <c r="F184" s="24"/>
    </row>
    <row r="185" spans="1:6" ht="12.75" x14ac:dyDescent="0.2">
      <c r="A185" s="24"/>
      <c r="B185" s="24"/>
      <c r="D185" s="25"/>
      <c r="E185" s="24"/>
      <c r="F185" s="24"/>
    </row>
    <row r="186" spans="1:6" ht="12.75" x14ac:dyDescent="0.2">
      <c r="A186" s="24"/>
      <c r="B186" s="24"/>
      <c r="D186" s="25"/>
      <c r="E186" s="24"/>
      <c r="F186" s="24"/>
    </row>
    <row r="187" spans="1:6" ht="12.75" x14ac:dyDescent="0.2">
      <c r="A187" s="24"/>
      <c r="B187" s="24"/>
      <c r="D187" s="25"/>
      <c r="E187" s="24"/>
      <c r="F187" s="24"/>
    </row>
    <row r="188" spans="1:6" ht="12.75" x14ac:dyDescent="0.2">
      <c r="A188" s="24"/>
      <c r="B188" s="24"/>
      <c r="D188" s="25"/>
      <c r="E188" s="24"/>
      <c r="F188" s="24"/>
    </row>
    <row r="189" spans="1:6" ht="12.75" x14ac:dyDescent="0.2">
      <c r="A189" s="24"/>
      <c r="B189" s="24"/>
      <c r="D189" s="25"/>
      <c r="E189" s="24"/>
      <c r="F189" s="24"/>
    </row>
    <row r="190" spans="1:6" ht="12.75" x14ac:dyDescent="0.2">
      <c r="A190" s="24"/>
      <c r="B190" s="24"/>
      <c r="D190" s="25"/>
      <c r="E190" s="24"/>
      <c r="F190" s="24"/>
    </row>
    <row r="191" spans="1:6" ht="12.75" x14ac:dyDescent="0.2">
      <c r="A191" s="24"/>
      <c r="B191" s="24"/>
      <c r="D191" s="25"/>
      <c r="E191" s="24"/>
      <c r="F191" s="24"/>
    </row>
    <row r="192" spans="1:6" ht="12.75" x14ac:dyDescent="0.2">
      <c r="A192" s="24"/>
      <c r="B192" s="24"/>
      <c r="D192" s="25"/>
      <c r="E192" s="24"/>
      <c r="F192" s="24"/>
    </row>
    <row r="193" spans="1:6" ht="12.75" x14ac:dyDescent="0.2">
      <c r="A193" s="24"/>
      <c r="B193" s="24"/>
      <c r="D193" s="25"/>
      <c r="E193" s="24"/>
      <c r="F193" s="24"/>
    </row>
    <row r="194" spans="1:6" ht="12.75" x14ac:dyDescent="0.2">
      <c r="A194" s="24"/>
      <c r="B194" s="24"/>
      <c r="D194" s="25"/>
      <c r="E194" s="24"/>
      <c r="F194" s="24"/>
    </row>
    <row r="195" spans="1:6" ht="12.75" x14ac:dyDescent="0.2">
      <c r="A195" s="24"/>
      <c r="B195" s="24"/>
      <c r="D195" s="25"/>
      <c r="E195" s="24"/>
      <c r="F195" s="24"/>
    </row>
    <row r="196" spans="1:6" ht="12.75" x14ac:dyDescent="0.2">
      <c r="A196" s="24"/>
      <c r="B196" s="24"/>
      <c r="D196" s="25"/>
      <c r="E196" s="24"/>
      <c r="F196" s="24"/>
    </row>
    <row r="197" spans="1:6" ht="12.75" x14ac:dyDescent="0.2">
      <c r="A197" s="24"/>
      <c r="B197" s="24"/>
      <c r="D197" s="25"/>
      <c r="E197" s="24"/>
      <c r="F197" s="24"/>
    </row>
    <row r="198" spans="1:6" ht="12.75" x14ac:dyDescent="0.2">
      <c r="A198" s="24"/>
      <c r="B198" s="24"/>
      <c r="D198" s="25"/>
      <c r="E198" s="24"/>
      <c r="F198" s="24"/>
    </row>
    <row r="199" spans="1:6" ht="12.75" x14ac:dyDescent="0.2">
      <c r="A199" s="24"/>
      <c r="B199" s="24"/>
      <c r="D199" s="25"/>
      <c r="E199" s="24"/>
      <c r="F199" s="24"/>
    </row>
    <row r="200" spans="1:6" ht="12.75" x14ac:dyDescent="0.2">
      <c r="A200" s="24"/>
      <c r="B200" s="24"/>
      <c r="D200" s="25"/>
      <c r="E200" s="24"/>
      <c r="F200" s="24"/>
    </row>
    <row r="201" spans="1:6" ht="12.75" x14ac:dyDescent="0.2">
      <c r="A201" s="24"/>
      <c r="B201" s="24"/>
      <c r="D201" s="25"/>
      <c r="E201" s="24"/>
      <c r="F201" s="24"/>
    </row>
    <row r="202" spans="1:6" ht="12.75" x14ac:dyDescent="0.2">
      <c r="A202" s="24"/>
      <c r="B202" s="24"/>
      <c r="D202" s="25"/>
      <c r="E202" s="24"/>
      <c r="F202" s="24"/>
    </row>
    <row r="203" spans="1:6" ht="12.75" x14ac:dyDescent="0.2">
      <c r="A203" s="24"/>
      <c r="B203" s="24"/>
      <c r="D203" s="25"/>
      <c r="E203" s="24"/>
      <c r="F203" s="24"/>
    </row>
    <row r="204" spans="1:6" ht="12.75" x14ac:dyDescent="0.2">
      <c r="A204" s="24"/>
      <c r="B204" s="24"/>
      <c r="D204" s="25"/>
      <c r="E204" s="24"/>
      <c r="F204" s="24"/>
    </row>
    <row r="205" spans="1:6" ht="12.75" x14ac:dyDescent="0.2">
      <c r="A205" s="24"/>
      <c r="B205" s="24"/>
      <c r="D205" s="25"/>
      <c r="E205" s="24"/>
      <c r="F205" s="24"/>
    </row>
    <row r="206" spans="1:6" ht="12.75" x14ac:dyDescent="0.2">
      <c r="A206" s="24"/>
      <c r="B206" s="24"/>
      <c r="D206" s="25"/>
      <c r="E206" s="24"/>
      <c r="F206" s="24"/>
    </row>
    <row r="207" spans="1:6" ht="12.75" x14ac:dyDescent="0.2">
      <c r="A207" s="24"/>
      <c r="B207" s="24"/>
      <c r="D207" s="25"/>
      <c r="E207" s="24"/>
      <c r="F207" s="24"/>
    </row>
    <row r="208" spans="1:6" ht="12.75" x14ac:dyDescent="0.2">
      <c r="A208" s="24"/>
      <c r="B208" s="24"/>
      <c r="D208" s="25"/>
      <c r="E208" s="24"/>
      <c r="F208" s="24"/>
    </row>
    <row r="209" spans="1:6" ht="12.75" x14ac:dyDescent="0.2">
      <c r="A209" s="24"/>
      <c r="B209" s="24"/>
      <c r="D209" s="25"/>
      <c r="E209" s="24"/>
      <c r="F209" s="24"/>
    </row>
    <row r="210" spans="1:6" ht="12.75" x14ac:dyDescent="0.2">
      <c r="A210" s="24"/>
      <c r="B210" s="24"/>
      <c r="D210" s="25"/>
      <c r="E210" s="24"/>
      <c r="F210" s="24"/>
    </row>
    <row r="211" spans="1:6" ht="12.75" x14ac:dyDescent="0.2">
      <c r="A211" s="24"/>
      <c r="B211" s="24"/>
      <c r="D211" s="25"/>
      <c r="E211" s="24"/>
      <c r="F211" s="24"/>
    </row>
    <row r="212" spans="1:6" ht="12.75" x14ac:dyDescent="0.2">
      <c r="A212" s="24"/>
      <c r="B212" s="24"/>
      <c r="D212" s="25"/>
      <c r="E212" s="24"/>
      <c r="F212" s="24"/>
    </row>
    <row r="213" spans="1:6" ht="12.75" x14ac:dyDescent="0.2">
      <c r="A213" s="24"/>
      <c r="B213" s="24"/>
      <c r="D213" s="25"/>
      <c r="E213" s="24"/>
      <c r="F213" s="24"/>
    </row>
    <row r="214" spans="1:6" ht="12.75" x14ac:dyDescent="0.2">
      <c r="A214" s="24"/>
      <c r="B214" s="24"/>
      <c r="D214" s="25"/>
      <c r="E214" s="24"/>
      <c r="F214" s="24"/>
    </row>
    <row r="215" spans="1:6" ht="12.75" x14ac:dyDescent="0.2">
      <c r="A215" s="24"/>
      <c r="B215" s="24"/>
      <c r="D215" s="25"/>
      <c r="E215" s="24"/>
      <c r="F215" s="24"/>
    </row>
    <row r="216" spans="1:6" ht="12.75" x14ac:dyDescent="0.2">
      <c r="A216" s="24"/>
      <c r="B216" s="24"/>
      <c r="D216" s="25"/>
      <c r="E216" s="24"/>
      <c r="F216" s="24"/>
    </row>
    <row r="217" spans="1:6" ht="12.75" x14ac:dyDescent="0.2">
      <c r="A217" s="24"/>
      <c r="B217" s="24"/>
      <c r="D217" s="25"/>
      <c r="E217" s="24"/>
      <c r="F217" s="24"/>
    </row>
    <row r="218" spans="1:6" ht="12.75" x14ac:dyDescent="0.2">
      <c r="A218" s="24"/>
      <c r="B218" s="24"/>
      <c r="D218" s="25"/>
      <c r="E218" s="24"/>
      <c r="F218" s="24"/>
    </row>
    <row r="219" spans="1:6" ht="12.75" x14ac:dyDescent="0.2">
      <c r="A219" s="24"/>
      <c r="B219" s="24"/>
      <c r="D219" s="25"/>
      <c r="E219" s="24"/>
      <c r="F219" s="24"/>
    </row>
    <row r="220" spans="1:6" ht="12.75" x14ac:dyDescent="0.2">
      <c r="A220" s="24"/>
      <c r="B220" s="24"/>
      <c r="D220" s="25"/>
      <c r="E220" s="24"/>
      <c r="F220" s="24"/>
    </row>
    <row r="221" spans="1:6" ht="12.75" x14ac:dyDescent="0.2">
      <c r="A221" s="24"/>
      <c r="B221" s="24"/>
      <c r="D221" s="25"/>
      <c r="E221" s="24"/>
      <c r="F221" s="24"/>
    </row>
    <row r="222" spans="1:6" ht="12.75" x14ac:dyDescent="0.2">
      <c r="A222" s="24"/>
      <c r="B222" s="24"/>
      <c r="D222" s="25"/>
      <c r="E222" s="24"/>
      <c r="F222" s="24"/>
    </row>
    <row r="223" spans="1:6" ht="12.75" x14ac:dyDescent="0.2">
      <c r="A223" s="24"/>
      <c r="B223" s="24"/>
      <c r="D223" s="25"/>
      <c r="E223" s="24"/>
      <c r="F223" s="24"/>
    </row>
    <row r="224" spans="1:6" ht="12.75" x14ac:dyDescent="0.2">
      <c r="A224" s="24"/>
      <c r="B224" s="24"/>
      <c r="D224" s="25"/>
      <c r="E224" s="24"/>
      <c r="F224" s="24"/>
    </row>
    <row r="225" spans="1:6" ht="12.75" x14ac:dyDescent="0.2">
      <c r="A225" s="24"/>
      <c r="B225" s="24"/>
      <c r="D225" s="25"/>
      <c r="E225" s="24"/>
      <c r="F225" s="24"/>
    </row>
    <row r="226" spans="1:6" ht="12.75" x14ac:dyDescent="0.2">
      <c r="A226" s="24"/>
      <c r="B226" s="24"/>
      <c r="D226" s="25"/>
      <c r="E226" s="24"/>
      <c r="F226" s="24"/>
    </row>
    <row r="227" spans="1:6" ht="12.75" x14ac:dyDescent="0.2">
      <c r="A227" s="24"/>
      <c r="B227" s="24"/>
      <c r="D227" s="25"/>
      <c r="E227" s="24"/>
      <c r="F227" s="24"/>
    </row>
    <row r="228" spans="1:6" ht="12.75" x14ac:dyDescent="0.2">
      <c r="A228" s="24"/>
      <c r="B228" s="24"/>
      <c r="D228" s="25"/>
      <c r="E228" s="24"/>
      <c r="F228" s="24"/>
    </row>
    <row r="229" spans="1:6" ht="12.75" x14ac:dyDescent="0.2">
      <c r="A229" s="24"/>
      <c r="B229" s="24"/>
      <c r="D229" s="25"/>
      <c r="E229" s="24"/>
      <c r="F229" s="24"/>
    </row>
    <row r="230" spans="1:6" ht="12.75" x14ac:dyDescent="0.2">
      <c r="A230" s="24"/>
      <c r="B230" s="24"/>
      <c r="D230" s="25"/>
      <c r="E230" s="24"/>
      <c r="F230" s="24"/>
    </row>
    <row r="231" spans="1:6" ht="12.75" x14ac:dyDescent="0.2">
      <c r="A231" s="24"/>
      <c r="B231" s="24"/>
      <c r="D231" s="25"/>
      <c r="E231" s="24"/>
      <c r="F231" s="24"/>
    </row>
    <row r="232" spans="1:6" ht="12.75" x14ac:dyDescent="0.2">
      <c r="A232" s="24"/>
      <c r="B232" s="24"/>
      <c r="D232" s="25"/>
      <c r="E232" s="24"/>
      <c r="F232" s="24"/>
    </row>
    <row r="233" spans="1:6" ht="12.75" x14ac:dyDescent="0.2">
      <c r="A233" s="24"/>
      <c r="B233" s="24"/>
      <c r="D233" s="25"/>
      <c r="E233" s="24"/>
      <c r="F233" s="24"/>
    </row>
    <row r="234" spans="1:6" ht="12.75" x14ac:dyDescent="0.2">
      <c r="A234" s="24"/>
      <c r="B234" s="24"/>
      <c r="D234" s="25"/>
      <c r="E234" s="24"/>
      <c r="F234" s="24"/>
    </row>
    <row r="235" spans="1:6" ht="12.75" x14ac:dyDescent="0.2">
      <c r="A235" s="24"/>
      <c r="B235" s="24"/>
      <c r="D235" s="25"/>
      <c r="E235" s="24"/>
      <c r="F235" s="24"/>
    </row>
    <row r="236" spans="1:6" ht="12.75" x14ac:dyDescent="0.2">
      <c r="A236" s="24"/>
      <c r="B236" s="24"/>
      <c r="D236" s="25"/>
      <c r="E236" s="24"/>
      <c r="F236" s="24"/>
    </row>
    <row r="237" spans="1:6" ht="12.75" x14ac:dyDescent="0.2">
      <c r="A237" s="24"/>
      <c r="B237" s="24"/>
      <c r="D237" s="25"/>
      <c r="E237" s="24"/>
      <c r="F237" s="24"/>
    </row>
    <row r="238" spans="1:6" ht="12.75" x14ac:dyDescent="0.2">
      <c r="A238" s="24"/>
      <c r="B238" s="24"/>
      <c r="D238" s="25"/>
      <c r="E238" s="24"/>
      <c r="F238" s="24"/>
    </row>
    <row r="239" spans="1:6" ht="12.75" x14ac:dyDescent="0.2">
      <c r="A239" s="24"/>
      <c r="B239" s="24"/>
      <c r="D239" s="25"/>
      <c r="E239" s="24"/>
      <c r="F239" s="24"/>
    </row>
    <row r="240" spans="1:6" ht="12.75" x14ac:dyDescent="0.2">
      <c r="A240" s="24"/>
      <c r="B240" s="24"/>
      <c r="D240" s="25"/>
      <c r="E240" s="24"/>
      <c r="F240" s="24"/>
    </row>
    <row r="241" spans="1:6" ht="12.75" x14ac:dyDescent="0.2">
      <c r="A241" s="24"/>
      <c r="B241" s="24"/>
      <c r="D241" s="25"/>
      <c r="E241" s="24"/>
      <c r="F241" s="24"/>
    </row>
    <row r="242" spans="1:6" ht="12.75" x14ac:dyDescent="0.2">
      <c r="A242" s="24"/>
      <c r="B242" s="24"/>
      <c r="D242" s="25"/>
      <c r="E242" s="24"/>
      <c r="F242" s="24"/>
    </row>
    <row r="243" spans="1:6" ht="12.75" x14ac:dyDescent="0.2">
      <c r="A243" s="24"/>
      <c r="B243" s="24"/>
      <c r="D243" s="25"/>
      <c r="E243" s="24"/>
      <c r="F243" s="24"/>
    </row>
    <row r="244" spans="1:6" ht="12.75" x14ac:dyDescent="0.2">
      <c r="A244" s="24"/>
      <c r="B244" s="24"/>
      <c r="D244" s="25"/>
      <c r="E244" s="24"/>
      <c r="F244" s="24"/>
    </row>
    <row r="245" spans="1:6" ht="12.75" x14ac:dyDescent="0.2">
      <c r="A245" s="24"/>
      <c r="B245" s="24"/>
      <c r="D245" s="25"/>
      <c r="E245" s="24"/>
      <c r="F245" s="24"/>
    </row>
    <row r="246" spans="1:6" ht="12.75" x14ac:dyDescent="0.2">
      <c r="A246" s="24"/>
      <c r="B246" s="24"/>
      <c r="D246" s="25"/>
      <c r="E246" s="24"/>
      <c r="F246" s="24"/>
    </row>
    <row r="247" spans="1:6" ht="12.75" x14ac:dyDescent="0.2">
      <c r="A247" s="24"/>
      <c r="B247" s="24"/>
      <c r="D247" s="25"/>
      <c r="E247" s="24"/>
      <c r="F247" s="24"/>
    </row>
    <row r="248" spans="1:6" ht="12.75" x14ac:dyDescent="0.2">
      <c r="A248" s="24"/>
      <c r="B248" s="24"/>
      <c r="D248" s="25"/>
      <c r="E248" s="24"/>
      <c r="F248" s="24"/>
    </row>
    <row r="249" spans="1:6" ht="12.75" x14ac:dyDescent="0.2">
      <c r="A249" s="24"/>
      <c r="B249" s="24"/>
      <c r="D249" s="25"/>
      <c r="E249" s="24"/>
      <c r="F249" s="24"/>
    </row>
    <row r="250" spans="1:6" ht="12.75" x14ac:dyDescent="0.2">
      <c r="A250" s="24"/>
      <c r="B250" s="24"/>
      <c r="D250" s="25"/>
      <c r="E250" s="24"/>
      <c r="F250" s="24"/>
    </row>
    <row r="251" spans="1:6" ht="12.75" x14ac:dyDescent="0.2">
      <c r="A251" s="24"/>
      <c r="B251" s="24"/>
      <c r="D251" s="25"/>
      <c r="E251" s="24"/>
      <c r="F251" s="24"/>
    </row>
    <row r="252" spans="1:6" ht="12.75" x14ac:dyDescent="0.2">
      <c r="A252" s="24"/>
      <c r="B252" s="24"/>
      <c r="D252" s="25"/>
      <c r="E252" s="24"/>
      <c r="F252" s="24"/>
    </row>
    <row r="253" spans="1:6" ht="12.75" x14ac:dyDescent="0.2">
      <c r="A253" s="24"/>
      <c r="B253" s="24"/>
      <c r="D253" s="25"/>
      <c r="E253" s="24"/>
      <c r="F253" s="24"/>
    </row>
    <row r="254" spans="1:6" ht="12.75" x14ac:dyDescent="0.2">
      <c r="A254" s="24"/>
      <c r="B254" s="24"/>
      <c r="D254" s="25"/>
      <c r="E254" s="24"/>
      <c r="F254" s="24"/>
    </row>
    <row r="255" spans="1:6" ht="12.75" x14ac:dyDescent="0.2">
      <c r="A255" s="24"/>
      <c r="B255" s="24"/>
      <c r="D255" s="25"/>
      <c r="E255" s="24"/>
      <c r="F255" s="24"/>
    </row>
    <row r="256" spans="1:6" ht="12.75" x14ac:dyDescent="0.2">
      <c r="A256" s="24"/>
      <c r="B256" s="24"/>
      <c r="D256" s="25"/>
      <c r="E256" s="24"/>
      <c r="F256" s="24"/>
    </row>
    <row r="257" spans="1:6" ht="12.75" x14ac:dyDescent="0.2">
      <c r="A257" s="24"/>
      <c r="B257" s="24"/>
      <c r="D257" s="25"/>
      <c r="E257" s="24"/>
      <c r="F257" s="24"/>
    </row>
    <row r="258" spans="1:6" ht="12.75" x14ac:dyDescent="0.2">
      <c r="A258" s="24"/>
      <c r="B258" s="24"/>
      <c r="D258" s="25"/>
      <c r="E258" s="24"/>
      <c r="F258" s="24"/>
    </row>
    <row r="259" spans="1:6" ht="12.75" x14ac:dyDescent="0.2">
      <c r="A259" s="24"/>
      <c r="B259" s="24"/>
      <c r="D259" s="25"/>
      <c r="E259" s="24"/>
      <c r="F259" s="24"/>
    </row>
    <row r="260" spans="1:6" ht="12.75" x14ac:dyDescent="0.2">
      <c r="A260" s="24"/>
      <c r="B260" s="24"/>
      <c r="D260" s="25"/>
      <c r="E260" s="24"/>
      <c r="F260" s="24"/>
    </row>
    <row r="261" spans="1:6" ht="12.75" x14ac:dyDescent="0.2">
      <c r="A261" s="24"/>
      <c r="B261" s="24"/>
      <c r="D261" s="25"/>
      <c r="E261" s="24"/>
      <c r="F261" s="24"/>
    </row>
    <row r="262" spans="1:6" ht="12.75" x14ac:dyDescent="0.2">
      <c r="A262" s="24"/>
      <c r="B262" s="24"/>
      <c r="D262" s="25"/>
      <c r="E262" s="24"/>
      <c r="F262" s="24"/>
    </row>
    <row r="263" spans="1:6" ht="12.75" x14ac:dyDescent="0.2">
      <c r="A263" s="24"/>
      <c r="B263" s="24"/>
      <c r="D263" s="25"/>
      <c r="E263" s="24"/>
      <c r="F263" s="24"/>
    </row>
    <row r="264" spans="1:6" ht="12.75" x14ac:dyDescent="0.2">
      <c r="A264" s="24"/>
      <c r="B264" s="24"/>
      <c r="D264" s="25"/>
      <c r="E264" s="24"/>
      <c r="F264" s="24"/>
    </row>
    <row r="265" spans="1:6" ht="12.75" x14ac:dyDescent="0.2">
      <c r="A265" s="24"/>
      <c r="B265" s="24"/>
      <c r="D265" s="25"/>
      <c r="E265" s="24"/>
      <c r="F265" s="24"/>
    </row>
    <row r="266" spans="1:6" ht="12.75" x14ac:dyDescent="0.2">
      <c r="A266" s="24"/>
      <c r="B266" s="24"/>
      <c r="D266" s="25"/>
      <c r="E266" s="24"/>
      <c r="F266" s="24"/>
    </row>
    <row r="267" spans="1:6" ht="12.75" x14ac:dyDescent="0.2">
      <c r="A267" s="24"/>
      <c r="B267" s="24"/>
      <c r="D267" s="25"/>
      <c r="E267" s="24"/>
      <c r="F267" s="24"/>
    </row>
    <row r="268" spans="1:6" ht="12.75" x14ac:dyDescent="0.2">
      <c r="A268" s="24"/>
      <c r="B268" s="24"/>
      <c r="D268" s="25"/>
      <c r="E268" s="24"/>
      <c r="F268" s="24"/>
    </row>
    <row r="269" spans="1:6" ht="12.75" x14ac:dyDescent="0.2">
      <c r="A269" s="24"/>
      <c r="B269" s="24"/>
      <c r="D269" s="25"/>
      <c r="E269" s="24"/>
      <c r="F269" s="24"/>
    </row>
    <row r="270" spans="1:6" ht="12.75" x14ac:dyDescent="0.2">
      <c r="A270" s="24"/>
      <c r="B270" s="24"/>
      <c r="D270" s="25"/>
      <c r="E270" s="24"/>
      <c r="F270" s="24"/>
    </row>
    <row r="271" spans="1:6" ht="12.75" x14ac:dyDescent="0.2">
      <c r="A271" s="24"/>
      <c r="B271" s="24"/>
      <c r="D271" s="25"/>
      <c r="E271" s="24"/>
      <c r="F271" s="24"/>
    </row>
    <row r="272" spans="1:6" ht="12.75" x14ac:dyDescent="0.2">
      <c r="A272" s="24"/>
      <c r="B272" s="24"/>
      <c r="D272" s="25"/>
      <c r="E272" s="24"/>
      <c r="F272" s="24"/>
    </row>
    <row r="273" spans="1:6" ht="12.75" x14ac:dyDescent="0.2">
      <c r="A273" s="24"/>
      <c r="B273" s="24"/>
      <c r="D273" s="25"/>
      <c r="E273" s="24"/>
      <c r="F273" s="24"/>
    </row>
    <row r="274" spans="1:6" ht="12.75" x14ac:dyDescent="0.2">
      <c r="A274" s="24"/>
      <c r="B274" s="24"/>
      <c r="D274" s="25"/>
      <c r="E274" s="24"/>
      <c r="F274" s="24"/>
    </row>
    <row r="275" spans="1:6" ht="12.75" x14ac:dyDescent="0.2">
      <c r="A275" s="24"/>
      <c r="B275" s="24"/>
      <c r="D275" s="25"/>
      <c r="E275" s="24"/>
      <c r="F275" s="24"/>
    </row>
    <row r="276" spans="1:6" ht="12.75" x14ac:dyDescent="0.2">
      <c r="A276" s="24"/>
      <c r="B276" s="24"/>
      <c r="D276" s="25"/>
      <c r="E276" s="24"/>
      <c r="F276" s="24"/>
    </row>
    <row r="277" spans="1:6" ht="12.75" x14ac:dyDescent="0.2">
      <c r="A277" s="24"/>
      <c r="B277" s="24"/>
      <c r="D277" s="25"/>
      <c r="E277" s="24"/>
      <c r="F277" s="24"/>
    </row>
    <row r="278" spans="1:6" ht="12.75" x14ac:dyDescent="0.2">
      <c r="A278" s="24"/>
      <c r="B278" s="24"/>
      <c r="D278" s="25"/>
      <c r="E278" s="24"/>
      <c r="F278" s="24"/>
    </row>
    <row r="279" spans="1:6" ht="12.75" x14ac:dyDescent="0.2">
      <c r="A279" s="24"/>
      <c r="B279" s="24"/>
      <c r="D279" s="25"/>
      <c r="E279" s="24"/>
      <c r="F279" s="24"/>
    </row>
    <row r="280" spans="1:6" ht="12.75" x14ac:dyDescent="0.2">
      <c r="A280" s="24"/>
      <c r="B280" s="24"/>
      <c r="D280" s="25"/>
      <c r="E280" s="24"/>
      <c r="F280" s="24"/>
    </row>
    <row r="281" spans="1:6" ht="12.75" x14ac:dyDescent="0.2">
      <c r="A281" s="24"/>
      <c r="B281" s="24"/>
      <c r="D281" s="25"/>
      <c r="E281" s="24"/>
      <c r="F281" s="24"/>
    </row>
    <row r="282" spans="1:6" ht="12.75" x14ac:dyDescent="0.2">
      <c r="A282" s="24"/>
      <c r="B282" s="24"/>
      <c r="D282" s="25"/>
      <c r="E282" s="24"/>
      <c r="F282" s="24"/>
    </row>
    <row r="283" spans="1:6" ht="12.75" x14ac:dyDescent="0.2">
      <c r="A283" s="24"/>
      <c r="B283" s="24"/>
      <c r="D283" s="25"/>
      <c r="E283" s="24"/>
      <c r="F283" s="24"/>
    </row>
    <row r="284" spans="1:6" ht="12.75" x14ac:dyDescent="0.2">
      <c r="A284" s="24"/>
      <c r="B284" s="24"/>
      <c r="D284" s="25"/>
      <c r="E284" s="24"/>
      <c r="F284" s="24"/>
    </row>
    <row r="285" spans="1:6" ht="12.75" x14ac:dyDescent="0.2">
      <c r="A285" s="24"/>
      <c r="B285" s="24"/>
      <c r="D285" s="25"/>
      <c r="E285" s="24"/>
      <c r="F285" s="24"/>
    </row>
    <row r="286" spans="1:6" ht="12.75" x14ac:dyDescent="0.2">
      <c r="A286" s="24"/>
      <c r="B286" s="24"/>
      <c r="D286" s="25"/>
      <c r="E286" s="24"/>
      <c r="F286" s="24"/>
    </row>
    <row r="287" spans="1:6" ht="12.75" x14ac:dyDescent="0.2">
      <c r="A287" s="24"/>
      <c r="B287" s="24"/>
      <c r="D287" s="25"/>
      <c r="E287" s="24"/>
      <c r="F287" s="24"/>
    </row>
    <row r="288" spans="1:6" ht="12.75" x14ac:dyDescent="0.2">
      <c r="A288" s="24"/>
      <c r="B288" s="24"/>
      <c r="D288" s="25"/>
      <c r="E288" s="24"/>
      <c r="F288" s="24"/>
    </row>
    <row r="289" spans="1:6" ht="12.75" x14ac:dyDescent="0.2">
      <c r="A289" s="24"/>
      <c r="B289" s="24"/>
      <c r="D289" s="25"/>
      <c r="E289" s="24"/>
      <c r="F289" s="24"/>
    </row>
    <row r="290" spans="1:6" ht="12.75" x14ac:dyDescent="0.2">
      <c r="A290" s="24"/>
      <c r="B290" s="24"/>
      <c r="D290" s="25"/>
      <c r="E290" s="24"/>
      <c r="F290" s="24"/>
    </row>
    <row r="291" spans="1:6" ht="12.75" x14ac:dyDescent="0.2">
      <c r="A291" s="24"/>
      <c r="B291" s="24"/>
      <c r="D291" s="25"/>
      <c r="E291" s="24"/>
      <c r="F291" s="24"/>
    </row>
    <row r="292" spans="1:6" ht="12.75" x14ac:dyDescent="0.2">
      <c r="A292" s="24"/>
      <c r="B292" s="24"/>
      <c r="D292" s="25"/>
      <c r="E292" s="24"/>
      <c r="F292" s="24"/>
    </row>
    <row r="293" spans="1:6" ht="12.75" x14ac:dyDescent="0.2">
      <c r="A293" s="24"/>
      <c r="B293" s="24"/>
      <c r="D293" s="25"/>
      <c r="E293" s="24"/>
      <c r="F293" s="24"/>
    </row>
    <row r="294" spans="1:6" ht="12.75" x14ac:dyDescent="0.2">
      <c r="A294" s="24"/>
      <c r="B294" s="24"/>
      <c r="D294" s="25"/>
      <c r="E294" s="24"/>
      <c r="F294" s="24"/>
    </row>
    <row r="295" spans="1:6" ht="12.75" x14ac:dyDescent="0.2">
      <c r="A295" s="24"/>
      <c r="B295" s="24"/>
      <c r="D295" s="25"/>
      <c r="E295" s="24"/>
      <c r="F295" s="24"/>
    </row>
    <row r="296" spans="1:6" ht="12.75" x14ac:dyDescent="0.2">
      <c r="A296" s="24"/>
      <c r="B296" s="24"/>
      <c r="D296" s="25"/>
      <c r="E296" s="24"/>
      <c r="F296" s="24"/>
    </row>
    <row r="297" spans="1:6" ht="12.75" x14ac:dyDescent="0.2">
      <c r="A297" s="24"/>
      <c r="B297" s="24"/>
      <c r="D297" s="25"/>
      <c r="E297" s="24"/>
      <c r="F297" s="24"/>
    </row>
    <row r="298" spans="1:6" ht="12.75" x14ac:dyDescent="0.2">
      <c r="A298" s="24"/>
      <c r="B298" s="24"/>
      <c r="D298" s="25"/>
      <c r="E298" s="24"/>
      <c r="F298" s="24"/>
    </row>
    <row r="299" spans="1:6" ht="12.75" x14ac:dyDescent="0.2">
      <c r="A299" s="24"/>
      <c r="B299" s="24"/>
      <c r="D299" s="25"/>
      <c r="E299" s="24"/>
      <c r="F299" s="24"/>
    </row>
    <row r="300" spans="1:6" ht="12.75" x14ac:dyDescent="0.2">
      <c r="A300" s="24"/>
      <c r="B300" s="24"/>
      <c r="D300" s="25"/>
      <c r="E300" s="24"/>
      <c r="F300" s="24"/>
    </row>
    <row r="301" spans="1:6" ht="12.75" x14ac:dyDescent="0.2">
      <c r="A301" s="24"/>
      <c r="B301" s="24"/>
      <c r="D301" s="25"/>
      <c r="E301" s="24"/>
      <c r="F301" s="24"/>
    </row>
    <row r="302" spans="1:6" ht="12.75" x14ac:dyDescent="0.2">
      <c r="A302" s="24"/>
      <c r="B302" s="24"/>
      <c r="D302" s="25"/>
      <c r="E302" s="24"/>
      <c r="F302" s="24"/>
    </row>
    <row r="303" spans="1:6" ht="12.75" x14ac:dyDescent="0.2">
      <c r="A303" s="24"/>
      <c r="B303" s="24"/>
      <c r="D303" s="25"/>
      <c r="E303" s="24"/>
      <c r="F303" s="24"/>
    </row>
    <row r="304" spans="1:6" ht="12.75" x14ac:dyDescent="0.2">
      <c r="A304" s="24"/>
      <c r="B304" s="24"/>
      <c r="D304" s="25"/>
      <c r="E304" s="24"/>
      <c r="F304" s="24"/>
    </row>
    <row r="305" spans="1:6" ht="12.75" x14ac:dyDescent="0.2">
      <c r="A305" s="24"/>
      <c r="B305" s="24"/>
      <c r="D305" s="25"/>
      <c r="E305" s="24"/>
      <c r="F305" s="24"/>
    </row>
    <row r="306" spans="1:6" ht="12.75" x14ac:dyDescent="0.2">
      <c r="A306" s="24"/>
      <c r="B306" s="24"/>
      <c r="D306" s="25"/>
      <c r="E306" s="24"/>
      <c r="F306" s="24"/>
    </row>
    <row r="307" spans="1:6" ht="12.75" x14ac:dyDescent="0.2">
      <c r="A307" s="24"/>
      <c r="B307" s="24"/>
      <c r="D307" s="25"/>
      <c r="E307" s="24"/>
      <c r="F307" s="24"/>
    </row>
    <row r="308" spans="1:6" ht="12.75" x14ac:dyDescent="0.2">
      <c r="A308" s="24"/>
      <c r="B308" s="24"/>
      <c r="D308" s="25"/>
      <c r="E308" s="24"/>
      <c r="F308" s="24"/>
    </row>
    <row r="309" spans="1:6" ht="12.75" x14ac:dyDescent="0.2">
      <c r="A309" s="24"/>
      <c r="B309" s="24"/>
      <c r="D309" s="25"/>
      <c r="E309" s="24"/>
      <c r="F309" s="24"/>
    </row>
    <row r="310" spans="1:6" ht="12.75" x14ac:dyDescent="0.2">
      <c r="A310" s="24"/>
      <c r="B310" s="24"/>
      <c r="D310" s="25"/>
      <c r="E310" s="24"/>
      <c r="F310" s="24"/>
    </row>
    <row r="311" spans="1:6" ht="12.75" x14ac:dyDescent="0.2">
      <c r="A311" s="24"/>
      <c r="B311" s="24"/>
      <c r="D311" s="25"/>
      <c r="E311" s="24"/>
      <c r="F311" s="24"/>
    </row>
    <row r="312" spans="1:6" ht="12.75" x14ac:dyDescent="0.2">
      <c r="A312" s="24"/>
      <c r="B312" s="24"/>
      <c r="D312" s="25"/>
      <c r="E312" s="24"/>
      <c r="F312" s="24"/>
    </row>
    <row r="313" spans="1:6" ht="12.75" x14ac:dyDescent="0.2">
      <c r="A313" s="24"/>
      <c r="B313" s="24"/>
      <c r="D313" s="25"/>
      <c r="E313" s="24"/>
      <c r="F313" s="24"/>
    </row>
    <row r="314" spans="1:6" ht="12.75" x14ac:dyDescent="0.2">
      <c r="A314" s="24"/>
      <c r="B314" s="24"/>
      <c r="D314" s="25"/>
      <c r="E314" s="24"/>
      <c r="F314" s="24"/>
    </row>
    <row r="315" spans="1:6" ht="12.75" x14ac:dyDescent="0.2">
      <c r="A315" s="24"/>
      <c r="B315" s="24"/>
      <c r="D315" s="25"/>
      <c r="E315" s="24"/>
      <c r="F315" s="24"/>
    </row>
    <row r="316" spans="1:6" ht="12.75" x14ac:dyDescent="0.2">
      <c r="A316" s="24"/>
      <c r="B316" s="24"/>
      <c r="D316" s="25"/>
      <c r="E316" s="24"/>
      <c r="F316" s="24"/>
    </row>
    <row r="317" spans="1:6" ht="12.75" x14ac:dyDescent="0.2">
      <c r="A317" s="24"/>
      <c r="B317" s="24"/>
      <c r="D317" s="25"/>
      <c r="E317" s="24"/>
      <c r="F317" s="24"/>
    </row>
    <row r="318" spans="1:6" ht="12.75" x14ac:dyDescent="0.2">
      <c r="A318" s="24"/>
      <c r="B318" s="24"/>
      <c r="D318" s="25"/>
      <c r="E318" s="24"/>
      <c r="F318" s="24"/>
    </row>
    <row r="319" spans="1:6" ht="12.75" x14ac:dyDescent="0.2">
      <c r="A319" s="24"/>
      <c r="B319" s="24"/>
      <c r="D319" s="25"/>
      <c r="E319" s="24"/>
      <c r="F319" s="24"/>
    </row>
    <row r="320" spans="1:6" ht="12.75" x14ac:dyDescent="0.2">
      <c r="A320" s="24"/>
      <c r="B320" s="24"/>
      <c r="D320" s="25"/>
      <c r="E320" s="24"/>
      <c r="F320" s="24"/>
    </row>
    <row r="321" spans="1:6" ht="12.75" x14ac:dyDescent="0.2">
      <c r="A321" s="24"/>
      <c r="B321" s="24"/>
      <c r="D321" s="25"/>
      <c r="E321" s="24"/>
      <c r="F321" s="24"/>
    </row>
    <row r="322" spans="1:6" ht="12.75" x14ac:dyDescent="0.2">
      <c r="A322" s="24"/>
      <c r="B322" s="24"/>
      <c r="D322" s="25"/>
      <c r="E322" s="24"/>
      <c r="F322" s="24"/>
    </row>
    <row r="323" spans="1:6" ht="12.75" x14ac:dyDescent="0.2">
      <c r="A323" s="24"/>
      <c r="B323" s="24"/>
      <c r="D323" s="25"/>
      <c r="E323" s="24"/>
      <c r="F323" s="24"/>
    </row>
    <row r="324" spans="1:6" ht="12.75" x14ac:dyDescent="0.2">
      <c r="A324" s="24"/>
      <c r="B324" s="24"/>
      <c r="D324" s="25"/>
      <c r="E324" s="24"/>
      <c r="F324" s="24"/>
    </row>
    <row r="325" spans="1:6" ht="12.75" x14ac:dyDescent="0.2">
      <c r="A325" s="24"/>
      <c r="B325" s="24"/>
      <c r="D325" s="25"/>
      <c r="E325" s="24"/>
      <c r="F325" s="24"/>
    </row>
    <row r="326" spans="1:6" ht="12.75" x14ac:dyDescent="0.2">
      <c r="A326" s="24"/>
      <c r="B326" s="24"/>
      <c r="D326" s="25"/>
      <c r="E326" s="24"/>
      <c r="F326" s="24"/>
    </row>
    <row r="327" spans="1:6" ht="12.75" x14ac:dyDescent="0.2">
      <c r="A327" s="24"/>
      <c r="B327" s="24"/>
      <c r="D327" s="25"/>
      <c r="E327" s="24"/>
      <c r="F327" s="24"/>
    </row>
    <row r="328" spans="1:6" ht="12.75" x14ac:dyDescent="0.2">
      <c r="A328" s="24"/>
      <c r="B328" s="24"/>
      <c r="D328" s="25"/>
      <c r="E328" s="24"/>
      <c r="F328" s="24"/>
    </row>
    <row r="329" spans="1:6" ht="12.75" x14ac:dyDescent="0.2">
      <c r="A329" s="24"/>
      <c r="B329" s="24"/>
      <c r="D329" s="25"/>
      <c r="E329" s="24"/>
      <c r="F329" s="24"/>
    </row>
    <row r="330" spans="1:6" ht="12.75" x14ac:dyDescent="0.2">
      <c r="A330" s="24"/>
      <c r="B330" s="24"/>
      <c r="D330" s="25"/>
      <c r="E330" s="24"/>
      <c r="F330" s="24"/>
    </row>
    <row r="331" spans="1:6" ht="12.75" x14ac:dyDescent="0.2">
      <c r="A331" s="24"/>
      <c r="B331" s="24"/>
      <c r="D331" s="25"/>
      <c r="E331" s="24"/>
      <c r="F331" s="24"/>
    </row>
    <row r="332" spans="1:6" ht="12.75" x14ac:dyDescent="0.2">
      <c r="A332" s="24"/>
      <c r="B332" s="24"/>
      <c r="D332" s="25"/>
      <c r="E332" s="24"/>
      <c r="F332" s="24"/>
    </row>
    <row r="333" spans="1:6" ht="12.75" x14ac:dyDescent="0.2">
      <c r="A333" s="24"/>
      <c r="B333" s="24"/>
      <c r="D333" s="25"/>
      <c r="E333" s="24"/>
      <c r="F333" s="24"/>
    </row>
    <row r="334" spans="1:6" ht="12.75" x14ac:dyDescent="0.2">
      <c r="A334" s="24"/>
      <c r="B334" s="24"/>
      <c r="D334" s="25"/>
      <c r="E334" s="24"/>
      <c r="F334" s="24"/>
    </row>
    <row r="335" spans="1:6" ht="12.75" x14ac:dyDescent="0.2">
      <c r="A335" s="24"/>
      <c r="B335" s="24"/>
      <c r="D335" s="25"/>
      <c r="E335" s="24"/>
      <c r="F335" s="24"/>
    </row>
    <row r="336" spans="1:6" ht="12.75" x14ac:dyDescent="0.2">
      <c r="A336" s="24"/>
      <c r="B336" s="24"/>
      <c r="D336" s="25"/>
      <c r="E336" s="24"/>
      <c r="F336" s="24"/>
    </row>
    <row r="337" spans="1:6" ht="12.75" x14ac:dyDescent="0.2">
      <c r="A337" s="24"/>
      <c r="B337" s="24"/>
      <c r="D337" s="25"/>
      <c r="E337" s="24"/>
      <c r="F337" s="24"/>
    </row>
    <row r="338" spans="1:6" ht="12.75" x14ac:dyDescent="0.2">
      <c r="A338" s="24"/>
      <c r="B338" s="24"/>
      <c r="D338" s="25"/>
      <c r="E338" s="24"/>
      <c r="F338" s="24"/>
    </row>
    <row r="339" spans="1:6" ht="12.75" x14ac:dyDescent="0.2">
      <c r="A339" s="24"/>
      <c r="B339" s="24"/>
      <c r="D339" s="25"/>
      <c r="E339" s="24"/>
      <c r="F339" s="24"/>
    </row>
    <row r="340" spans="1:6" ht="12.75" x14ac:dyDescent="0.2">
      <c r="A340" s="24"/>
      <c r="B340" s="24"/>
      <c r="D340" s="25"/>
      <c r="E340" s="24"/>
      <c r="F340" s="24"/>
    </row>
    <row r="341" spans="1:6" ht="12.75" x14ac:dyDescent="0.2">
      <c r="A341" s="24"/>
      <c r="B341" s="24"/>
      <c r="D341" s="25"/>
      <c r="E341" s="24"/>
      <c r="F341" s="24"/>
    </row>
    <row r="342" spans="1:6" ht="12.75" x14ac:dyDescent="0.2">
      <c r="A342" s="24"/>
      <c r="B342" s="24"/>
      <c r="D342" s="25"/>
      <c r="E342" s="24"/>
      <c r="F342" s="24"/>
    </row>
    <row r="343" spans="1:6" ht="12.75" x14ac:dyDescent="0.2">
      <c r="A343" s="24"/>
      <c r="B343" s="24"/>
      <c r="D343" s="25"/>
      <c r="E343" s="24"/>
      <c r="F343" s="24"/>
    </row>
    <row r="344" spans="1:6" ht="12.75" x14ac:dyDescent="0.2">
      <c r="A344" s="24"/>
      <c r="B344" s="24"/>
      <c r="D344" s="25"/>
      <c r="E344" s="24"/>
      <c r="F344" s="24"/>
    </row>
    <row r="345" spans="1:6" ht="12.75" x14ac:dyDescent="0.2">
      <c r="A345" s="24"/>
      <c r="B345" s="24"/>
      <c r="D345" s="25"/>
      <c r="E345" s="24"/>
      <c r="F345" s="24"/>
    </row>
    <row r="346" spans="1:6" ht="12.75" x14ac:dyDescent="0.2">
      <c r="A346" s="24"/>
      <c r="B346" s="24"/>
      <c r="D346" s="25"/>
      <c r="E346" s="24"/>
      <c r="F346" s="24"/>
    </row>
    <row r="347" spans="1:6" ht="12.75" x14ac:dyDescent="0.2">
      <c r="A347" s="24"/>
      <c r="B347" s="24"/>
      <c r="D347" s="25"/>
      <c r="E347" s="24"/>
      <c r="F347" s="24"/>
    </row>
    <row r="348" spans="1:6" ht="12.75" x14ac:dyDescent="0.2">
      <c r="A348" s="24"/>
      <c r="B348" s="24"/>
      <c r="D348" s="25"/>
      <c r="E348" s="24"/>
      <c r="F348" s="24"/>
    </row>
    <row r="349" spans="1:6" ht="12.75" x14ac:dyDescent="0.2">
      <c r="A349" s="24"/>
      <c r="B349" s="24"/>
      <c r="D349" s="25"/>
      <c r="E349" s="24"/>
      <c r="F349" s="24"/>
    </row>
    <row r="350" spans="1:6" ht="12.75" x14ac:dyDescent="0.2">
      <c r="A350" s="24"/>
      <c r="B350" s="24"/>
      <c r="D350" s="25"/>
      <c r="E350" s="24"/>
      <c r="F350" s="24"/>
    </row>
    <row r="351" spans="1:6" ht="12.75" x14ac:dyDescent="0.2">
      <c r="A351" s="24"/>
      <c r="B351" s="24"/>
      <c r="D351" s="25"/>
      <c r="E351" s="24"/>
      <c r="F351" s="24"/>
    </row>
    <row r="352" spans="1:6" ht="12.75" x14ac:dyDescent="0.2">
      <c r="A352" s="24"/>
      <c r="B352" s="24"/>
      <c r="D352" s="25"/>
      <c r="E352" s="24"/>
      <c r="F352" s="24"/>
    </row>
    <row r="353" spans="1:6" ht="12.75" x14ac:dyDescent="0.2">
      <c r="A353" s="24"/>
      <c r="B353" s="24"/>
      <c r="D353" s="25"/>
      <c r="E353" s="24"/>
      <c r="F353" s="24"/>
    </row>
    <row r="354" spans="1:6" ht="12.75" x14ac:dyDescent="0.2">
      <c r="A354" s="24"/>
      <c r="B354" s="24"/>
      <c r="D354" s="25"/>
      <c r="E354" s="24"/>
      <c r="F354" s="24"/>
    </row>
    <row r="355" spans="1:6" ht="12.75" x14ac:dyDescent="0.2">
      <c r="A355" s="24"/>
      <c r="B355" s="24"/>
      <c r="D355" s="25"/>
      <c r="E355" s="24"/>
      <c r="F355" s="24"/>
    </row>
    <row r="356" spans="1:6" ht="12.75" x14ac:dyDescent="0.2">
      <c r="A356" s="24"/>
      <c r="B356" s="24"/>
      <c r="D356" s="25"/>
      <c r="E356" s="24"/>
      <c r="F356" s="24"/>
    </row>
    <row r="357" spans="1:6" ht="12.75" x14ac:dyDescent="0.2">
      <c r="A357" s="24"/>
      <c r="B357" s="24"/>
      <c r="D357" s="25"/>
      <c r="E357" s="24"/>
      <c r="F357" s="24"/>
    </row>
    <row r="358" spans="1:6" ht="12.75" x14ac:dyDescent="0.2">
      <c r="A358" s="24"/>
      <c r="B358" s="24"/>
      <c r="D358" s="25"/>
      <c r="E358" s="24"/>
      <c r="F358" s="24"/>
    </row>
    <row r="359" spans="1:6" ht="12.75" x14ac:dyDescent="0.2">
      <c r="A359" s="24"/>
      <c r="B359" s="24"/>
      <c r="D359" s="25"/>
      <c r="E359" s="24"/>
      <c r="F359" s="24"/>
    </row>
    <row r="360" spans="1:6" ht="12.75" x14ac:dyDescent="0.2">
      <c r="A360" s="24"/>
      <c r="B360" s="24"/>
      <c r="D360" s="25"/>
      <c r="E360" s="24"/>
      <c r="F360" s="24"/>
    </row>
    <row r="361" spans="1:6" ht="12.75" x14ac:dyDescent="0.2">
      <c r="A361" s="24"/>
      <c r="B361" s="24"/>
      <c r="D361" s="25"/>
      <c r="E361" s="24"/>
      <c r="F361" s="24"/>
    </row>
    <row r="362" spans="1:6" ht="12.75" x14ac:dyDescent="0.2">
      <c r="A362" s="24"/>
      <c r="B362" s="24"/>
      <c r="D362" s="25"/>
      <c r="E362" s="24"/>
      <c r="F362" s="24"/>
    </row>
    <row r="363" spans="1:6" ht="12.75" x14ac:dyDescent="0.2">
      <c r="A363" s="24"/>
      <c r="B363" s="24"/>
      <c r="D363" s="25"/>
      <c r="E363" s="24"/>
      <c r="F363" s="24"/>
    </row>
    <row r="364" spans="1:6" ht="12.75" x14ac:dyDescent="0.2">
      <c r="A364" s="24"/>
      <c r="B364" s="24"/>
      <c r="D364" s="25"/>
      <c r="E364" s="24"/>
      <c r="F364" s="24"/>
    </row>
    <row r="365" spans="1:6" ht="12.75" x14ac:dyDescent="0.2">
      <c r="A365" s="24"/>
      <c r="B365" s="24"/>
      <c r="D365" s="25"/>
      <c r="E365" s="24"/>
      <c r="F365" s="24"/>
    </row>
    <row r="366" spans="1:6" ht="12.75" x14ac:dyDescent="0.2">
      <c r="A366" s="24"/>
      <c r="B366" s="24"/>
      <c r="D366" s="25"/>
      <c r="E366" s="24"/>
      <c r="F366" s="24"/>
    </row>
    <row r="367" spans="1:6" ht="12.75" x14ac:dyDescent="0.2">
      <c r="A367" s="24"/>
      <c r="B367" s="24"/>
      <c r="D367" s="25"/>
      <c r="E367" s="24"/>
      <c r="F367" s="24"/>
    </row>
    <row r="368" spans="1:6" ht="12.75" x14ac:dyDescent="0.2">
      <c r="A368" s="24"/>
      <c r="B368" s="24"/>
      <c r="D368" s="25"/>
      <c r="E368" s="24"/>
      <c r="F368" s="24"/>
    </row>
    <row r="369" spans="1:6" ht="12.75" x14ac:dyDescent="0.2">
      <c r="A369" s="24"/>
      <c r="B369" s="24"/>
      <c r="D369" s="25"/>
      <c r="E369" s="24"/>
      <c r="F369" s="24"/>
    </row>
    <row r="370" spans="1:6" ht="12.75" x14ac:dyDescent="0.2">
      <c r="A370" s="24"/>
      <c r="B370" s="24"/>
      <c r="D370" s="25"/>
      <c r="E370" s="24"/>
      <c r="F370" s="24"/>
    </row>
    <row r="371" spans="1:6" ht="12.75" x14ac:dyDescent="0.2">
      <c r="A371" s="24"/>
      <c r="B371" s="24"/>
      <c r="D371" s="25"/>
      <c r="E371" s="24"/>
      <c r="F371" s="24"/>
    </row>
    <row r="372" spans="1:6" ht="12.75" x14ac:dyDescent="0.2">
      <c r="A372" s="24"/>
      <c r="B372" s="24"/>
      <c r="D372" s="25"/>
      <c r="E372" s="24"/>
      <c r="F372" s="24"/>
    </row>
    <row r="373" spans="1:6" ht="12.75" x14ac:dyDescent="0.2">
      <c r="A373" s="24"/>
      <c r="B373" s="24"/>
      <c r="D373" s="25"/>
      <c r="E373" s="24"/>
      <c r="F373" s="24"/>
    </row>
    <row r="374" spans="1:6" ht="12.75" x14ac:dyDescent="0.2">
      <c r="A374" s="24"/>
      <c r="B374" s="24"/>
      <c r="D374" s="25"/>
      <c r="E374" s="24"/>
      <c r="F374" s="24"/>
    </row>
    <row r="375" spans="1:6" ht="12.75" x14ac:dyDescent="0.2">
      <c r="A375" s="24"/>
      <c r="B375" s="24"/>
      <c r="D375" s="25"/>
      <c r="E375" s="24"/>
      <c r="F375" s="24"/>
    </row>
    <row r="376" spans="1:6" ht="12.75" x14ac:dyDescent="0.2">
      <c r="A376" s="24"/>
      <c r="B376" s="24"/>
      <c r="D376" s="25"/>
      <c r="E376" s="24"/>
      <c r="F376" s="24"/>
    </row>
    <row r="377" spans="1:6" ht="12.75" x14ac:dyDescent="0.2">
      <c r="A377" s="24"/>
      <c r="B377" s="24"/>
      <c r="D377" s="25"/>
      <c r="E377" s="24"/>
      <c r="F377" s="24"/>
    </row>
    <row r="378" spans="1:6" ht="12.75" x14ac:dyDescent="0.2">
      <c r="A378" s="24"/>
      <c r="B378" s="24"/>
      <c r="D378" s="25"/>
      <c r="E378" s="24"/>
      <c r="F378" s="24"/>
    </row>
    <row r="379" spans="1:6" ht="12.75" x14ac:dyDescent="0.2">
      <c r="A379" s="24"/>
      <c r="B379" s="24"/>
      <c r="D379" s="25"/>
      <c r="E379" s="24"/>
      <c r="F379" s="24"/>
    </row>
    <row r="380" spans="1:6" ht="12.75" x14ac:dyDescent="0.2">
      <c r="A380" s="24"/>
      <c r="B380" s="24"/>
      <c r="D380" s="25"/>
      <c r="E380" s="24"/>
      <c r="F380" s="24"/>
    </row>
    <row r="381" spans="1:6" ht="12.75" x14ac:dyDescent="0.2">
      <c r="A381" s="24"/>
      <c r="B381" s="24"/>
      <c r="D381" s="25"/>
      <c r="E381" s="24"/>
      <c r="F381" s="24"/>
    </row>
    <row r="382" spans="1:6" ht="12.75" x14ac:dyDescent="0.2">
      <c r="A382" s="24"/>
      <c r="B382" s="24"/>
      <c r="D382" s="25"/>
      <c r="E382" s="24"/>
      <c r="F382" s="24"/>
    </row>
    <row r="383" spans="1:6" ht="12.75" x14ac:dyDescent="0.2">
      <c r="A383" s="24"/>
      <c r="B383" s="24"/>
      <c r="D383" s="25"/>
      <c r="E383" s="24"/>
      <c r="F383" s="24"/>
    </row>
    <row r="384" spans="1:6" ht="12.75" x14ac:dyDescent="0.2">
      <c r="A384" s="24"/>
      <c r="B384" s="24"/>
      <c r="D384" s="25"/>
      <c r="E384" s="24"/>
      <c r="F384" s="24"/>
    </row>
    <row r="385" spans="1:6" ht="12.75" x14ac:dyDescent="0.2">
      <c r="A385" s="24"/>
      <c r="B385" s="24"/>
      <c r="D385" s="25"/>
      <c r="E385" s="24"/>
      <c r="F385" s="24"/>
    </row>
    <row r="386" spans="1:6" ht="12.75" x14ac:dyDescent="0.2">
      <c r="A386" s="24"/>
      <c r="B386" s="24"/>
      <c r="D386" s="25"/>
      <c r="E386" s="24"/>
      <c r="F386" s="24"/>
    </row>
    <row r="387" spans="1:6" ht="12.75" x14ac:dyDescent="0.2">
      <c r="A387" s="24"/>
      <c r="B387" s="24"/>
      <c r="D387" s="25"/>
      <c r="E387" s="24"/>
      <c r="F387" s="24"/>
    </row>
    <row r="388" spans="1:6" ht="12.75" x14ac:dyDescent="0.2">
      <c r="A388" s="24"/>
      <c r="B388" s="24"/>
      <c r="D388" s="25"/>
      <c r="E388" s="24"/>
      <c r="F388" s="24"/>
    </row>
    <row r="389" spans="1:6" ht="12.75" x14ac:dyDescent="0.2">
      <c r="A389" s="24"/>
      <c r="B389" s="24"/>
      <c r="D389" s="25"/>
      <c r="E389" s="24"/>
      <c r="F389" s="24"/>
    </row>
    <row r="390" spans="1:6" ht="12.75" x14ac:dyDescent="0.2">
      <c r="A390" s="24"/>
      <c r="B390" s="24"/>
      <c r="D390" s="25"/>
      <c r="E390" s="24"/>
      <c r="F390" s="24"/>
    </row>
    <row r="391" spans="1:6" ht="12.75" x14ac:dyDescent="0.2">
      <c r="A391" s="24"/>
      <c r="B391" s="24"/>
      <c r="D391" s="25"/>
      <c r="E391" s="24"/>
      <c r="F391" s="24"/>
    </row>
    <row r="392" spans="1:6" ht="12.75" x14ac:dyDescent="0.2">
      <c r="A392" s="24"/>
      <c r="B392" s="24"/>
      <c r="D392" s="25"/>
      <c r="E392" s="24"/>
      <c r="F392" s="24"/>
    </row>
    <row r="393" spans="1:6" ht="12.75" x14ac:dyDescent="0.2">
      <c r="A393" s="24"/>
      <c r="B393" s="24"/>
      <c r="D393" s="25"/>
      <c r="E393" s="24"/>
      <c r="F393" s="24"/>
    </row>
    <row r="394" spans="1:6" ht="12.75" x14ac:dyDescent="0.2">
      <c r="A394" s="24"/>
      <c r="B394" s="24"/>
      <c r="D394" s="25"/>
      <c r="E394" s="24"/>
      <c r="F394" s="24"/>
    </row>
    <row r="395" spans="1:6" ht="12.75" x14ac:dyDescent="0.2">
      <c r="A395" s="24"/>
      <c r="B395" s="24"/>
      <c r="D395" s="25"/>
      <c r="E395" s="24"/>
      <c r="F395" s="24"/>
    </row>
    <row r="396" spans="1:6" ht="12.75" x14ac:dyDescent="0.2">
      <c r="A396" s="24"/>
      <c r="B396" s="24"/>
      <c r="D396" s="25"/>
      <c r="E396" s="24"/>
      <c r="F396" s="24"/>
    </row>
    <row r="397" spans="1:6" ht="12.75" x14ac:dyDescent="0.2">
      <c r="A397" s="24"/>
      <c r="B397" s="24"/>
      <c r="D397" s="25"/>
      <c r="E397" s="24"/>
      <c r="F397" s="24"/>
    </row>
    <row r="398" spans="1:6" ht="12.75" x14ac:dyDescent="0.2">
      <c r="A398" s="24"/>
      <c r="B398" s="24"/>
      <c r="D398" s="25"/>
      <c r="E398" s="24"/>
      <c r="F398" s="24"/>
    </row>
    <row r="399" spans="1:6" ht="12.75" x14ac:dyDescent="0.2">
      <c r="A399" s="24"/>
      <c r="B399" s="24"/>
      <c r="D399" s="25"/>
      <c r="E399" s="24"/>
      <c r="F399" s="24"/>
    </row>
    <row r="400" spans="1:6" ht="12.75" x14ac:dyDescent="0.2">
      <c r="A400" s="24"/>
      <c r="B400" s="24"/>
      <c r="D400" s="25"/>
      <c r="E400" s="24"/>
      <c r="F400" s="24"/>
    </row>
    <row r="401" spans="1:6" ht="12.75" x14ac:dyDescent="0.2">
      <c r="A401" s="24"/>
      <c r="B401" s="24"/>
      <c r="D401" s="25"/>
      <c r="E401" s="24"/>
      <c r="F401" s="24"/>
    </row>
    <row r="402" spans="1:6" ht="12.75" x14ac:dyDescent="0.2">
      <c r="A402" s="24"/>
      <c r="B402" s="24"/>
      <c r="D402" s="25"/>
      <c r="E402" s="24"/>
      <c r="F402" s="24"/>
    </row>
    <row r="403" spans="1:6" ht="12.75" x14ac:dyDescent="0.2">
      <c r="A403" s="24"/>
      <c r="B403" s="24"/>
      <c r="D403" s="25"/>
      <c r="E403" s="24"/>
      <c r="F403" s="24"/>
    </row>
    <row r="404" spans="1:6" ht="12.75" x14ac:dyDescent="0.2">
      <c r="A404" s="24"/>
      <c r="B404" s="24"/>
      <c r="D404" s="25"/>
      <c r="E404" s="24"/>
      <c r="F404" s="24"/>
    </row>
    <row r="405" spans="1:6" ht="12.75" x14ac:dyDescent="0.2">
      <c r="A405" s="24"/>
      <c r="B405" s="24"/>
      <c r="D405" s="25"/>
      <c r="E405" s="24"/>
      <c r="F405" s="24"/>
    </row>
    <row r="406" spans="1:6" ht="12.75" x14ac:dyDescent="0.2">
      <c r="A406" s="24"/>
      <c r="B406" s="24"/>
      <c r="D406" s="25"/>
      <c r="E406" s="24"/>
      <c r="F406" s="24"/>
    </row>
    <row r="407" spans="1:6" ht="12.75" x14ac:dyDescent="0.2">
      <c r="A407" s="24"/>
      <c r="B407" s="24"/>
      <c r="D407" s="25"/>
      <c r="E407" s="24"/>
      <c r="F407" s="24"/>
    </row>
    <row r="408" spans="1:6" ht="12.75" x14ac:dyDescent="0.2">
      <c r="A408" s="24"/>
      <c r="B408" s="24"/>
      <c r="D408" s="25"/>
      <c r="E408" s="24"/>
      <c r="F408" s="24"/>
    </row>
    <row r="409" spans="1:6" ht="12.75" x14ac:dyDescent="0.2">
      <c r="A409" s="24"/>
      <c r="B409" s="24"/>
      <c r="D409" s="25"/>
      <c r="E409" s="24"/>
      <c r="F409" s="24"/>
    </row>
    <row r="410" spans="1:6" ht="12.75" x14ac:dyDescent="0.2">
      <c r="A410" s="24"/>
      <c r="B410" s="24"/>
      <c r="D410" s="25"/>
      <c r="E410" s="24"/>
      <c r="F410" s="24"/>
    </row>
    <row r="411" spans="1:6" ht="12.75" x14ac:dyDescent="0.2">
      <c r="A411" s="24"/>
      <c r="B411" s="24"/>
      <c r="D411" s="25"/>
      <c r="E411" s="24"/>
      <c r="F411" s="24"/>
    </row>
    <row r="412" spans="1:6" ht="12.75" x14ac:dyDescent="0.2">
      <c r="A412" s="24"/>
      <c r="B412" s="24"/>
      <c r="D412" s="25"/>
      <c r="E412" s="24"/>
      <c r="F412" s="24"/>
    </row>
    <row r="413" spans="1:6" ht="12.75" x14ac:dyDescent="0.2">
      <c r="A413" s="24"/>
      <c r="B413" s="24"/>
      <c r="D413" s="25"/>
      <c r="E413" s="24"/>
      <c r="F413" s="24"/>
    </row>
    <row r="414" spans="1:6" ht="12.75" x14ac:dyDescent="0.2">
      <c r="A414" s="24"/>
      <c r="B414" s="24"/>
      <c r="D414" s="25"/>
      <c r="E414" s="24"/>
      <c r="F414" s="24"/>
    </row>
    <row r="415" spans="1:6" ht="12.75" x14ac:dyDescent="0.2">
      <c r="A415" s="24"/>
      <c r="B415" s="24"/>
      <c r="D415" s="25"/>
      <c r="E415" s="24"/>
      <c r="F415" s="24"/>
    </row>
    <row r="416" spans="1:6" ht="12.75" x14ac:dyDescent="0.2">
      <c r="A416" s="24"/>
      <c r="B416" s="24"/>
      <c r="D416" s="25"/>
      <c r="E416" s="24"/>
      <c r="F416" s="24"/>
    </row>
    <row r="417" spans="1:6" ht="12.75" x14ac:dyDescent="0.2">
      <c r="A417" s="24"/>
      <c r="B417" s="24"/>
      <c r="D417" s="25"/>
      <c r="E417" s="24"/>
      <c r="F417" s="24"/>
    </row>
    <row r="418" spans="1:6" ht="12.75" x14ac:dyDescent="0.2">
      <c r="A418" s="24"/>
      <c r="B418" s="24"/>
      <c r="D418" s="25"/>
      <c r="E418" s="24"/>
      <c r="F418" s="24"/>
    </row>
    <row r="419" spans="1:6" ht="12.75" x14ac:dyDescent="0.2">
      <c r="A419" s="24"/>
      <c r="B419" s="24"/>
      <c r="D419" s="25"/>
      <c r="E419" s="24"/>
      <c r="F419" s="24"/>
    </row>
    <row r="420" spans="1:6" ht="12.75" x14ac:dyDescent="0.2">
      <c r="A420" s="24"/>
      <c r="B420" s="24"/>
      <c r="D420" s="25"/>
      <c r="E420" s="24"/>
      <c r="F420" s="24"/>
    </row>
    <row r="421" spans="1:6" ht="12.75" x14ac:dyDescent="0.2">
      <c r="A421" s="24"/>
      <c r="B421" s="24"/>
      <c r="D421" s="25"/>
      <c r="E421" s="24"/>
      <c r="F421" s="24"/>
    </row>
    <row r="422" spans="1:6" ht="12.75" x14ac:dyDescent="0.2">
      <c r="A422" s="24"/>
      <c r="B422" s="24"/>
      <c r="D422" s="25"/>
      <c r="E422" s="24"/>
      <c r="F422" s="24"/>
    </row>
    <row r="423" spans="1:6" ht="12.75" x14ac:dyDescent="0.2">
      <c r="A423" s="24"/>
      <c r="B423" s="24"/>
      <c r="D423" s="25"/>
      <c r="E423" s="24"/>
      <c r="F423" s="24"/>
    </row>
    <row r="424" spans="1:6" ht="12.75" x14ac:dyDescent="0.2">
      <c r="A424" s="24"/>
      <c r="B424" s="24"/>
      <c r="D424" s="25"/>
      <c r="E424" s="24"/>
      <c r="F424" s="24"/>
    </row>
    <row r="425" spans="1:6" ht="12.75" x14ac:dyDescent="0.2">
      <c r="A425" s="24"/>
      <c r="B425" s="24"/>
      <c r="D425" s="25"/>
      <c r="E425" s="24"/>
      <c r="F425" s="24"/>
    </row>
    <row r="426" spans="1:6" ht="12.75" x14ac:dyDescent="0.2">
      <c r="A426" s="24"/>
      <c r="B426" s="24"/>
      <c r="D426" s="25"/>
      <c r="E426" s="24"/>
      <c r="F426" s="24"/>
    </row>
    <row r="427" spans="1:6" ht="12.75" x14ac:dyDescent="0.2">
      <c r="A427" s="24"/>
      <c r="B427" s="24"/>
      <c r="D427" s="25"/>
      <c r="E427" s="24"/>
      <c r="F427" s="24"/>
    </row>
    <row r="428" spans="1:6" ht="12.75" x14ac:dyDescent="0.2">
      <c r="A428" s="24"/>
      <c r="B428" s="24"/>
      <c r="D428" s="25"/>
      <c r="E428" s="24"/>
      <c r="F428" s="24"/>
    </row>
    <row r="429" spans="1:6" ht="12.75" x14ac:dyDescent="0.2">
      <c r="A429" s="24"/>
      <c r="B429" s="24"/>
      <c r="D429" s="25"/>
      <c r="E429" s="24"/>
      <c r="F429" s="24"/>
    </row>
    <row r="430" spans="1:6" ht="12.75" x14ac:dyDescent="0.2">
      <c r="A430" s="24"/>
      <c r="B430" s="24"/>
      <c r="D430" s="25"/>
      <c r="E430" s="24"/>
      <c r="F430" s="24"/>
    </row>
    <row r="431" spans="1:6" ht="12.75" x14ac:dyDescent="0.2">
      <c r="A431" s="24"/>
      <c r="B431" s="24"/>
      <c r="D431" s="25"/>
      <c r="E431" s="24"/>
      <c r="F431" s="24"/>
    </row>
    <row r="432" spans="1:6" ht="12.75" x14ac:dyDescent="0.2">
      <c r="A432" s="24"/>
      <c r="B432" s="24"/>
      <c r="D432" s="25"/>
      <c r="E432" s="24"/>
      <c r="F432" s="24"/>
    </row>
    <row r="433" spans="1:6" ht="12.75" x14ac:dyDescent="0.2">
      <c r="A433" s="24"/>
      <c r="B433" s="24"/>
      <c r="D433" s="25"/>
      <c r="E433" s="24"/>
      <c r="F433" s="24"/>
    </row>
    <row r="434" spans="1:6" ht="12.75" x14ac:dyDescent="0.2">
      <c r="A434" s="24"/>
      <c r="B434" s="24"/>
      <c r="D434" s="25"/>
      <c r="E434" s="24"/>
      <c r="F434" s="24"/>
    </row>
    <row r="435" spans="1:6" ht="12.75" x14ac:dyDescent="0.2">
      <c r="A435" s="24"/>
      <c r="B435" s="24"/>
      <c r="D435" s="25"/>
      <c r="E435" s="24"/>
      <c r="F435" s="24"/>
    </row>
    <row r="436" spans="1:6" ht="12.75" x14ac:dyDescent="0.2">
      <c r="A436" s="24"/>
      <c r="B436" s="24"/>
      <c r="D436" s="25"/>
      <c r="E436" s="24"/>
      <c r="F436" s="24"/>
    </row>
    <row r="437" spans="1:6" ht="12.75" x14ac:dyDescent="0.2">
      <c r="A437" s="24"/>
      <c r="B437" s="24"/>
      <c r="D437" s="25"/>
      <c r="E437" s="24"/>
      <c r="F437" s="24"/>
    </row>
    <row r="438" spans="1:6" ht="12.75" x14ac:dyDescent="0.2">
      <c r="A438" s="24"/>
      <c r="B438" s="24"/>
      <c r="D438" s="25"/>
      <c r="E438" s="24"/>
      <c r="F438" s="24"/>
    </row>
    <row r="439" spans="1:6" ht="12.75" x14ac:dyDescent="0.2">
      <c r="A439" s="24"/>
      <c r="B439" s="24"/>
      <c r="D439" s="25"/>
      <c r="E439" s="24"/>
      <c r="F439" s="24"/>
    </row>
    <row r="440" spans="1:6" ht="12.75" x14ac:dyDescent="0.2">
      <c r="A440" s="24"/>
      <c r="B440" s="24"/>
      <c r="D440" s="25"/>
      <c r="E440" s="24"/>
      <c r="F440" s="24"/>
    </row>
    <row r="441" spans="1:6" ht="12.75" x14ac:dyDescent="0.2">
      <c r="A441" s="24"/>
      <c r="B441" s="24"/>
      <c r="D441" s="25"/>
      <c r="E441" s="24"/>
      <c r="F441" s="24"/>
    </row>
    <row r="442" spans="1:6" ht="12.75" x14ac:dyDescent="0.2">
      <c r="A442" s="24"/>
      <c r="B442" s="24"/>
      <c r="D442" s="25"/>
      <c r="E442" s="24"/>
      <c r="F442" s="24"/>
    </row>
    <row r="443" spans="1:6" ht="12.75" x14ac:dyDescent="0.2">
      <c r="A443" s="24"/>
      <c r="B443" s="24"/>
      <c r="D443" s="25"/>
      <c r="E443" s="24"/>
      <c r="F443" s="24"/>
    </row>
    <row r="444" spans="1:6" ht="12.75" x14ac:dyDescent="0.2">
      <c r="A444" s="24"/>
      <c r="B444" s="24"/>
      <c r="D444" s="25"/>
      <c r="E444" s="24"/>
      <c r="F444" s="24"/>
    </row>
    <row r="445" spans="1:6" ht="12.75" x14ac:dyDescent="0.2">
      <c r="A445" s="24"/>
      <c r="B445" s="24"/>
      <c r="D445" s="25"/>
      <c r="E445" s="24"/>
      <c r="F445" s="24"/>
    </row>
    <row r="446" spans="1:6" ht="12.75" x14ac:dyDescent="0.2">
      <c r="A446" s="24"/>
      <c r="B446" s="24"/>
      <c r="D446" s="25"/>
      <c r="E446" s="24"/>
      <c r="F446" s="24"/>
    </row>
    <row r="447" spans="1:6" ht="12.75" x14ac:dyDescent="0.2">
      <c r="A447" s="24"/>
      <c r="B447" s="24"/>
      <c r="D447" s="25"/>
      <c r="E447" s="24"/>
      <c r="F447" s="24"/>
    </row>
    <row r="448" spans="1:6" ht="12.75" x14ac:dyDescent="0.2">
      <c r="A448" s="24"/>
      <c r="B448" s="24"/>
      <c r="D448" s="25"/>
      <c r="E448" s="24"/>
      <c r="F448" s="24"/>
    </row>
    <row r="449" spans="1:6" ht="12.75" x14ac:dyDescent="0.2">
      <c r="A449" s="24"/>
      <c r="B449" s="24"/>
      <c r="D449" s="25"/>
      <c r="E449" s="24"/>
      <c r="F449" s="24"/>
    </row>
    <row r="450" spans="1:6" ht="12.75" x14ac:dyDescent="0.2">
      <c r="A450" s="24"/>
      <c r="B450" s="24"/>
      <c r="D450" s="25"/>
      <c r="E450" s="24"/>
      <c r="F450" s="24"/>
    </row>
    <row r="451" spans="1:6" ht="12.75" x14ac:dyDescent="0.2">
      <c r="A451" s="24"/>
      <c r="B451" s="24"/>
      <c r="D451" s="25"/>
      <c r="E451" s="24"/>
      <c r="F451" s="24"/>
    </row>
    <row r="452" spans="1:6" ht="12.75" x14ac:dyDescent="0.2">
      <c r="A452" s="24"/>
      <c r="B452" s="24"/>
      <c r="D452" s="25"/>
      <c r="E452" s="24"/>
      <c r="F452" s="24"/>
    </row>
    <row r="453" spans="1:6" ht="12.75" x14ac:dyDescent="0.2">
      <c r="A453" s="24"/>
      <c r="B453" s="24"/>
      <c r="D453" s="25"/>
      <c r="E453" s="24"/>
      <c r="F453" s="24"/>
    </row>
    <row r="454" spans="1:6" ht="12.75" x14ac:dyDescent="0.2">
      <c r="A454" s="24"/>
      <c r="B454" s="24"/>
      <c r="D454" s="25"/>
      <c r="E454" s="24"/>
      <c r="F454" s="24"/>
    </row>
    <row r="455" spans="1:6" ht="12.75" x14ac:dyDescent="0.2">
      <c r="A455" s="24"/>
      <c r="B455" s="24"/>
      <c r="D455" s="25"/>
      <c r="E455" s="24"/>
      <c r="F455" s="24"/>
    </row>
    <row r="456" spans="1:6" ht="12.75" x14ac:dyDescent="0.2">
      <c r="A456" s="24"/>
      <c r="B456" s="24"/>
      <c r="D456" s="25"/>
      <c r="E456" s="24"/>
      <c r="F456" s="24"/>
    </row>
    <row r="457" spans="1:6" ht="12.75" x14ac:dyDescent="0.2">
      <c r="A457" s="24"/>
      <c r="B457" s="24"/>
      <c r="D457" s="25"/>
      <c r="E457" s="24"/>
      <c r="F457" s="24"/>
    </row>
    <row r="458" spans="1:6" ht="12.75" x14ac:dyDescent="0.2">
      <c r="A458" s="24"/>
      <c r="B458" s="24"/>
      <c r="D458" s="25"/>
      <c r="E458" s="24"/>
      <c r="F458" s="24"/>
    </row>
    <row r="459" spans="1:6" ht="12.75" x14ac:dyDescent="0.2">
      <c r="A459" s="24"/>
      <c r="B459" s="24"/>
      <c r="D459" s="25"/>
      <c r="E459" s="24"/>
      <c r="F459" s="24"/>
    </row>
    <row r="460" spans="1:6" ht="12.75" x14ac:dyDescent="0.2">
      <c r="A460" s="24"/>
      <c r="B460" s="24"/>
      <c r="D460" s="25"/>
      <c r="E460" s="24"/>
      <c r="F460" s="24"/>
    </row>
    <row r="461" spans="1:6" ht="12.75" x14ac:dyDescent="0.2">
      <c r="A461" s="24"/>
      <c r="B461" s="24"/>
      <c r="D461" s="25"/>
      <c r="E461" s="24"/>
      <c r="F461" s="24"/>
    </row>
    <row r="462" spans="1:6" ht="12.75" x14ac:dyDescent="0.2">
      <c r="A462" s="24"/>
      <c r="B462" s="24"/>
      <c r="D462" s="25"/>
      <c r="E462" s="24"/>
      <c r="F462" s="24"/>
    </row>
    <row r="463" spans="1:6" ht="12.75" x14ac:dyDescent="0.2">
      <c r="A463" s="24"/>
      <c r="B463" s="24"/>
      <c r="D463" s="25"/>
      <c r="E463" s="24"/>
      <c r="F463" s="24"/>
    </row>
    <row r="464" spans="1:6" ht="12.75" x14ac:dyDescent="0.2">
      <c r="A464" s="24"/>
      <c r="B464" s="24"/>
      <c r="D464" s="25"/>
      <c r="E464" s="24"/>
      <c r="F464" s="24"/>
    </row>
    <row r="465" spans="1:6" ht="12.75" x14ac:dyDescent="0.2">
      <c r="A465" s="24"/>
      <c r="B465" s="24"/>
      <c r="D465" s="25"/>
      <c r="E465" s="24"/>
      <c r="F465" s="24"/>
    </row>
    <row r="466" spans="1:6" ht="12.75" x14ac:dyDescent="0.2">
      <c r="A466" s="24"/>
      <c r="B466" s="24"/>
      <c r="D466" s="25"/>
      <c r="E466" s="24"/>
      <c r="F466" s="24"/>
    </row>
    <row r="467" spans="1:6" ht="12.75" x14ac:dyDescent="0.2">
      <c r="A467" s="24"/>
      <c r="B467" s="24"/>
      <c r="D467" s="25"/>
      <c r="E467" s="24"/>
      <c r="F467" s="24"/>
    </row>
    <row r="468" spans="1:6" ht="12.75" x14ac:dyDescent="0.2">
      <c r="A468" s="24"/>
      <c r="B468" s="24"/>
      <c r="D468" s="25"/>
      <c r="E468" s="24"/>
      <c r="F468" s="24"/>
    </row>
    <row r="469" spans="1:6" ht="12.75" x14ac:dyDescent="0.2">
      <c r="A469" s="24"/>
      <c r="B469" s="24"/>
      <c r="D469" s="25"/>
      <c r="E469" s="24"/>
      <c r="F469" s="24"/>
    </row>
    <row r="470" spans="1:6" ht="12.75" x14ac:dyDescent="0.2">
      <c r="A470" s="24"/>
      <c r="B470" s="24"/>
      <c r="D470" s="25"/>
      <c r="E470" s="24"/>
      <c r="F470" s="24"/>
    </row>
    <row r="471" spans="1:6" ht="12.75" x14ac:dyDescent="0.2">
      <c r="A471" s="24"/>
      <c r="B471" s="24"/>
      <c r="D471" s="25"/>
      <c r="E471" s="24"/>
      <c r="F471" s="24"/>
    </row>
    <row r="472" spans="1:6" ht="12.75" x14ac:dyDescent="0.2">
      <c r="A472" s="24"/>
      <c r="B472" s="24"/>
      <c r="D472" s="25"/>
      <c r="E472" s="24"/>
      <c r="F472" s="24"/>
    </row>
    <row r="473" spans="1:6" ht="12.75" x14ac:dyDescent="0.2">
      <c r="A473" s="24"/>
      <c r="B473" s="24"/>
      <c r="D473" s="25"/>
      <c r="E473" s="24"/>
      <c r="F473" s="24"/>
    </row>
    <row r="474" spans="1:6" ht="12.75" x14ac:dyDescent="0.2">
      <c r="A474" s="24"/>
      <c r="B474" s="24"/>
      <c r="D474" s="25"/>
      <c r="E474" s="24"/>
      <c r="F474" s="24"/>
    </row>
    <row r="475" spans="1:6" ht="12.75" x14ac:dyDescent="0.2">
      <c r="A475" s="24"/>
      <c r="B475" s="24"/>
      <c r="D475" s="25"/>
      <c r="E475" s="24"/>
      <c r="F475" s="24"/>
    </row>
    <row r="476" spans="1:6" ht="12.75" x14ac:dyDescent="0.2">
      <c r="A476" s="24"/>
      <c r="B476" s="24"/>
      <c r="D476" s="25"/>
      <c r="E476" s="24"/>
      <c r="F476" s="24"/>
    </row>
    <row r="477" spans="1:6" ht="12.75" x14ac:dyDescent="0.2">
      <c r="A477" s="24"/>
      <c r="B477" s="24"/>
      <c r="D477" s="25"/>
      <c r="E477" s="24"/>
      <c r="F477" s="24"/>
    </row>
    <row r="478" spans="1:6" ht="12.75" x14ac:dyDescent="0.2">
      <c r="A478" s="24"/>
      <c r="B478" s="24"/>
      <c r="D478" s="25"/>
      <c r="E478" s="24"/>
      <c r="F478" s="24"/>
    </row>
    <row r="479" spans="1:6" ht="12.75" x14ac:dyDescent="0.2">
      <c r="A479" s="24"/>
      <c r="B479" s="24"/>
      <c r="D479" s="25"/>
      <c r="E479" s="24"/>
      <c r="F479" s="24"/>
    </row>
    <row r="480" spans="1:6" ht="12.75" x14ac:dyDescent="0.2">
      <c r="A480" s="24"/>
      <c r="B480" s="24"/>
      <c r="D480" s="25"/>
      <c r="E480" s="24"/>
      <c r="F480" s="24"/>
    </row>
    <row r="481" spans="1:6" ht="12.75" x14ac:dyDescent="0.2">
      <c r="A481" s="24"/>
      <c r="B481" s="24"/>
      <c r="D481" s="25"/>
      <c r="E481" s="24"/>
      <c r="F481" s="24"/>
    </row>
    <row r="482" spans="1:6" ht="12.75" x14ac:dyDescent="0.2">
      <c r="A482" s="24"/>
      <c r="B482" s="24"/>
      <c r="D482" s="25"/>
      <c r="E482" s="24"/>
      <c r="F482" s="24"/>
    </row>
    <row r="483" spans="1:6" ht="12.75" x14ac:dyDescent="0.2">
      <c r="A483" s="24"/>
      <c r="B483" s="24"/>
      <c r="D483" s="25"/>
      <c r="E483" s="24"/>
      <c r="F483" s="24"/>
    </row>
    <row r="484" spans="1:6" ht="12.75" x14ac:dyDescent="0.2">
      <c r="A484" s="24"/>
      <c r="B484" s="24"/>
      <c r="D484" s="25"/>
      <c r="E484" s="24"/>
      <c r="F484" s="24"/>
    </row>
    <row r="485" spans="1:6" ht="12.75" x14ac:dyDescent="0.2">
      <c r="A485" s="24"/>
      <c r="B485" s="24"/>
      <c r="D485" s="25"/>
      <c r="E485" s="24"/>
      <c r="F485" s="24"/>
    </row>
    <row r="486" spans="1:6" ht="12.75" x14ac:dyDescent="0.2">
      <c r="A486" s="24"/>
      <c r="B486" s="24"/>
      <c r="D486" s="25"/>
      <c r="E486" s="24"/>
      <c r="F486" s="24"/>
    </row>
    <row r="487" spans="1:6" ht="12.75" x14ac:dyDescent="0.2">
      <c r="A487" s="24"/>
      <c r="B487" s="24"/>
      <c r="D487" s="25"/>
      <c r="E487" s="24"/>
      <c r="F487" s="24"/>
    </row>
    <row r="488" spans="1:6" ht="12.75" x14ac:dyDescent="0.2">
      <c r="A488" s="24"/>
      <c r="B488" s="24"/>
      <c r="D488" s="25"/>
      <c r="E488" s="24"/>
      <c r="F488" s="24"/>
    </row>
    <row r="489" spans="1:6" ht="12.75" x14ac:dyDescent="0.2">
      <c r="A489" s="24"/>
      <c r="B489" s="24"/>
      <c r="D489" s="25"/>
      <c r="E489" s="24"/>
      <c r="F489" s="24"/>
    </row>
    <row r="490" spans="1:6" ht="12.75" x14ac:dyDescent="0.2">
      <c r="A490" s="24"/>
      <c r="B490" s="24"/>
      <c r="D490" s="25"/>
      <c r="E490" s="24"/>
      <c r="F490" s="24"/>
    </row>
    <row r="491" spans="1:6" ht="12.75" x14ac:dyDescent="0.2">
      <c r="A491" s="24"/>
      <c r="B491" s="24"/>
      <c r="D491" s="25"/>
      <c r="E491" s="24"/>
      <c r="F491" s="24"/>
    </row>
    <row r="492" spans="1:6" ht="12.75" x14ac:dyDescent="0.2">
      <c r="A492" s="24"/>
      <c r="B492" s="24"/>
      <c r="D492" s="25"/>
      <c r="E492" s="24"/>
      <c r="F492" s="24"/>
    </row>
    <row r="493" spans="1:6" ht="12.75" x14ac:dyDescent="0.2">
      <c r="A493" s="24"/>
      <c r="B493" s="24"/>
      <c r="D493" s="25"/>
      <c r="E493" s="24"/>
      <c r="F493" s="24"/>
    </row>
    <row r="494" spans="1:6" ht="12.75" x14ac:dyDescent="0.2">
      <c r="A494" s="24"/>
      <c r="B494" s="24"/>
      <c r="D494" s="25"/>
      <c r="E494" s="24"/>
      <c r="F494" s="24"/>
    </row>
    <row r="495" spans="1:6" ht="12.75" x14ac:dyDescent="0.2">
      <c r="A495" s="24"/>
      <c r="B495" s="24"/>
      <c r="D495" s="25"/>
      <c r="E495" s="24"/>
      <c r="F495" s="24"/>
    </row>
    <row r="496" spans="1:6" ht="12.75" x14ac:dyDescent="0.2">
      <c r="A496" s="24"/>
      <c r="B496" s="24"/>
      <c r="D496" s="25"/>
      <c r="E496" s="24"/>
      <c r="F496" s="24"/>
    </row>
    <row r="497" spans="1:6" ht="12.75" x14ac:dyDescent="0.2">
      <c r="A497" s="24"/>
      <c r="B497" s="24"/>
      <c r="D497" s="25"/>
      <c r="E497" s="24"/>
      <c r="F497" s="24"/>
    </row>
    <row r="498" spans="1:6" ht="12.75" x14ac:dyDescent="0.2">
      <c r="A498" s="24"/>
      <c r="B498" s="24"/>
      <c r="D498" s="25"/>
      <c r="E498" s="24"/>
      <c r="F498" s="24"/>
    </row>
    <row r="499" spans="1:6" ht="12.75" x14ac:dyDescent="0.2">
      <c r="A499" s="24"/>
      <c r="B499" s="24"/>
      <c r="D499" s="25"/>
      <c r="E499" s="24"/>
      <c r="F499" s="24"/>
    </row>
    <row r="500" spans="1:6" ht="12.75" x14ac:dyDescent="0.2">
      <c r="A500" s="24"/>
      <c r="B500" s="24"/>
      <c r="D500" s="25"/>
      <c r="E500" s="24"/>
      <c r="F500" s="24"/>
    </row>
    <row r="501" spans="1:6" ht="12.75" x14ac:dyDescent="0.2">
      <c r="A501" s="24"/>
      <c r="B501" s="24"/>
      <c r="D501" s="25"/>
      <c r="E501" s="24"/>
      <c r="F501" s="24"/>
    </row>
    <row r="502" spans="1:6" ht="12.75" x14ac:dyDescent="0.2">
      <c r="A502" s="24"/>
      <c r="B502" s="24"/>
      <c r="D502" s="25"/>
      <c r="E502" s="24"/>
      <c r="F502" s="24"/>
    </row>
    <row r="503" spans="1:6" ht="12.75" x14ac:dyDescent="0.2">
      <c r="A503" s="24"/>
      <c r="B503" s="24"/>
      <c r="D503" s="25"/>
      <c r="E503" s="24"/>
      <c r="F503" s="24"/>
    </row>
    <row r="504" spans="1:6" ht="12.75" x14ac:dyDescent="0.2">
      <c r="A504" s="24"/>
      <c r="B504" s="24"/>
      <c r="D504" s="25"/>
      <c r="E504" s="24"/>
      <c r="F504" s="24"/>
    </row>
    <row r="505" spans="1:6" ht="12.75" x14ac:dyDescent="0.2">
      <c r="A505" s="24"/>
      <c r="B505" s="24"/>
      <c r="D505" s="25"/>
      <c r="E505" s="24"/>
      <c r="F505" s="24"/>
    </row>
    <row r="506" spans="1:6" ht="12.75" x14ac:dyDescent="0.2">
      <c r="A506" s="24"/>
      <c r="B506" s="24"/>
      <c r="D506" s="25"/>
      <c r="E506" s="24"/>
      <c r="F506" s="24"/>
    </row>
    <row r="507" spans="1:6" ht="12.75" x14ac:dyDescent="0.2">
      <c r="A507" s="24"/>
      <c r="B507" s="24"/>
      <c r="D507" s="25"/>
      <c r="E507" s="24"/>
      <c r="F507" s="24"/>
    </row>
    <row r="508" spans="1:6" ht="12.75" x14ac:dyDescent="0.2">
      <c r="A508" s="24"/>
      <c r="B508" s="24"/>
      <c r="D508" s="25"/>
      <c r="E508" s="24"/>
      <c r="F508" s="24"/>
    </row>
    <row r="509" spans="1:6" ht="12.75" x14ac:dyDescent="0.2">
      <c r="A509" s="24"/>
      <c r="B509" s="24"/>
      <c r="D509" s="25"/>
      <c r="E509" s="24"/>
      <c r="F509" s="24"/>
    </row>
    <row r="510" spans="1:6" ht="12.75" x14ac:dyDescent="0.2">
      <c r="A510" s="24"/>
      <c r="B510" s="24"/>
      <c r="D510" s="25"/>
      <c r="E510" s="24"/>
      <c r="F510" s="24"/>
    </row>
    <row r="511" spans="1:6" ht="12.75" x14ac:dyDescent="0.2">
      <c r="A511" s="24"/>
      <c r="B511" s="24"/>
      <c r="D511" s="25"/>
      <c r="E511" s="24"/>
      <c r="F511" s="24"/>
    </row>
    <row r="512" spans="1:6" ht="12.75" x14ac:dyDescent="0.2">
      <c r="A512" s="24"/>
      <c r="B512" s="24"/>
      <c r="D512" s="25"/>
      <c r="E512" s="24"/>
      <c r="F512" s="24"/>
    </row>
    <row r="513" spans="1:6" ht="12.75" x14ac:dyDescent="0.2">
      <c r="A513" s="24"/>
      <c r="B513" s="24"/>
      <c r="D513" s="25"/>
      <c r="E513" s="24"/>
      <c r="F513" s="24"/>
    </row>
    <row r="514" spans="1:6" ht="12.75" x14ac:dyDescent="0.2">
      <c r="A514" s="24"/>
      <c r="B514" s="24"/>
      <c r="D514" s="25"/>
      <c r="E514" s="24"/>
      <c r="F514" s="24"/>
    </row>
    <row r="515" spans="1:6" ht="12.75" x14ac:dyDescent="0.2">
      <c r="A515" s="24"/>
      <c r="B515" s="24"/>
      <c r="D515" s="25"/>
      <c r="E515" s="24"/>
      <c r="F515" s="24"/>
    </row>
    <row r="516" spans="1:6" ht="12.75" x14ac:dyDescent="0.2">
      <c r="A516" s="24"/>
      <c r="B516" s="24"/>
      <c r="D516" s="25"/>
      <c r="E516" s="24"/>
      <c r="F516" s="24"/>
    </row>
    <row r="517" spans="1:6" ht="12.75" x14ac:dyDescent="0.2">
      <c r="A517" s="24"/>
      <c r="B517" s="24"/>
      <c r="D517" s="25"/>
      <c r="E517" s="24"/>
      <c r="F517" s="24"/>
    </row>
    <row r="518" spans="1:6" ht="12.75" x14ac:dyDescent="0.2">
      <c r="A518" s="24"/>
      <c r="B518" s="24"/>
      <c r="D518" s="25"/>
      <c r="E518" s="24"/>
      <c r="F518" s="24"/>
    </row>
    <row r="519" spans="1:6" ht="12.75" x14ac:dyDescent="0.2">
      <c r="A519" s="24"/>
      <c r="B519" s="24"/>
      <c r="D519" s="25"/>
      <c r="E519" s="24"/>
      <c r="F519" s="24"/>
    </row>
    <row r="520" spans="1:6" ht="12.75" x14ac:dyDescent="0.2">
      <c r="A520" s="24"/>
      <c r="B520" s="24"/>
      <c r="D520" s="25"/>
      <c r="E520" s="24"/>
      <c r="F520" s="24"/>
    </row>
    <row r="521" spans="1:6" ht="12.75" x14ac:dyDescent="0.2">
      <c r="A521" s="24"/>
      <c r="B521" s="24"/>
      <c r="D521" s="25"/>
      <c r="E521" s="24"/>
      <c r="F521" s="24"/>
    </row>
    <row r="522" spans="1:6" ht="12.75" x14ac:dyDescent="0.2">
      <c r="A522" s="24"/>
      <c r="B522" s="24"/>
      <c r="D522" s="25"/>
      <c r="E522" s="24"/>
      <c r="F522" s="24"/>
    </row>
    <row r="523" spans="1:6" ht="12.75" x14ac:dyDescent="0.2">
      <c r="A523" s="24"/>
      <c r="B523" s="24"/>
      <c r="D523" s="25"/>
      <c r="E523" s="24"/>
      <c r="F523" s="24"/>
    </row>
    <row r="524" spans="1:6" ht="12.75" x14ac:dyDescent="0.2">
      <c r="A524" s="24"/>
      <c r="B524" s="24"/>
      <c r="D524" s="25"/>
      <c r="E524" s="24"/>
      <c r="F524" s="24"/>
    </row>
    <row r="525" spans="1:6" ht="12.75" x14ac:dyDescent="0.2">
      <c r="A525" s="24"/>
      <c r="B525" s="24"/>
      <c r="D525" s="25"/>
      <c r="E525" s="24"/>
      <c r="F525" s="24"/>
    </row>
    <row r="526" spans="1:6" ht="12.75" x14ac:dyDescent="0.2">
      <c r="A526" s="24"/>
      <c r="B526" s="24"/>
      <c r="D526" s="25"/>
      <c r="E526" s="24"/>
      <c r="F526" s="24"/>
    </row>
    <row r="527" spans="1:6" ht="12.75" x14ac:dyDescent="0.2">
      <c r="A527" s="24"/>
      <c r="B527" s="24"/>
      <c r="D527" s="25"/>
      <c r="E527" s="24"/>
      <c r="F527" s="24"/>
    </row>
    <row r="528" spans="1:6" ht="12.75" x14ac:dyDescent="0.2">
      <c r="A528" s="24"/>
      <c r="B528" s="24"/>
      <c r="D528" s="25"/>
      <c r="E528" s="24"/>
      <c r="F528" s="24"/>
    </row>
    <row r="529" spans="1:6" ht="12.75" x14ac:dyDescent="0.2">
      <c r="A529" s="24"/>
      <c r="B529" s="24"/>
      <c r="D529" s="25"/>
      <c r="E529" s="24"/>
      <c r="F529" s="24"/>
    </row>
    <row r="530" spans="1:6" ht="12.75" x14ac:dyDescent="0.2">
      <c r="A530" s="24"/>
      <c r="B530" s="24"/>
      <c r="D530" s="25"/>
      <c r="E530" s="24"/>
      <c r="F530" s="24"/>
    </row>
    <row r="531" spans="1:6" ht="12.75" x14ac:dyDescent="0.2">
      <c r="A531" s="24"/>
      <c r="B531" s="24"/>
      <c r="D531" s="25"/>
      <c r="E531" s="24"/>
      <c r="F531" s="24"/>
    </row>
    <row r="532" spans="1:6" ht="12.75" x14ac:dyDescent="0.2">
      <c r="A532" s="24"/>
      <c r="B532" s="24"/>
      <c r="D532" s="25"/>
      <c r="E532" s="24"/>
      <c r="F532" s="24"/>
    </row>
    <row r="533" spans="1:6" ht="12.75" x14ac:dyDescent="0.2">
      <c r="A533" s="24"/>
      <c r="B533" s="24"/>
      <c r="D533" s="25"/>
      <c r="E533" s="24"/>
      <c r="F533" s="24"/>
    </row>
    <row r="534" spans="1:6" ht="12.75" x14ac:dyDescent="0.2">
      <c r="A534" s="24"/>
      <c r="B534" s="24"/>
      <c r="D534" s="25"/>
      <c r="E534" s="24"/>
      <c r="F534" s="24"/>
    </row>
    <row r="535" spans="1:6" ht="12.75" x14ac:dyDescent="0.2">
      <c r="A535" s="24"/>
      <c r="B535" s="24"/>
      <c r="D535" s="25"/>
      <c r="E535" s="24"/>
      <c r="F535" s="24"/>
    </row>
    <row r="536" spans="1:6" ht="12.75" x14ac:dyDescent="0.2">
      <c r="A536" s="24"/>
      <c r="B536" s="24"/>
      <c r="D536" s="25"/>
      <c r="E536" s="24"/>
      <c r="F536" s="24"/>
    </row>
    <row r="537" spans="1:6" ht="12.75" x14ac:dyDescent="0.2">
      <c r="A537" s="24"/>
      <c r="B537" s="24"/>
      <c r="D537" s="25"/>
      <c r="E537" s="24"/>
      <c r="F537" s="24"/>
    </row>
    <row r="538" spans="1:6" ht="12.75" x14ac:dyDescent="0.2">
      <c r="A538" s="24"/>
      <c r="B538" s="24"/>
      <c r="D538" s="25"/>
      <c r="E538" s="24"/>
      <c r="F538" s="24"/>
    </row>
    <row r="539" spans="1:6" ht="12.75" x14ac:dyDescent="0.2">
      <c r="A539" s="24"/>
      <c r="B539" s="24"/>
      <c r="D539" s="25"/>
      <c r="E539" s="24"/>
      <c r="F539" s="24"/>
    </row>
    <row r="540" spans="1:6" ht="12.75" x14ac:dyDescent="0.2">
      <c r="A540" s="24"/>
      <c r="B540" s="24"/>
      <c r="D540" s="25"/>
      <c r="E540" s="24"/>
      <c r="F540" s="24"/>
    </row>
    <row r="541" spans="1:6" ht="12.75" x14ac:dyDescent="0.2">
      <c r="A541" s="24"/>
      <c r="B541" s="24"/>
      <c r="D541" s="25"/>
      <c r="E541" s="24"/>
      <c r="F541" s="24"/>
    </row>
    <row r="542" spans="1:6" ht="12.75" x14ac:dyDescent="0.2">
      <c r="A542" s="24"/>
      <c r="B542" s="24"/>
      <c r="D542" s="25"/>
      <c r="E542" s="24"/>
      <c r="F542" s="24"/>
    </row>
    <row r="543" spans="1:6" ht="12.75" x14ac:dyDescent="0.2">
      <c r="A543" s="24"/>
      <c r="B543" s="24"/>
      <c r="D543" s="25"/>
      <c r="E543" s="24"/>
      <c r="F543" s="24"/>
    </row>
    <row r="544" spans="1:6" ht="12.75" x14ac:dyDescent="0.2">
      <c r="A544" s="24"/>
      <c r="B544" s="24"/>
      <c r="D544" s="25"/>
      <c r="E544" s="24"/>
      <c r="F544" s="24"/>
    </row>
    <row r="545" spans="1:6" ht="12.75" x14ac:dyDescent="0.2">
      <c r="A545" s="24"/>
      <c r="B545" s="24"/>
      <c r="D545" s="25"/>
      <c r="E545" s="24"/>
      <c r="F545" s="24"/>
    </row>
    <row r="546" spans="1:6" ht="12.75" x14ac:dyDescent="0.2">
      <c r="A546" s="24"/>
      <c r="B546" s="24"/>
      <c r="D546" s="25"/>
      <c r="E546" s="24"/>
      <c r="F546" s="24"/>
    </row>
    <row r="547" spans="1:6" ht="12.75" x14ac:dyDescent="0.2">
      <c r="A547" s="24"/>
      <c r="B547" s="24"/>
      <c r="D547" s="25"/>
      <c r="E547" s="24"/>
      <c r="F547" s="24"/>
    </row>
    <row r="548" spans="1:6" ht="12.75" x14ac:dyDescent="0.2">
      <c r="A548" s="24"/>
      <c r="B548" s="24"/>
      <c r="D548" s="25"/>
      <c r="E548" s="24"/>
      <c r="F548" s="24"/>
    </row>
    <row r="549" spans="1:6" ht="12.75" x14ac:dyDescent="0.2">
      <c r="A549" s="24"/>
      <c r="B549" s="24"/>
      <c r="D549" s="25"/>
      <c r="E549" s="24"/>
      <c r="F549" s="24"/>
    </row>
    <row r="550" spans="1:6" ht="12.75" x14ac:dyDescent="0.2">
      <c r="A550" s="24"/>
      <c r="B550" s="24"/>
      <c r="D550" s="25"/>
      <c r="E550" s="24"/>
      <c r="F550" s="24"/>
    </row>
    <row r="551" spans="1:6" ht="12.75" x14ac:dyDescent="0.2">
      <c r="A551" s="24"/>
      <c r="B551" s="24"/>
      <c r="D551" s="25"/>
      <c r="E551" s="24"/>
      <c r="F551" s="24"/>
    </row>
    <row r="552" spans="1:6" ht="12.75" x14ac:dyDescent="0.2">
      <c r="A552" s="24"/>
      <c r="B552" s="24"/>
      <c r="D552" s="25"/>
      <c r="E552" s="24"/>
      <c r="F552" s="24"/>
    </row>
    <row r="553" spans="1:6" ht="12.75" x14ac:dyDescent="0.2">
      <c r="A553" s="24"/>
      <c r="B553" s="24"/>
      <c r="D553" s="25"/>
      <c r="E553" s="24"/>
      <c r="F553" s="24"/>
    </row>
    <row r="554" spans="1:6" ht="12.75" x14ac:dyDescent="0.2">
      <c r="A554" s="24"/>
      <c r="B554" s="24"/>
      <c r="D554" s="25"/>
      <c r="E554" s="24"/>
      <c r="F554" s="24"/>
    </row>
    <row r="555" spans="1:6" ht="12.75" x14ac:dyDescent="0.2">
      <c r="A555" s="24"/>
      <c r="B555" s="24"/>
      <c r="D555" s="25"/>
      <c r="E555" s="24"/>
      <c r="F555" s="24"/>
    </row>
    <row r="556" spans="1:6" ht="12.75" x14ac:dyDescent="0.2">
      <c r="A556" s="24"/>
      <c r="B556" s="24"/>
      <c r="D556" s="25"/>
      <c r="E556" s="24"/>
      <c r="F556" s="24"/>
    </row>
    <row r="557" spans="1:6" ht="12.75" x14ac:dyDescent="0.2">
      <c r="A557" s="24"/>
      <c r="B557" s="24"/>
      <c r="D557" s="25"/>
      <c r="E557" s="24"/>
      <c r="F557" s="24"/>
    </row>
    <row r="558" spans="1:6" ht="12.75" x14ac:dyDescent="0.2">
      <c r="A558" s="24"/>
      <c r="B558" s="24"/>
      <c r="D558" s="25"/>
      <c r="E558" s="24"/>
      <c r="F558" s="24"/>
    </row>
    <row r="559" spans="1:6" ht="12.75" x14ac:dyDescent="0.2">
      <c r="A559" s="24"/>
      <c r="B559" s="24"/>
      <c r="D559" s="25"/>
      <c r="E559" s="24"/>
      <c r="F559" s="24"/>
    </row>
    <row r="560" spans="1:6" ht="12.75" x14ac:dyDescent="0.2">
      <c r="A560" s="24"/>
      <c r="B560" s="24"/>
      <c r="D560" s="25"/>
      <c r="E560" s="24"/>
      <c r="F560" s="24"/>
    </row>
    <row r="561" spans="1:6" ht="12.75" x14ac:dyDescent="0.2">
      <c r="A561" s="24"/>
      <c r="B561" s="24"/>
      <c r="D561" s="25"/>
      <c r="E561" s="24"/>
      <c r="F561" s="24"/>
    </row>
    <row r="562" spans="1:6" ht="12.75" x14ac:dyDescent="0.2">
      <c r="A562" s="24"/>
      <c r="B562" s="24"/>
      <c r="D562" s="25"/>
      <c r="E562" s="24"/>
      <c r="F562" s="24"/>
    </row>
    <row r="563" spans="1:6" ht="12.75" x14ac:dyDescent="0.2">
      <c r="A563" s="24"/>
      <c r="B563" s="24"/>
      <c r="D563" s="25"/>
      <c r="E563" s="24"/>
      <c r="F563" s="24"/>
    </row>
    <row r="564" spans="1:6" ht="12.75" x14ac:dyDescent="0.2">
      <c r="A564" s="24"/>
      <c r="B564" s="24"/>
      <c r="D564" s="25"/>
      <c r="E564" s="24"/>
      <c r="F564" s="24"/>
    </row>
    <row r="565" spans="1:6" ht="12.75" x14ac:dyDescent="0.2">
      <c r="A565" s="24"/>
      <c r="B565" s="24"/>
      <c r="D565" s="25"/>
      <c r="E565" s="24"/>
      <c r="F565" s="24"/>
    </row>
    <row r="566" spans="1:6" ht="12.75" x14ac:dyDescent="0.2">
      <c r="A566" s="24"/>
      <c r="B566" s="24"/>
      <c r="D566" s="25"/>
      <c r="E566" s="24"/>
      <c r="F566" s="24"/>
    </row>
    <row r="567" spans="1:6" ht="12.75" x14ac:dyDescent="0.2">
      <c r="A567" s="24"/>
      <c r="B567" s="24"/>
      <c r="D567" s="25"/>
      <c r="E567" s="24"/>
      <c r="F567" s="24"/>
    </row>
    <row r="568" spans="1:6" ht="12.75" x14ac:dyDescent="0.2">
      <c r="A568" s="24"/>
      <c r="B568" s="24"/>
      <c r="D568" s="25"/>
      <c r="E568" s="24"/>
      <c r="F568" s="24"/>
    </row>
    <row r="569" spans="1:6" ht="12.75" x14ac:dyDescent="0.2">
      <c r="A569" s="24"/>
      <c r="B569" s="24"/>
      <c r="D569" s="25"/>
      <c r="E569" s="24"/>
      <c r="F569" s="24"/>
    </row>
    <row r="570" spans="1:6" ht="12.75" x14ac:dyDescent="0.2">
      <c r="A570" s="24"/>
      <c r="B570" s="24"/>
      <c r="D570" s="25"/>
      <c r="E570" s="24"/>
      <c r="F570" s="24"/>
    </row>
    <row r="571" spans="1:6" ht="12.75" x14ac:dyDescent="0.2">
      <c r="A571" s="24"/>
      <c r="B571" s="24"/>
      <c r="D571" s="25"/>
      <c r="E571" s="24"/>
      <c r="F571" s="24"/>
    </row>
    <row r="572" spans="1:6" ht="12.75" x14ac:dyDescent="0.2">
      <c r="A572" s="24"/>
      <c r="B572" s="24"/>
      <c r="D572" s="25"/>
      <c r="E572" s="24"/>
      <c r="F572" s="24"/>
    </row>
    <row r="573" spans="1:6" ht="12.75" x14ac:dyDescent="0.2">
      <c r="A573" s="24"/>
      <c r="B573" s="24"/>
      <c r="D573" s="25"/>
      <c r="E573" s="24"/>
      <c r="F573" s="24"/>
    </row>
    <row r="574" spans="1:6" ht="12.75" x14ac:dyDescent="0.2">
      <c r="A574" s="24"/>
      <c r="B574" s="24"/>
      <c r="D574" s="25"/>
      <c r="E574" s="24"/>
      <c r="F574" s="24"/>
    </row>
    <row r="575" spans="1:6" ht="12.75" x14ac:dyDescent="0.2">
      <c r="A575" s="24"/>
      <c r="B575" s="24"/>
      <c r="D575" s="25"/>
      <c r="E575" s="24"/>
      <c r="F575" s="24"/>
    </row>
    <row r="576" spans="1:6" ht="12.75" x14ac:dyDescent="0.2">
      <c r="A576" s="24"/>
      <c r="B576" s="24"/>
      <c r="D576" s="25"/>
      <c r="E576" s="24"/>
      <c r="F576" s="24"/>
    </row>
    <row r="577" spans="1:6" ht="12.75" x14ac:dyDescent="0.2">
      <c r="A577" s="24"/>
      <c r="B577" s="24"/>
      <c r="D577" s="25"/>
      <c r="E577" s="24"/>
      <c r="F577" s="24"/>
    </row>
    <row r="578" spans="1:6" ht="12.75" x14ac:dyDescent="0.2">
      <c r="A578" s="24"/>
      <c r="B578" s="24"/>
      <c r="D578" s="25"/>
      <c r="E578" s="24"/>
      <c r="F578" s="24"/>
    </row>
    <row r="579" spans="1:6" ht="12.75" x14ac:dyDescent="0.2">
      <c r="A579" s="24"/>
      <c r="B579" s="24"/>
      <c r="D579" s="25"/>
      <c r="E579" s="24"/>
      <c r="F579" s="24"/>
    </row>
    <row r="580" spans="1:6" ht="12.75" x14ac:dyDescent="0.2">
      <c r="A580" s="24"/>
      <c r="B580" s="24"/>
      <c r="D580" s="25"/>
      <c r="E580" s="24"/>
      <c r="F580" s="24"/>
    </row>
    <row r="581" spans="1:6" ht="12.75" x14ac:dyDescent="0.2">
      <c r="A581" s="24"/>
      <c r="B581" s="24"/>
      <c r="D581" s="25"/>
      <c r="E581" s="24"/>
      <c r="F581" s="24"/>
    </row>
    <row r="582" spans="1:6" ht="12.75" x14ac:dyDescent="0.2">
      <c r="A582" s="24"/>
      <c r="B582" s="24"/>
      <c r="D582" s="25"/>
      <c r="E582" s="24"/>
      <c r="F582" s="24"/>
    </row>
    <row r="583" spans="1:6" ht="12.75" x14ac:dyDescent="0.2">
      <c r="A583" s="24"/>
      <c r="B583" s="24"/>
      <c r="D583" s="25"/>
      <c r="E583" s="24"/>
      <c r="F583" s="24"/>
    </row>
    <row r="584" spans="1:6" ht="12.75" x14ac:dyDescent="0.2">
      <c r="A584" s="24"/>
      <c r="B584" s="24"/>
      <c r="D584" s="25"/>
      <c r="E584" s="24"/>
      <c r="F584" s="24"/>
    </row>
    <row r="585" spans="1:6" ht="12.75" x14ac:dyDescent="0.2">
      <c r="A585" s="24"/>
      <c r="B585" s="24"/>
      <c r="D585" s="25"/>
      <c r="E585" s="24"/>
      <c r="F585" s="24"/>
    </row>
    <row r="586" spans="1:6" ht="12.75" x14ac:dyDescent="0.2">
      <c r="A586" s="24"/>
      <c r="B586" s="24"/>
      <c r="D586" s="25"/>
      <c r="E586" s="24"/>
      <c r="F586" s="24"/>
    </row>
    <row r="587" spans="1:6" ht="12.75" x14ac:dyDescent="0.2">
      <c r="A587" s="24"/>
      <c r="B587" s="24"/>
      <c r="D587" s="25"/>
      <c r="E587" s="24"/>
      <c r="F587" s="24"/>
    </row>
    <row r="588" spans="1:6" ht="12.75" x14ac:dyDescent="0.2">
      <c r="A588" s="24"/>
      <c r="B588" s="24"/>
      <c r="D588" s="25"/>
      <c r="E588" s="24"/>
      <c r="F588" s="24"/>
    </row>
    <row r="589" spans="1:6" ht="12.75" x14ac:dyDescent="0.2">
      <c r="A589" s="24"/>
      <c r="B589" s="24"/>
      <c r="D589" s="25"/>
      <c r="E589" s="24"/>
      <c r="F589" s="24"/>
    </row>
    <row r="590" spans="1:6" ht="12.75" x14ac:dyDescent="0.2">
      <c r="A590" s="24"/>
      <c r="B590" s="24"/>
      <c r="D590" s="25"/>
      <c r="E590" s="24"/>
      <c r="F590" s="24"/>
    </row>
    <row r="591" spans="1:6" ht="12.75" x14ac:dyDescent="0.2">
      <c r="A591" s="24"/>
      <c r="B591" s="24"/>
      <c r="D591" s="25"/>
      <c r="E591" s="24"/>
      <c r="F591" s="24"/>
    </row>
    <row r="592" spans="1:6" ht="12.75" x14ac:dyDescent="0.2">
      <c r="A592" s="24"/>
      <c r="B592" s="24"/>
      <c r="D592" s="25"/>
      <c r="E592" s="24"/>
      <c r="F592" s="24"/>
    </row>
    <row r="593" spans="1:6" ht="12.75" x14ac:dyDescent="0.2">
      <c r="A593" s="24"/>
      <c r="B593" s="24"/>
      <c r="D593" s="25"/>
      <c r="E593" s="24"/>
      <c r="F593" s="24"/>
    </row>
    <row r="594" spans="1:6" ht="12.75" x14ac:dyDescent="0.2">
      <c r="A594" s="24"/>
      <c r="B594" s="24"/>
      <c r="D594" s="25"/>
      <c r="E594" s="24"/>
      <c r="F594" s="24"/>
    </row>
    <row r="595" spans="1:6" ht="12.75" x14ac:dyDescent="0.2">
      <c r="A595" s="24"/>
      <c r="B595" s="24"/>
      <c r="D595" s="25"/>
      <c r="E595" s="24"/>
      <c r="F595" s="24"/>
    </row>
    <row r="596" spans="1:6" ht="12.75" x14ac:dyDescent="0.2">
      <c r="A596" s="24"/>
      <c r="B596" s="24"/>
      <c r="D596" s="25"/>
      <c r="E596" s="24"/>
      <c r="F596" s="24"/>
    </row>
    <row r="597" spans="1:6" ht="12.75" x14ac:dyDescent="0.2">
      <c r="A597" s="24"/>
      <c r="B597" s="24"/>
      <c r="D597" s="25"/>
      <c r="E597" s="24"/>
      <c r="F597" s="24"/>
    </row>
    <row r="598" spans="1:6" ht="12.75" x14ac:dyDescent="0.2">
      <c r="A598" s="24"/>
      <c r="B598" s="24"/>
      <c r="D598" s="25"/>
      <c r="E598" s="24"/>
      <c r="F598" s="24"/>
    </row>
    <row r="599" spans="1:6" ht="12.75" x14ac:dyDescent="0.2">
      <c r="A599" s="24"/>
      <c r="B599" s="24"/>
      <c r="D599" s="25"/>
      <c r="E599" s="24"/>
      <c r="F599" s="24"/>
    </row>
    <row r="600" spans="1:6" ht="12.75" x14ac:dyDescent="0.2">
      <c r="A600" s="24"/>
      <c r="B600" s="24"/>
      <c r="D600" s="25"/>
      <c r="E600" s="24"/>
      <c r="F600" s="24"/>
    </row>
    <row r="601" spans="1:6" ht="12.75" x14ac:dyDescent="0.2">
      <c r="A601" s="24"/>
      <c r="B601" s="24"/>
      <c r="D601" s="25"/>
      <c r="E601" s="24"/>
      <c r="F601" s="24"/>
    </row>
    <row r="602" spans="1:6" ht="12.75" x14ac:dyDescent="0.2">
      <c r="A602" s="24"/>
      <c r="B602" s="24"/>
      <c r="D602" s="25"/>
      <c r="E602" s="24"/>
      <c r="F602" s="24"/>
    </row>
    <row r="603" spans="1:6" ht="12.75" x14ac:dyDescent="0.2">
      <c r="A603" s="24"/>
      <c r="B603" s="24"/>
      <c r="D603" s="25"/>
      <c r="E603" s="24"/>
      <c r="F603" s="24"/>
    </row>
    <row r="604" spans="1:6" ht="12.75" x14ac:dyDescent="0.2">
      <c r="A604" s="24"/>
      <c r="B604" s="24"/>
      <c r="D604" s="25"/>
      <c r="E604" s="24"/>
      <c r="F604" s="24"/>
    </row>
    <row r="605" spans="1:6" ht="12.75" x14ac:dyDescent="0.2">
      <c r="A605" s="24"/>
      <c r="B605" s="24"/>
      <c r="D605" s="25"/>
      <c r="E605" s="24"/>
      <c r="F605" s="24"/>
    </row>
    <row r="606" spans="1:6" ht="12.75" x14ac:dyDescent="0.2">
      <c r="A606" s="24"/>
      <c r="B606" s="24"/>
      <c r="D606" s="25"/>
      <c r="E606" s="24"/>
      <c r="F606" s="24"/>
    </row>
    <row r="607" spans="1:6" ht="12.75" x14ac:dyDescent="0.2">
      <c r="A607" s="24"/>
      <c r="B607" s="24"/>
      <c r="D607" s="25"/>
      <c r="E607" s="24"/>
      <c r="F607" s="24"/>
    </row>
    <row r="608" spans="1:6" ht="12.75" x14ac:dyDescent="0.2">
      <c r="A608" s="24"/>
      <c r="B608" s="24"/>
      <c r="D608" s="25"/>
      <c r="E608" s="24"/>
      <c r="F608" s="24"/>
    </row>
    <row r="609" spans="1:6" ht="12.75" x14ac:dyDescent="0.2">
      <c r="A609" s="24"/>
      <c r="B609" s="24"/>
      <c r="D609" s="25"/>
      <c r="E609" s="24"/>
      <c r="F609" s="24"/>
    </row>
    <row r="610" spans="1:6" ht="12.75" x14ac:dyDescent="0.2">
      <c r="A610" s="24"/>
      <c r="B610" s="24"/>
      <c r="D610" s="25"/>
      <c r="E610" s="24"/>
      <c r="F610" s="24"/>
    </row>
    <row r="611" spans="1:6" ht="12.75" x14ac:dyDescent="0.2">
      <c r="A611" s="24"/>
      <c r="B611" s="24"/>
      <c r="D611" s="25"/>
      <c r="E611" s="24"/>
      <c r="F611" s="24"/>
    </row>
    <row r="612" spans="1:6" ht="12.75" x14ac:dyDescent="0.2">
      <c r="A612" s="24"/>
      <c r="B612" s="24"/>
      <c r="D612" s="25"/>
      <c r="E612" s="24"/>
      <c r="F612" s="24"/>
    </row>
    <row r="613" spans="1:6" ht="12.75" x14ac:dyDescent="0.2">
      <c r="A613" s="24"/>
      <c r="B613" s="24"/>
      <c r="D613" s="25"/>
      <c r="E613" s="24"/>
      <c r="F613" s="24"/>
    </row>
    <row r="614" spans="1:6" ht="12.75" x14ac:dyDescent="0.2">
      <c r="A614" s="24"/>
      <c r="B614" s="24"/>
      <c r="D614" s="25"/>
      <c r="E614" s="24"/>
      <c r="F614" s="24"/>
    </row>
    <row r="615" spans="1:6" ht="12.75" x14ac:dyDescent="0.2">
      <c r="A615" s="24"/>
      <c r="B615" s="24"/>
      <c r="D615" s="25"/>
      <c r="E615" s="24"/>
      <c r="F615" s="24"/>
    </row>
    <row r="616" spans="1:6" ht="12.75" x14ac:dyDescent="0.2">
      <c r="A616" s="24"/>
      <c r="B616" s="24"/>
      <c r="D616" s="25"/>
      <c r="E616" s="24"/>
      <c r="F616" s="24"/>
    </row>
    <row r="617" spans="1:6" ht="12.75" x14ac:dyDescent="0.2">
      <c r="A617" s="24"/>
      <c r="B617" s="24"/>
      <c r="D617" s="25"/>
      <c r="E617" s="24"/>
      <c r="F617" s="24"/>
    </row>
    <row r="618" spans="1:6" ht="12.75" x14ac:dyDescent="0.2">
      <c r="A618" s="24"/>
      <c r="B618" s="24"/>
      <c r="D618" s="25"/>
      <c r="E618" s="24"/>
      <c r="F618" s="24"/>
    </row>
    <row r="619" spans="1:6" ht="12.75" x14ac:dyDescent="0.2">
      <c r="A619" s="24"/>
      <c r="B619" s="24"/>
      <c r="D619" s="25"/>
      <c r="E619" s="24"/>
      <c r="F619" s="24"/>
    </row>
    <row r="620" spans="1:6" ht="12.75" x14ac:dyDescent="0.2">
      <c r="A620" s="24"/>
      <c r="B620" s="24"/>
      <c r="D620" s="25"/>
      <c r="E620" s="24"/>
      <c r="F620" s="24"/>
    </row>
    <row r="621" spans="1:6" ht="12.75" x14ac:dyDescent="0.2">
      <c r="A621" s="24"/>
      <c r="B621" s="24"/>
      <c r="D621" s="25"/>
      <c r="E621" s="24"/>
      <c r="F621" s="24"/>
    </row>
    <row r="622" spans="1:6" ht="12.75" x14ac:dyDescent="0.2">
      <c r="A622" s="24"/>
      <c r="B622" s="24"/>
      <c r="D622" s="25"/>
      <c r="E622" s="24"/>
      <c r="F622" s="24"/>
    </row>
    <row r="623" spans="1:6" ht="12.75" x14ac:dyDescent="0.2">
      <c r="A623" s="24"/>
      <c r="B623" s="24"/>
      <c r="D623" s="25"/>
      <c r="E623" s="24"/>
      <c r="F623" s="24"/>
    </row>
    <row r="624" spans="1:6" ht="12.75" x14ac:dyDescent="0.2">
      <c r="A624" s="24"/>
      <c r="B624" s="24"/>
      <c r="D624" s="25"/>
      <c r="E624" s="24"/>
      <c r="F624" s="24"/>
    </row>
    <row r="625" spans="1:6" ht="12.75" x14ac:dyDescent="0.2">
      <c r="A625" s="24"/>
      <c r="B625" s="24"/>
      <c r="D625" s="25"/>
      <c r="E625" s="24"/>
      <c r="F625" s="24"/>
    </row>
    <row r="626" spans="1:6" ht="12.75" x14ac:dyDescent="0.2">
      <c r="A626" s="24"/>
      <c r="B626" s="24"/>
      <c r="D626" s="25"/>
      <c r="E626" s="24"/>
      <c r="F626" s="24"/>
    </row>
    <row r="627" spans="1:6" ht="12.75" x14ac:dyDescent="0.2">
      <c r="A627" s="24"/>
      <c r="B627" s="24"/>
      <c r="D627" s="25"/>
      <c r="E627" s="24"/>
      <c r="F627" s="24"/>
    </row>
    <row r="628" spans="1:6" ht="12.75" x14ac:dyDescent="0.2">
      <c r="A628" s="24"/>
      <c r="B628" s="24"/>
      <c r="D628" s="25"/>
      <c r="E628" s="24"/>
      <c r="F628" s="24"/>
    </row>
    <row r="629" spans="1:6" ht="12.75" x14ac:dyDescent="0.2">
      <c r="A629" s="24"/>
      <c r="B629" s="24"/>
      <c r="D629" s="25"/>
      <c r="E629" s="24"/>
      <c r="F629" s="24"/>
    </row>
    <row r="630" spans="1:6" ht="12.75" x14ac:dyDescent="0.2">
      <c r="A630" s="24"/>
      <c r="B630" s="24"/>
      <c r="D630" s="25"/>
      <c r="E630" s="24"/>
      <c r="F630" s="24"/>
    </row>
    <row r="631" spans="1:6" ht="12.75" x14ac:dyDescent="0.2">
      <c r="A631" s="24"/>
      <c r="B631" s="24"/>
      <c r="D631" s="25"/>
      <c r="E631" s="24"/>
      <c r="F631" s="24"/>
    </row>
    <row r="632" spans="1:6" ht="12.75" x14ac:dyDescent="0.2">
      <c r="A632" s="24"/>
      <c r="B632" s="24"/>
      <c r="D632" s="25"/>
      <c r="E632" s="24"/>
      <c r="F632" s="24"/>
    </row>
    <row r="633" spans="1:6" ht="12.75" x14ac:dyDescent="0.2">
      <c r="A633" s="24"/>
      <c r="B633" s="24"/>
      <c r="D633" s="25"/>
      <c r="E633" s="24"/>
      <c r="F633" s="24"/>
    </row>
    <row r="634" spans="1:6" ht="12.75" x14ac:dyDescent="0.2">
      <c r="A634" s="24"/>
      <c r="B634" s="24"/>
      <c r="D634" s="25"/>
      <c r="E634" s="24"/>
      <c r="F634" s="24"/>
    </row>
    <row r="635" spans="1:6" ht="12.75" x14ac:dyDescent="0.2">
      <c r="A635" s="24"/>
      <c r="B635" s="24"/>
      <c r="D635" s="25"/>
      <c r="E635" s="24"/>
      <c r="F635" s="24"/>
    </row>
    <row r="636" spans="1:6" ht="12.75" x14ac:dyDescent="0.2">
      <c r="A636" s="24"/>
      <c r="B636" s="24"/>
      <c r="D636" s="25"/>
      <c r="E636" s="24"/>
      <c r="F636" s="24"/>
    </row>
    <row r="637" spans="1:6" ht="12.75" x14ac:dyDescent="0.2">
      <c r="A637" s="24"/>
      <c r="B637" s="24"/>
      <c r="D637" s="25"/>
      <c r="E637" s="24"/>
      <c r="F637" s="24"/>
    </row>
    <row r="638" spans="1:6" ht="12.75" x14ac:dyDescent="0.2">
      <c r="A638" s="24"/>
      <c r="B638" s="24"/>
      <c r="D638" s="25"/>
      <c r="E638" s="24"/>
      <c r="F638" s="24"/>
    </row>
    <row r="639" spans="1:6" ht="12.75" x14ac:dyDescent="0.2">
      <c r="A639" s="24"/>
      <c r="B639" s="24"/>
      <c r="D639" s="25"/>
      <c r="E639" s="24"/>
      <c r="F639" s="24"/>
    </row>
    <row r="640" spans="1:6" ht="12.75" x14ac:dyDescent="0.2">
      <c r="A640" s="24"/>
      <c r="B640" s="24"/>
      <c r="D640" s="25"/>
      <c r="E640" s="24"/>
      <c r="F640" s="24"/>
    </row>
    <row r="641" spans="1:6" ht="12.75" x14ac:dyDescent="0.2">
      <c r="A641" s="24"/>
      <c r="B641" s="24"/>
      <c r="D641" s="25"/>
      <c r="E641" s="24"/>
      <c r="F641" s="24"/>
    </row>
    <row r="642" spans="1:6" ht="12.75" x14ac:dyDescent="0.2">
      <c r="A642" s="24"/>
      <c r="B642" s="24"/>
      <c r="D642" s="25"/>
      <c r="E642" s="24"/>
      <c r="F642" s="24"/>
    </row>
    <row r="643" spans="1:6" ht="12.75" x14ac:dyDescent="0.2">
      <c r="A643" s="24"/>
      <c r="B643" s="24"/>
      <c r="D643" s="25"/>
      <c r="E643" s="24"/>
      <c r="F643" s="24"/>
    </row>
    <row r="644" spans="1:6" ht="12.75" x14ac:dyDescent="0.2">
      <c r="A644" s="24"/>
      <c r="B644" s="24"/>
      <c r="D644" s="25"/>
      <c r="E644" s="24"/>
      <c r="F644" s="24"/>
    </row>
    <row r="645" spans="1:6" ht="12.75" x14ac:dyDescent="0.2">
      <c r="A645" s="24"/>
      <c r="B645" s="24"/>
      <c r="D645" s="25"/>
      <c r="E645" s="24"/>
      <c r="F645" s="24"/>
    </row>
    <row r="646" spans="1:6" ht="12.75" x14ac:dyDescent="0.2">
      <c r="A646" s="24"/>
      <c r="B646" s="24"/>
      <c r="D646" s="25"/>
      <c r="E646" s="24"/>
      <c r="F646" s="24"/>
    </row>
    <row r="647" spans="1:6" ht="12.75" x14ac:dyDescent="0.2">
      <c r="A647" s="24"/>
      <c r="B647" s="24"/>
      <c r="D647" s="25"/>
      <c r="E647" s="24"/>
      <c r="F647" s="24"/>
    </row>
    <row r="648" spans="1:6" ht="12.75" x14ac:dyDescent="0.2">
      <c r="A648" s="24"/>
      <c r="B648" s="24"/>
      <c r="D648" s="25"/>
      <c r="E648" s="24"/>
      <c r="F648" s="24"/>
    </row>
    <row r="649" spans="1:6" ht="12.75" x14ac:dyDescent="0.2">
      <c r="A649" s="24"/>
      <c r="B649" s="24"/>
      <c r="D649" s="25"/>
      <c r="E649" s="24"/>
      <c r="F649" s="24"/>
    </row>
    <row r="650" spans="1:6" ht="12.75" x14ac:dyDescent="0.2">
      <c r="A650" s="24"/>
      <c r="B650" s="24"/>
      <c r="D650" s="25"/>
      <c r="E650" s="24"/>
      <c r="F650" s="24"/>
    </row>
    <row r="651" spans="1:6" ht="12.75" x14ac:dyDescent="0.2">
      <c r="A651" s="24"/>
      <c r="B651" s="24"/>
      <c r="D651" s="25"/>
      <c r="E651" s="24"/>
      <c r="F651" s="24"/>
    </row>
    <row r="652" spans="1:6" ht="12.75" x14ac:dyDescent="0.2">
      <c r="A652" s="24"/>
      <c r="B652" s="24"/>
      <c r="D652" s="25"/>
      <c r="E652" s="24"/>
      <c r="F652" s="24"/>
    </row>
    <row r="653" spans="1:6" ht="12.75" x14ac:dyDescent="0.2">
      <c r="A653" s="24"/>
      <c r="B653" s="24"/>
      <c r="D653" s="25"/>
      <c r="E653" s="24"/>
      <c r="F653" s="24"/>
    </row>
    <row r="654" spans="1:6" ht="12.75" x14ac:dyDescent="0.2">
      <c r="A654" s="24"/>
      <c r="B654" s="24"/>
      <c r="D654" s="25"/>
      <c r="E654" s="24"/>
      <c r="F654" s="24"/>
    </row>
    <row r="655" spans="1:6" ht="12.75" x14ac:dyDescent="0.2">
      <c r="A655" s="24"/>
      <c r="B655" s="24"/>
      <c r="D655" s="25"/>
      <c r="E655" s="24"/>
      <c r="F655" s="24"/>
    </row>
    <row r="656" spans="1:6" ht="12.75" x14ac:dyDescent="0.2">
      <c r="A656" s="24"/>
      <c r="B656" s="24"/>
      <c r="D656" s="25"/>
      <c r="E656" s="24"/>
      <c r="F656" s="24"/>
    </row>
    <row r="657" spans="1:6" ht="12.75" x14ac:dyDescent="0.2">
      <c r="A657" s="24"/>
      <c r="B657" s="24"/>
      <c r="D657" s="25"/>
      <c r="E657" s="24"/>
      <c r="F657" s="24"/>
    </row>
    <row r="658" spans="1:6" ht="12.75" x14ac:dyDescent="0.2">
      <c r="A658" s="24"/>
      <c r="B658" s="24"/>
      <c r="D658" s="25"/>
      <c r="E658" s="24"/>
      <c r="F658" s="24"/>
    </row>
    <row r="659" spans="1:6" ht="12.75" x14ac:dyDescent="0.2">
      <c r="A659" s="24"/>
      <c r="B659" s="24"/>
      <c r="D659" s="25"/>
      <c r="E659" s="24"/>
      <c r="F659" s="24"/>
    </row>
    <row r="660" spans="1:6" ht="12.75" x14ac:dyDescent="0.2">
      <c r="A660" s="24"/>
      <c r="B660" s="24"/>
      <c r="D660" s="25"/>
      <c r="E660" s="24"/>
      <c r="F660" s="24"/>
    </row>
    <row r="661" spans="1:6" ht="12.75" x14ac:dyDescent="0.2">
      <c r="A661" s="24"/>
      <c r="B661" s="24"/>
      <c r="D661" s="25"/>
      <c r="E661" s="24"/>
      <c r="F661" s="24"/>
    </row>
    <row r="662" spans="1:6" ht="12.75" x14ac:dyDescent="0.2">
      <c r="A662" s="24"/>
      <c r="B662" s="24"/>
      <c r="D662" s="25"/>
      <c r="E662" s="24"/>
      <c r="F662" s="24"/>
    </row>
    <row r="663" spans="1:6" ht="12.75" x14ac:dyDescent="0.2">
      <c r="A663" s="24"/>
      <c r="B663" s="24"/>
      <c r="D663" s="25"/>
      <c r="E663" s="24"/>
      <c r="F663" s="24"/>
    </row>
    <row r="664" spans="1:6" ht="12.75" x14ac:dyDescent="0.2">
      <c r="A664" s="24"/>
      <c r="B664" s="24"/>
      <c r="D664" s="25"/>
      <c r="E664" s="24"/>
      <c r="F664" s="24"/>
    </row>
    <row r="665" spans="1:6" ht="12.75" x14ac:dyDescent="0.2">
      <c r="A665" s="24"/>
      <c r="B665" s="24"/>
      <c r="D665" s="25"/>
      <c r="E665" s="24"/>
      <c r="F665" s="24"/>
    </row>
    <row r="666" spans="1:6" ht="12.75" x14ac:dyDescent="0.2">
      <c r="A666" s="24"/>
      <c r="B666" s="24"/>
      <c r="D666" s="25"/>
      <c r="E666" s="24"/>
      <c r="F666" s="24"/>
    </row>
    <row r="667" spans="1:6" ht="12.75" x14ac:dyDescent="0.2">
      <c r="A667" s="24"/>
      <c r="B667" s="24"/>
      <c r="D667" s="25"/>
      <c r="E667" s="24"/>
      <c r="F667" s="24"/>
    </row>
    <row r="668" spans="1:6" ht="12.75" x14ac:dyDescent="0.2">
      <c r="A668" s="24"/>
      <c r="B668" s="24"/>
      <c r="D668" s="25"/>
      <c r="E668" s="24"/>
      <c r="F668" s="24"/>
    </row>
    <row r="669" spans="1:6" ht="12.75" x14ac:dyDescent="0.2">
      <c r="A669" s="24"/>
      <c r="B669" s="24"/>
      <c r="D669" s="25"/>
      <c r="E669" s="24"/>
      <c r="F669" s="24"/>
    </row>
    <row r="670" spans="1:6" ht="12.75" x14ac:dyDescent="0.2">
      <c r="A670" s="24"/>
      <c r="B670" s="24"/>
      <c r="D670" s="25"/>
      <c r="E670" s="24"/>
      <c r="F670" s="24"/>
    </row>
    <row r="671" spans="1:6" ht="12.75" x14ac:dyDescent="0.2">
      <c r="A671" s="24"/>
      <c r="B671" s="24"/>
      <c r="D671" s="25"/>
      <c r="E671" s="24"/>
      <c r="F671" s="24"/>
    </row>
    <row r="672" spans="1:6" ht="12.75" x14ac:dyDescent="0.2">
      <c r="A672" s="24"/>
      <c r="B672" s="24"/>
      <c r="D672" s="25"/>
      <c r="E672" s="24"/>
      <c r="F672" s="24"/>
    </row>
    <row r="673" spans="1:6" ht="12.75" x14ac:dyDescent="0.2">
      <c r="A673" s="24"/>
      <c r="B673" s="24"/>
      <c r="D673" s="25"/>
      <c r="E673" s="24"/>
      <c r="F673" s="24"/>
    </row>
    <row r="674" spans="1:6" ht="12.75" x14ac:dyDescent="0.2">
      <c r="A674" s="24"/>
      <c r="B674" s="24"/>
      <c r="D674" s="25"/>
      <c r="E674" s="24"/>
      <c r="F674" s="24"/>
    </row>
    <row r="675" spans="1:6" ht="12.75" x14ac:dyDescent="0.2">
      <c r="A675" s="24"/>
      <c r="B675" s="24"/>
      <c r="D675" s="25"/>
      <c r="E675" s="24"/>
      <c r="F675" s="24"/>
    </row>
    <row r="676" spans="1:6" ht="12.75" x14ac:dyDescent="0.2">
      <c r="A676" s="24"/>
      <c r="B676" s="24"/>
      <c r="D676" s="25"/>
      <c r="E676" s="24"/>
      <c r="F676" s="24"/>
    </row>
    <row r="677" spans="1:6" ht="12.75" x14ac:dyDescent="0.2">
      <c r="A677" s="24"/>
      <c r="B677" s="24"/>
      <c r="D677" s="25"/>
      <c r="E677" s="24"/>
      <c r="F677" s="24"/>
    </row>
    <row r="678" spans="1:6" ht="12.75" x14ac:dyDescent="0.2">
      <c r="A678" s="24"/>
      <c r="B678" s="24"/>
      <c r="D678" s="25"/>
      <c r="E678" s="24"/>
      <c r="F678" s="24"/>
    </row>
    <row r="679" spans="1:6" ht="12.75" x14ac:dyDescent="0.2">
      <c r="A679" s="24"/>
      <c r="B679" s="24"/>
      <c r="D679" s="25"/>
      <c r="E679" s="24"/>
      <c r="F679" s="24"/>
    </row>
    <row r="680" spans="1:6" ht="12.75" x14ac:dyDescent="0.2">
      <c r="A680" s="24"/>
      <c r="B680" s="24"/>
      <c r="D680" s="25"/>
      <c r="E680" s="24"/>
      <c r="F680" s="24"/>
    </row>
    <row r="681" spans="1:6" ht="12.75" x14ac:dyDescent="0.2">
      <c r="A681" s="24"/>
      <c r="B681" s="24"/>
      <c r="D681" s="25"/>
      <c r="E681" s="24"/>
      <c r="F681" s="24"/>
    </row>
    <row r="682" spans="1:6" ht="12.75" x14ac:dyDescent="0.2">
      <c r="A682" s="24"/>
      <c r="B682" s="24"/>
      <c r="D682" s="25"/>
      <c r="E682" s="24"/>
      <c r="F682" s="24"/>
    </row>
    <row r="683" spans="1:6" ht="12.75" x14ac:dyDescent="0.2">
      <c r="A683" s="24"/>
      <c r="B683" s="24"/>
      <c r="D683" s="25"/>
      <c r="E683" s="24"/>
      <c r="F683" s="24"/>
    </row>
    <row r="684" spans="1:6" ht="12.75" x14ac:dyDescent="0.2">
      <c r="A684" s="24"/>
      <c r="B684" s="24"/>
      <c r="D684" s="25"/>
      <c r="E684" s="24"/>
      <c r="F684" s="24"/>
    </row>
    <row r="685" spans="1:6" ht="12.75" x14ac:dyDescent="0.2">
      <c r="A685" s="24"/>
      <c r="B685" s="24"/>
      <c r="D685" s="25"/>
      <c r="E685" s="24"/>
      <c r="F685" s="24"/>
    </row>
    <row r="686" spans="1:6" ht="12.75" x14ac:dyDescent="0.2">
      <c r="A686" s="24"/>
      <c r="B686" s="24"/>
      <c r="D686" s="25"/>
      <c r="E686" s="24"/>
      <c r="F686" s="24"/>
    </row>
    <row r="687" spans="1:6" ht="12.75" x14ac:dyDescent="0.2">
      <c r="A687" s="24"/>
      <c r="B687" s="24"/>
      <c r="D687" s="25"/>
      <c r="E687" s="24"/>
      <c r="F687" s="24"/>
    </row>
    <row r="688" spans="1:6" ht="12.75" x14ac:dyDescent="0.2">
      <c r="A688" s="24"/>
      <c r="B688" s="24"/>
      <c r="D688" s="25"/>
      <c r="E688" s="24"/>
      <c r="F688" s="24"/>
    </row>
    <row r="689" spans="1:6" ht="12.75" x14ac:dyDescent="0.2">
      <c r="A689" s="24"/>
      <c r="B689" s="24"/>
      <c r="D689" s="25"/>
      <c r="E689" s="24"/>
      <c r="F689" s="24"/>
    </row>
    <row r="690" spans="1:6" ht="12.75" x14ac:dyDescent="0.2">
      <c r="A690" s="24"/>
      <c r="B690" s="24"/>
      <c r="D690" s="25"/>
      <c r="E690" s="24"/>
      <c r="F690" s="24"/>
    </row>
    <row r="691" spans="1:6" ht="12.75" x14ac:dyDescent="0.2">
      <c r="A691" s="24"/>
      <c r="B691" s="24"/>
      <c r="D691" s="25"/>
      <c r="E691" s="24"/>
      <c r="F691" s="24"/>
    </row>
    <row r="692" spans="1:6" ht="12.75" x14ac:dyDescent="0.2">
      <c r="A692" s="24"/>
      <c r="B692" s="24"/>
      <c r="D692" s="25"/>
      <c r="E692" s="24"/>
      <c r="F692" s="24"/>
    </row>
    <row r="693" spans="1:6" ht="12.75" x14ac:dyDescent="0.2">
      <c r="A693" s="24"/>
      <c r="B693" s="24"/>
      <c r="D693" s="25"/>
      <c r="E693" s="24"/>
      <c r="F693" s="24"/>
    </row>
    <row r="694" spans="1:6" ht="12.75" x14ac:dyDescent="0.2">
      <c r="A694" s="24"/>
      <c r="B694" s="24"/>
      <c r="D694" s="25"/>
      <c r="E694" s="24"/>
      <c r="F694" s="24"/>
    </row>
    <row r="695" spans="1:6" ht="12.75" x14ac:dyDescent="0.2">
      <c r="A695" s="24"/>
      <c r="B695" s="24"/>
      <c r="D695" s="25"/>
      <c r="E695" s="24"/>
      <c r="F695" s="24"/>
    </row>
    <row r="696" spans="1:6" ht="12.75" x14ac:dyDescent="0.2">
      <c r="A696" s="24"/>
      <c r="B696" s="24"/>
      <c r="D696" s="25"/>
      <c r="E696" s="24"/>
      <c r="F696" s="24"/>
    </row>
    <row r="697" spans="1:6" ht="12.75" x14ac:dyDescent="0.2">
      <c r="A697" s="24"/>
      <c r="B697" s="24"/>
      <c r="D697" s="25"/>
      <c r="E697" s="24"/>
      <c r="F697" s="24"/>
    </row>
    <row r="698" spans="1:6" ht="12.75" x14ac:dyDescent="0.2">
      <c r="A698" s="24"/>
      <c r="B698" s="24"/>
      <c r="D698" s="25"/>
      <c r="E698" s="24"/>
      <c r="F698" s="24"/>
    </row>
    <row r="699" spans="1:6" ht="12.75" x14ac:dyDescent="0.2">
      <c r="A699" s="24"/>
      <c r="B699" s="24"/>
      <c r="D699" s="25"/>
      <c r="E699" s="24"/>
      <c r="F699" s="24"/>
    </row>
    <row r="700" spans="1:6" ht="12.75" x14ac:dyDescent="0.2">
      <c r="A700" s="24"/>
      <c r="B700" s="24"/>
      <c r="D700" s="25"/>
      <c r="E700" s="24"/>
      <c r="F700" s="24"/>
    </row>
    <row r="701" spans="1:6" ht="12.75" x14ac:dyDescent="0.2">
      <c r="A701" s="24"/>
      <c r="B701" s="24"/>
      <c r="D701" s="25"/>
      <c r="E701" s="24"/>
      <c r="F701" s="24"/>
    </row>
    <row r="702" spans="1:6" ht="12.75" x14ac:dyDescent="0.2">
      <c r="A702" s="24"/>
      <c r="B702" s="24"/>
      <c r="D702" s="25"/>
      <c r="E702" s="24"/>
      <c r="F702" s="24"/>
    </row>
    <row r="703" spans="1:6" ht="12.75" x14ac:dyDescent="0.2">
      <c r="A703" s="24"/>
      <c r="B703" s="24"/>
      <c r="D703" s="25"/>
      <c r="E703" s="24"/>
      <c r="F703" s="24"/>
    </row>
    <row r="704" spans="1:6" ht="12.75" x14ac:dyDescent="0.2">
      <c r="A704" s="24"/>
      <c r="B704" s="24"/>
      <c r="D704" s="25"/>
      <c r="E704" s="24"/>
      <c r="F704" s="24"/>
    </row>
    <row r="705" spans="1:6" ht="12.75" x14ac:dyDescent="0.2">
      <c r="A705" s="24"/>
      <c r="B705" s="24"/>
      <c r="D705" s="25"/>
      <c r="E705" s="24"/>
      <c r="F705" s="24"/>
    </row>
    <row r="706" spans="1:6" ht="12.75" x14ac:dyDescent="0.2">
      <c r="A706" s="24"/>
      <c r="B706" s="24"/>
      <c r="D706" s="25"/>
      <c r="E706" s="24"/>
      <c r="F706" s="24"/>
    </row>
    <row r="707" spans="1:6" ht="12.75" x14ac:dyDescent="0.2">
      <c r="A707" s="24"/>
      <c r="B707" s="24"/>
      <c r="D707" s="25"/>
      <c r="E707" s="24"/>
      <c r="F707" s="24"/>
    </row>
    <row r="708" spans="1:6" ht="12.75" x14ac:dyDescent="0.2">
      <c r="A708" s="24"/>
      <c r="B708" s="24"/>
      <c r="D708" s="25"/>
      <c r="E708" s="24"/>
      <c r="F708" s="24"/>
    </row>
    <row r="709" spans="1:6" ht="12.75" x14ac:dyDescent="0.2">
      <c r="A709" s="24"/>
      <c r="B709" s="24"/>
      <c r="D709" s="25"/>
      <c r="E709" s="24"/>
      <c r="F709" s="24"/>
    </row>
    <row r="710" spans="1:6" ht="12.75" x14ac:dyDescent="0.2">
      <c r="A710" s="24"/>
      <c r="B710" s="24"/>
      <c r="D710" s="25"/>
      <c r="E710" s="24"/>
      <c r="F710" s="24"/>
    </row>
    <row r="711" spans="1:6" ht="12.75" x14ac:dyDescent="0.2">
      <c r="A711" s="24"/>
      <c r="B711" s="24"/>
      <c r="D711" s="25"/>
      <c r="E711" s="24"/>
      <c r="F711" s="24"/>
    </row>
    <row r="712" spans="1:6" ht="12.75" x14ac:dyDescent="0.2">
      <c r="A712" s="24"/>
      <c r="B712" s="24"/>
      <c r="D712" s="25"/>
      <c r="E712" s="24"/>
      <c r="F712" s="24"/>
    </row>
    <row r="713" spans="1:6" ht="12.75" x14ac:dyDescent="0.2">
      <c r="A713" s="24"/>
      <c r="B713" s="24"/>
      <c r="D713" s="25"/>
      <c r="E713" s="24"/>
      <c r="F713" s="24"/>
    </row>
    <row r="714" spans="1:6" ht="12.75" x14ac:dyDescent="0.2">
      <c r="A714" s="24"/>
      <c r="B714" s="24"/>
      <c r="D714" s="25"/>
      <c r="E714" s="24"/>
      <c r="F714" s="24"/>
    </row>
    <row r="715" spans="1:6" ht="12.75" x14ac:dyDescent="0.2">
      <c r="A715" s="24"/>
      <c r="B715" s="24"/>
      <c r="D715" s="25"/>
      <c r="E715" s="24"/>
      <c r="F715" s="24"/>
    </row>
    <row r="716" spans="1:6" ht="12.75" x14ac:dyDescent="0.2">
      <c r="A716" s="24"/>
      <c r="B716" s="24"/>
      <c r="D716" s="25"/>
      <c r="E716" s="24"/>
      <c r="F716" s="24"/>
    </row>
    <row r="717" spans="1:6" ht="12.75" x14ac:dyDescent="0.2">
      <c r="A717" s="24"/>
      <c r="B717" s="24"/>
      <c r="D717" s="25"/>
      <c r="E717" s="24"/>
      <c r="F717" s="24"/>
    </row>
    <row r="718" spans="1:6" ht="12.75" x14ac:dyDescent="0.2">
      <c r="A718" s="24"/>
      <c r="B718" s="24"/>
      <c r="D718" s="25"/>
      <c r="E718" s="24"/>
      <c r="F718" s="24"/>
    </row>
    <row r="719" spans="1:6" ht="12.75" x14ac:dyDescent="0.2">
      <c r="A719" s="24"/>
      <c r="B719" s="24"/>
      <c r="D719" s="25"/>
      <c r="E719" s="24"/>
      <c r="F719" s="24"/>
    </row>
    <row r="720" spans="1:6" ht="12.75" x14ac:dyDescent="0.2">
      <c r="A720" s="24"/>
      <c r="B720" s="24"/>
      <c r="D720" s="25"/>
      <c r="E720" s="24"/>
      <c r="F720" s="24"/>
    </row>
    <row r="721" spans="1:6" ht="12.75" x14ac:dyDescent="0.2">
      <c r="A721" s="24"/>
      <c r="B721" s="24"/>
      <c r="D721" s="25"/>
      <c r="E721" s="24"/>
      <c r="F721" s="24"/>
    </row>
    <row r="722" spans="1:6" ht="12.75" x14ac:dyDescent="0.2">
      <c r="A722" s="24"/>
      <c r="B722" s="24"/>
      <c r="D722" s="25"/>
      <c r="E722" s="24"/>
      <c r="F722" s="24"/>
    </row>
    <row r="723" spans="1:6" ht="12.75" x14ac:dyDescent="0.2">
      <c r="A723" s="24"/>
      <c r="B723" s="24"/>
      <c r="D723" s="25"/>
      <c r="E723" s="24"/>
      <c r="F723" s="24"/>
    </row>
    <row r="724" spans="1:6" ht="12.75" x14ac:dyDescent="0.2">
      <c r="A724" s="24"/>
      <c r="B724" s="24"/>
      <c r="D724" s="25"/>
      <c r="E724" s="24"/>
      <c r="F724" s="24"/>
    </row>
    <row r="725" spans="1:6" ht="12.75" x14ac:dyDescent="0.2">
      <c r="A725" s="24"/>
      <c r="B725" s="24"/>
      <c r="D725" s="25"/>
      <c r="E725" s="24"/>
      <c r="F725" s="24"/>
    </row>
    <row r="726" spans="1:6" ht="12.75" x14ac:dyDescent="0.2">
      <c r="A726" s="24"/>
      <c r="B726" s="24"/>
      <c r="D726" s="25"/>
      <c r="E726" s="24"/>
      <c r="F726" s="24"/>
    </row>
    <row r="727" spans="1:6" ht="12.75" x14ac:dyDescent="0.2">
      <c r="A727" s="24"/>
      <c r="B727" s="24"/>
      <c r="D727" s="25"/>
      <c r="E727" s="24"/>
      <c r="F727" s="24"/>
    </row>
    <row r="728" spans="1:6" ht="12.75" x14ac:dyDescent="0.2">
      <c r="A728" s="24"/>
      <c r="B728" s="24"/>
      <c r="D728" s="25"/>
      <c r="E728" s="24"/>
      <c r="F728" s="24"/>
    </row>
    <row r="729" spans="1:6" ht="12.75" x14ac:dyDescent="0.2">
      <c r="A729" s="24"/>
      <c r="B729" s="24"/>
      <c r="D729" s="25"/>
      <c r="E729" s="24"/>
      <c r="F729" s="24"/>
    </row>
    <row r="730" spans="1:6" ht="12.75" x14ac:dyDescent="0.2">
      <c r="A730" s="24"/>
      <c r="B730" s="24"/>
      <c r="D730" s="25"/>
      <c r="E730" s="24"/>
      <c r="F730" s="24"/>
    </row>
    <row r="731" spans="1:6" ht="12.75" x14ac:dyDescent="0.2">
      <c r="A731" s="24"/>
      <c r="B731" s="24"/>
      <c r="D731" s="25"/>
      <c r="E731" s="24"/>
      <c r="F731" s="24"/>
    </row>
    <row r="732" spans="1:6" ht="12.75" x14ac:dyDescent="0.2">
      <c r="A732" s="24"/>
      <c r="B732" s="24"/>
      <c r="D732" s="25"/>
      <c r="E732" s="24"/>
      <c r="F732" s="24"/>
    </row>
    <row r="733" spans="1:6" ht="12.75" x14ac:dyDescent="0.2">
      <c r="A733" s="24"/>
      <c r="B733" s="24"/>
      <c r="D733" s="25"/>
      <c r="E733" s="24"/>
      <c r="F733" s="24"/>
    </row>
    <row r="734" spans="1:6" ht="12.75" x14ac:dyDescent="0.2">
      <c r="A734" s="24"/>
      <c r="B734" s="24"/>
      <c r="D734" s="25"/>
      <c r="E734" s="24"/>
      <c r="F734" s="24"/>
    </row>
    <row r="735" spans="1:6" ht="12.75" x14ac:dyDescent="0.2">
      <c r="A735" s="24"/>
      <c r="B735" s="24"/>
      <c r="D735" s="25"/>
      <c r="E735" s="24"/>
      <c r="F735" s="24"/>
    </row>
    <row r="736" spans="1:6" ht="12.75" x14ac:dyDescent="0.2">
      <c r="A736" s="24"/>
      <c r="B736" s="24"/>
      <c r="D736" s="25"/>
      <c r="E736" s="24"/>
      <c r="F736" s="24"/>
    </row>
    <row r="737" spans="1:6" ht="12.75" x14ac:dyDescent="0.2">
      <c r="A737" s="24"/>
      <c r="B737" s="24"/>
      <c r="D737" s="25"/>
      <c r="E737" s="24"/>
      <c r="F737" s="24"/>
    </row>
    <row r="738" spans="1:6" ht="12.75" x14ac:dyDescent="0.2">
      <c r="A738" s="24"/>
      <c r="B738" s="24"/>
      <c r="D738" s="25"/>
      <c r="E738" s="24"/>
      <c r="F738" s="24"/>
    </row>
    <row r="739" spans="1:6" ht="12.75" x14ac:dyDescent="0.2">
      <c r="A739" s="24"/>
      <c r="B739" s="24"/>
      <c r="D739" s="25"/>
      <c r="E739" s="24"/>
      <c r="F739" s="24"/>
    </row>
    <row r="740" spans="1:6" ht="12.75" x14ac:dyDescent="0.2">
      <c r="A740" s="24"/>
      <c r="B740" s="24"/>
      <c r="D740" s="25"/>
      <c r="E740" s="24"/>
      <c r="F740" s="24"/>
    </row>
    <row r="741" spans="1:6" ht="12.75" x14ac:dyDescent="0.2">
      <c r="A741" s="24"/>
      <c r="B741" s="24"/>
      <c r="D741" s="25"/>
      <c r="E741" s="24"/>
      <c r="F741" s="24"/>
    </row>
    <row r="742" spans="1:6" ht="12.75" x14ac:dyDescent="0.2">
      <c r="A742" s="24"/>
      <c r="B742" s="24"/>
      <c r="D742" s="25"/>
      <c r="E742" s="24"/>
      <c r="F742" s="24"/>
    </row>
    <row r="743" spans="1:6" ht="12.75" x14ac:dyDescent="0.2">
      <c r="A743" s="24"/>
      <c r="B743" s="24"/>
      <c r="D743" s="25"/>
      <c r="E743" s="24"/>
      <c r="F743" s="24"/>
    </row>
    <row r="744" spans="1:6" ht="12.75" x14ac:dyDescent="0.2">
      <c r="A744" s="24"/>
      <c r="B744" s="24"/>
      <c r="D744" s="25"/>
      <c r="E744" s="24"/>
      <c r="F744" s="24"/>
    </row>
    <row r="745" spans="1:6" ht="12.75" x14ac:dyDescent="0.2">
      <c r="A745" s="24"/>
      <c r="B745" s="24"/>
      <c r="D745" s="25"/>
      <c r="E745" s="24"/>
      <c r="F745" s="24"/>
    </row>
    <row r="746" spans="1:6" ht="12.75" x14ac:dyDescent="0.2">
      <c r="A746" s="24"/>
      <c r="B746" s="24"/>
      <c r="D746" s="25"/>
      <c r="E746" s="24"/>
      <c r="F746" s="24"/>
    </row>
    <row r="747" spans="1:6" ht="12.75" x14ac:dyDescent="0.2">
      <c r="A747" s="24"/>
      <c r="B747" s="24"/>
      <c r="D747" s="25"/>
      <c r="E747" s="24"/>
      <c r="F747" s="24"/>
    </row>
    <row r="748" spans="1:6" ht="12.75" x14ac:dyDescent="0.2">
      <c r="A748" s="24"/>
      <c r="B748" s="24"/>
      <c r="D748" s="25"/>
      <c r="E748" s="24"/>
      <c r="F748" s="24"/>
    </row>
    <row r="749" spans="1:6" ht="12.75" x14ac:dyDescent="0.2">
      <c r="A749" s="24"/>
      <c r="B749" s="24"/>
      <c r="D749" s="25"/>
      <c r="E749" s="24"/>
      <c r="F749" s="24"/>
    </row>
    <row r="750" spans="1:6" ht="12.75" x14ac:dyDescent="0.2">
      <c r="A750" s="24"/>
      <c r="B750" s="24"/>
      <c r="D750" s="25"/>
      <c r="E750" s="24"/>
      <c r="F750" s="24"/>
    </row>
    <row r="751" spans="1:6" ht="12.75" x14ac:dyDescent="0.2">
      <c r="A751" s="24"/>
      <c r="B751" s="24"/>
      <c r="D751" s="25"/>
      <c r="E751" s="24"/>
      <c r="F751" s="24"/>
    </row>
    <row r="752" spans="1:6" ht="12.75" x14ac:dyDescent="0.2">
      <c r="A752" s="24"/>
      <c r="B752" s="24"/>
      <c r="D752" s="25"/>
      <c r="E752" s="24"/>
      <c r="F752" s="24"/>
    </row>
    <row r="753" spans="1:6" ht="12.75" x14ac:dyDescent="0.2">
      <c r="A753" s="24"/>
      <c r="B753" s="24"/>
      <c r="D753" s="25"/>
      <c r="E753" s="24"/>
      <c r="F753" s="24"/>
    </row>
    <row r="754" spans="1:6" ht="12.75" x14ac:dyDescent="0.2">
      <c r="A754" s="24"/>
      <c r="B754" s="24"/>
      <c r="D754" s="25"/>
      <c r="E754" s="24"/>
      <c r="F754" s="24"/>
    </row>
    <row r="755" spans="1:6" ht="12.75" x14ac:dyDescent="0.2">
      <c r="A755" s="24"/>
      <c r="B755" s="24"/>
      <c r="D755" s="25"/>
      <c r="E755" s="24"/>
      <c r="F755" s="24"/>
    </row>
    <row r="756" spans="1:6" ht="12.75" x14ac:dyDescent="0.2">
      <c r="A756" s="24"/>
      <c r="B756" s="24"/>
      <c r="D756" s="25"/>
      <c r="E756" s="24"/>
      <c r="F756" s="24"/>
    </row>
    <row r="757" spans="1:6" ht="12.75" x14ac:dyDescent="0.2">
      <c r="A757" s="24"/>
      <c r="B757" s="24"/>
      <c r="D757" s="25"/>
      <c r="E757" s="24"/>
      <c r="F757" s="24"/>
    </row>
    <row r="758" spans="1:6" ht="12.75" x14ac:dyDescent="0.2">
      <c r="A758" s="24"/>
      <c r="B758" s="24"/>
      <c r="D758" s="25"/>
      <c r="E758" s="24"/>
      <c r="F758" s="24"/>
    </row>
    <row r="759" spans="1:6" ht="12.75" x14ac:dyDescent="0.2">
      <c r="A759" s="24"/>
      <c r="B759" s="24"/>
      <c r="D759" s="25"/>
      <c r="E759" s="24"/>
      <c r="F759" s="24"/>
    </row>
    <row r="760" spans="1:6" ht="12.75" x14ac:dyDescent="0.2">
      <c r="A760" s="24"/>
      <c r="B760" s="24"/>
      <c r="D760" s="25"/>
      <c r="E760" s="24"/>
      <c r="F760" s="24"/>
    </row>
    <row r="761" spans="1:6" ht="12.75" x14ac:dyDescent="0.2">
      <c r="A761" s="24"/>
      <c r="B761" s="24"/>
      <c r="D761" s="25"/>
      <c r="E761" s="24"/>
      <c r="F761" s="24"/>
    </row>
    <row r="762" spans="1:6" ht="12.75" x14ac:dyDescent="0.2">
      <c r="A762" s="24"/>
      <c r="B762" s="24"/>
      <c r="D762" s="25"/>
      <c r="E762" s="24"/>
      <c r="F762" s="24"/>
    </row>
    <row r="763" spans="1:6" ht="12.75" x14ac:dyDescent="0.2">
      <c r="A763" s="24"/>
      <c r="B763" s="24"/>
      <c r="D763" s="25"/>
      <c r="E763" s="24"/>
      <c r="F763" s="24"/>
    </row>
    <row r="764" spans="1:6" ht="12.75" x14ac:dyDescent="0.2">
      <c r="A764" s="24"/>
      <c r="B764" s="24"/>
      <c r="D764" s="25"/>
      <c r="E764" s="24"/>
      <c r="F764" s="24"/>
    </row>
    <row r="765" spans="1:6" ht="12.75" x14ac:dyDescent="0.2">
      <c r="A765" s="24"/>
      <c r="B765" s="24"/>
      <c r="D765" s="25"/>
      <c r="E765" s="24"/>
      <c r="F765" s="24"/>
    </row>
    <row r="766" spans="1:6" ht="12.75" x14ac:dyDescent="0.2">
      <c r="A766" s="24"/>
      <c r="B766" s="24"/>
      <c r="D766" s="25"/>
      <c r="E766" s="24"/>
      <c r="F766" s="24"/>
    </row>
    <row r="767" spans="1:6" ht="12.75" x14ac:dyDescent="0.2">
      <c r="A767" s="24"/>
      <c r="B767" s="24"/>
      <c r="D767" s="25"/>
      <c r="E767" s="24"/>
      <c r="F767" s="24"/>
    </row>
    <row r="768" spans="1:6" ht="12.75" x14ac:dyDescent="0.2">
      <c r="A768" s="24"/>
      <c r="B768" s="24"/>
      <c r="D768" s="25"/>
      <c r="E768" s="24"/>
      <c r="F768" s="24"/>
    </row>
    <row r="769" spans="1:6" ht="12.75" x14ac:dyDescent="0.2">
      <c r="A769" s="24"/>
      <c r="B769" s="24"/>
      <c r="D769" s="25"/>
      <c r="E769" s="24"/>
      <c r="F769" s="24"/>
    </row>
    <row r="770" spans="1:6" ht="12.75" x14ac:dyDescent="0.2">
      <c r="A770" s="24"/>
      <c r="B770" s="24"/>
      <c r="D770" s="25"/>
      <c r="E770" s="24"/>
      <c r="F770" s="24"/>
    </row>
    <row r="771" spans="1:6" ht="12.75" x14ac:dyDescent="0.2">
      <c r="A771" s="24"/>
      <c r="B771" s="24"/>
      <c r="D771" s="25"/>
      <c r="E771" s="24"/>
      <c r="F771" s="24"/>
    </row>
    <row r="772" spans="1:6" ht="12.75" x14ac:dyDescent="0.2">
      <c r="A772" s="24"/>
      <c r="B772" s="24"/>
      <c r="D772" s="25"/>
      <c r="E772" s="24"/>
      <c r="F772" s="24"/>
    </row>
    <row r="773" spans="1:6" ht="12.75" x14ac:dyDescent="0.2">
      <c r="A773" s="24"/>
      <c r="B773" s="24"/>
      <c r="D773" s="25"/>
      <c r="E773" s="24"/>
      <c r="F773" s="24"/>
    </row>
    <row r="774" spans="1:6" ht="12.75" x14ac:dyDescent="0.2">
      <c r="A774" s="24"/>
      <c r="B774" s="24"/>
      <c r="D774" s="25"/>
      <c r="E774" s="24"/>
      <c r="F774" s="24"/>
    </row>
    <row r="775" spans="1:6" ht="12.75" x14ac:dyDescent="0.2">
      <c r="A775" s="24"/>
      <c r="B775" s="24"/>
      <c r="D775" s="25"/>
      <c r="E775" s="24"/>
      <c r="F775" s="24"/>
    </row>
    <row r="776" spans="1:6" ht="12.75" x14ac:dyDescent="0.2">
      <c r="A776" s="24"/>
      <c r="B776" s="24"/>
      <c r="D776" s="25"/>
      <c r="E776" s="24"/>
      <c r="F776" s="24"/>
    </row>
    <row r="777" spans="1:6" ht="12.75" x14ac:dyDescent="0.2">
      <c r="A777" s="24"/>
      <c r="B777" s="24"/>
      <c r="D777" s="25"/>
      <c r="E777" s="24"/>
      <c r="F777" s="24"/>
    </row>
    <row r="778" spans="1:6" ht="12.75" x14ac:dyDescent="0.2">
      <c r="A778" s="24"/>
      <c r="B778" s="24"/>
      <c r="D778" s="25"/>
      <c r="E778" s="24"/>
      <c r="F778" s="24"/>
    </row>
    <row r="779" spans="1:6" ht="12.75" x14ac:dyDescent="0.2">
      <c r="A779" s="24"/>
      <c r="B779" s="24"/>
      <c r="D779" s="25"/>
      <c r="E779" s="24"/>
      <c r="F779" s="24"/>
    </row>
    <row r="780" spans="1:6" ht="12.75" x14ac:dyDescent="0.2">
      <c r="A780" s="24"/>
      <c r="B780" s="24"/>
      <c r="D780" s="25"/>
      <c r="E780" s="24"/>
      <c r="F780" s="24"/>
    </row>
    <row r="781" spans="1:6" ht="12.75" x14ac:dyDescent="0.2">
      <c r="A781" s="24"/>
      <c r="B781" s="24"/>
      <c r="D781" s="25"/>
      <c r="E781" s="24"/>
      <c r="F781" s="24"/>
    </row>
    <row r="782" spans="1:6" ht="12.75" x14ac:dyDescent="0.2">
      <c r="A782" s="24"/>
      <c r="B782" s="24"/>
      <c r="D782" s="25"/>
      <c r="E782" s="24"/>
      <c r="F782" s="24"/>
    </row>
    <row r="783" spans="1:6" ht="12.75" x14ac:dyDescent="0.2">
      <c r="A783" s="24"/>
      <c r="B783" s="24"/>
      <c r="D783" s="25"/>
      <c r="E783" s="24"/>
      <c r="F783" s="24"/>
    </row>
    <row r="784" spans="1:6" ht="12.75" x14ac:dyDescent="0.2">
      <c r="A784" s="24"/>
      <c r="B784" s="24"/>
      <c r="D784" s="25"/>
      <c r="E784" s="24"/>
      <c r="F784" s="24"/>
    </row>
    <row r="785" spans="1:6" ht="12.75" x14ac:dyDescent="0.2">
      <c r="A785" s="24"/>
      <c r="B785" s="24"/>
      <c r="D785" s="25"/>
      <c r="E785" s="24"/>
      <c r="F785" s="24"/>
    </row>
    <row r="786" spans="1:6" ht="12.75" x14ac:dyDescent="0.2">
      <c r="A786" s="24"/>
      <c r="B786" s="24"/>
      <c r="D786" s="25"/>
      <c r="E786" s="24"/>
      <c r="F786" s="24"/>
    </row>
    <row r="787" spans="1:6" ht="12.75" x14ac:dyDescent="0.2">
      <c r="A787" s="24"/>
      <c r="B787" s="24"/>
      <c r="D787" s="25"/>
      <c r="E787" s="24"/>
      <c r="F787" s="24"/>
    </row>
    <row r="788" spans="1:6" ht="12.75" x14ac:dyDescent="0.2">
      <c r="A788" s="24"/>
      <c r="B788" s="24"/>
      <c r="D788" s="25"/>
      <c r="E788" s="24"/>
      <c r="F788" s="24"/>
    </row>
    <row r="789" spans="1:6" ht="12.75" x14ac:dyDescent="0.2">
      <c r="A789" s="24"/>
      <c r="B789" s="24"/>
      <c r="D789" s="25"/>
      <c r="E789" s="24"/>
      <c r="F789" s="24"/>
    </row>
    <row r="790" spans="1:6" ht="12.75" x14ac:dyDescent="0.2">
      <c r="A790" s="24"/>
      <c r="B790" s="24"/>
      <c r="D790" s="25"/>
      <c r="E790" s="24"/>
      <c r="F790" s="24"/>
    </row>
    <row r="791" spans="1:6" ht="12.75" x14ac:dyDescent="0.2">
      <c r="A791" s="24"/>
      <c r="B791" s="24"/>
      <c r="D791" s="25"/>
      <c r="E791" s="24"/>
      <c r="F791" s="24"/>
    </row>
    <row r="792" spans="1:6" ht="12.75" x14ac:dyDescent="0.2">
      <c r="A792" s="24"/>
      <c r="B792" s="24"/>
      <c r="D792" s="25"/>
      <c r="E792" s="24"/>
      <c r="F792" s="24"/>
    </row>
    <row r="793" spans="1:6" ht="12.75" x14ac:dyDescent="0.2">
      <c r="A793" s="24"/>
      <c r="B793" s="24"/>
      <c r="D793" s="25"/>
      <c r="E793" s="24"/>
      <c r="F793" s="24"/>
    </row>
    <row r="794" spans="1:6" ht="12.75" x14ac:dyDescent="0.2">
      <c r="A794" s="24"/>
      <c r="B794" s="24"/>
      <c r="D794" s="25"/>
      <c r="E794" s="24"/>
      <c r="F794" s="24"/>
    </row>
    <row r="795" spans="1:6" ht="12.75" x14ac:dyDescent="0.2">
      <c r="A795" s="24"/>
      <c r="B795" s="24"/>
      <c r="D795" s="25"/>
      <c r="E795" s="24"/>
      <c r="F795" s="24"/>
    </row>
    <row r="796" spans="1:6" ht="12.75" x14ac:dyDescent="0.2">
      <c r="A796" s="24"/>
      <c r="B796" s="24"/>
      <c r="D796" s="25"/>
      <c r="E796" s="24"/>
      <c r="F796" s="24"/>
    </row>
    <row r="797" spans="1:6" ht="12.75" x14ac:dyDescent="0.2">
      <c r="A797" s="24"/>
      <c r="B797" s="24"/>
      <c r="D797" s="25"/>
      <c r="E797" s="24"/>
      <c r="F797" s="24"/>
    </row>
    <row r="798" spans="1:6" ht="12.75" x14ac:dyDescent="0.2">
      <c r="A798" s="24"/>
      <c r="B798" s="24"/>
      <c r="D798" s="25"/>
      <c r="E798" s="24"/>
      <c r="F798" s="24"/>
    </row>
    <row r="799" spans="1:6" ht="12.75" x14ac:dyDescent="0.2">
      <c r="A799" s="24"/>
      <c r="B799" s="24"/>
      <c r="D799" s="25"/>
      <c r="E799" s="24"/>
      <c r="F799" s="24"/>
    </row>
    <row r="800" spans="1:6" ht="12.75" x14ac:dyDescent="0.2">
      <c r="A800" s="24"/>
      <c r="B800" s="24"/>
      <c r="D800" s="25"/>
      <c r="E800" s="24"/>
      <c r="F800" s="24"/>
    </row>
    <row r="801" spans="1:6" ht="12.75" x14ac:dyDescent="0.2">
      <c r="A801" s="24"/>
      <c r="B801" s="24"/>
      <c r="D801" s="25"/>
      <c r="E801" s="24"/>
      <c r="F801" s="24"/>
    </row>
    <row r="802" spans="1:6" ht="12.75" x14ac:dyDescent="0.2">
      <c r="A802" s="24"/>
      <c r="B802" s="24"/>
      <c r="D802" s="25"/>
      <c r="E802" s="24"/>
      <c r="F802" s="24"/>
    </row>
    <row r="803" spans="1:6" ht="12.75" x14ac:dyDescent="0.2">
      <c r="A803" s="24"/>
      <c r="B803" s="24"/>
      <c r="D803" s="25"/>
      <c r="E803" s="24"/>
      <c r="F803" s="24"/>
    </row>
    <row r="804" spans="1:6" ht="12.75" x14ac:dyDescent="0.2">
      <c r="A804" s="24"/>
      <c r="B804" s="24"/>
      <c r="D804" s="25"/>
      <c r="E804" s="24"/>
      <c r="F804" s="24"/>
    </row>
    <row r="805" spans="1:6" ht="12.75" x14ac:dyDescent="0.2">
      <c r="A805" s="24"/>
      <c r="B805" s="24"/>
      <c r="D805" s="25"/>
      <c r="E805" s="24"/>
      <c r="F805" s="24"/>
    </row>
    <row r="806" spans="1:6" ht="12.75" x14ac:dyDescent="0.2">
      <c r="A806" s="24"/>
      <c r="B806" s="24"/>
      <c r="D806" s="25"/>
      <c r="E806" s="24"/>
      <c r="F806" s="24"/>
    </row>
    <row r="807" spans="1:6" ht="12.75" x14ac:dyDescent="0.2">
      <c r="A807" s="24"/>
      <c r="B807" s="24"/>
      <c r="D807" s="25"/>
      <c r="E807" s="24"/>
      <c r="F807" s="24"/>
    </row>
    <row r="808" spans="1:6" ht="12.75" x14ac:dyDescent="0.2">
      <c r="A808" s="24"/>
      <c r="B808" s="24"/>
      <c r="D808" s="25"/>
      <c r="E808" s="24"/>
      <c r="F808" s="24"/>
    </row>
    <row r="809" spans="1:6" ht="12.75" x14ac:dyDescent="0.2">
      <c r="A809" s="24"/>
      <c r="B809" s="24"/>
      <c r="D809" s="25"/>
      <c r="E809" s="24"/>
      <c r="F809" s="24"/>
    </row>
    <row r="810" spans="1:6" ht="12.75" x14ac:dyDescent="0.2">
      <c r="A810" s="24"/>
      <c r="B810" s="24"/>
      <c r="D810" s="25"/>
      <c r="E810" s="24"/>
      <c r="F810" s="24"/>
    </row>
    <row r="811" spans="1:6" ht="12.75" x14ac:dyDescent="0.2">
      <c r="A811" s="24"/>
      <c r="B811" s="24"/>
      <c r="D811" s="25"/>
      <c r="E811" s="24"/>
      <c r="F811" s="24"/>
    </row>
    <row r="812" spans="1:6" ht="12.75" x14ac:dyDescent="0.2">
      <c r="A812" s="24"/>
      <c r="B812" s="24"/>
      <c r="D812" s="25"/>
      <c r="E812" s="24"/>
      <c r="F812" s="24"/>
    </row>
    <row r="813" spans="1:6" ht="12.75" x14ac:dyDescent="0.2">
      <c r="A813" s="24"/>
      <c r="B813" s="24"/>
      <c r="D813" s="25"/>
      <c r="E813" s="24"/>
      <c r="F813" s="24"/>
    </row>
    <row r="814" spans="1:6" ht="12.75" x14ac:dyDescent="0.2">
      <c r="A814" s="24"/>
      <c r="B814" s="24"/>
      <c r="D814" s="25"/>
      <c r="E814" s="24"/>
      <c r="F814" s="24"/>
    </row>
    <row r="815" spans="1:6" ht="12.75" x14ac:dyDescent="0.2">
      <c r="A815" s="24"/>
      <c r="B815" s="24"/>
      <c r="D815" s="25"/>
      <c r="E815" s="24"/>
      <c r="F815" s="24"/>
    </row>
    <row r="816" spans="1:6" ht="12.75" x14ac:dyDescent="0.2">
      <c r="A816" s="24"/>
      <c r="B816" s="24"/>
      <c r="D816" s="25"/>
      <c r="E816" s="24"/>
      <c r="F816" s="24"/>
    </row>
    <row r="817" spans="1:6" ht="12.75" x14ac:dyDescent="0.2">
      <c r="A817" s="24"/>
      <c r="B817" s="24"/>
      <c r="D817" s="25"/>
      <c r="E817" s="24"/>
      <c r="F817" s="24"/>
    </row>
    <row r="818" spans="1:6" ht="12.75" x14ac:dyDescent="0.2">
      <c r="A818" s="24"/>
      <c r="B818" s="24"/>
      <c r="D818" s="25"/>
      <c r="E818" s="24"/>
      <c r="F818" s="24"/>
    </row>
    <row r="819" spans="1:6" ht="12.75" x14ac:dyDescent="0.2">
      <c r="A819" s="24"/>
      <c r="B819" s="24"/>
      <c r="D819" s="25"/>
      <c r="E819" s="24"/>
      <c r="F819" s="24"/>
    </row>
    <row r="820" spans="1:6" ht="12.75" x14ac:dyDescent="0.2">
      <c r="A820" s="24"/>
      <c r="B820" s="24"/>
      <c r="D820" s="25"/>
      <c r="E820" s="24"/>
      <c r="F820" s="24"/>
    </row>
    <row r="821" spans="1:6" ht="12.75" x14ac:dyDescent="0.2">
      <c r="A821" s="24"/>
      <c r="B821" s="24"/>
      <c r="D821" s="25"/>
      <c r="E821" s="24"/>
      <c r="F821" s="24"/>
    </row>
    <row r="822" spans="1:6" ht="12.75" x14ac:dyDescent="0.2">
      <c r="A822" s="24"/>
      <c r="B822" s="24"/>
      <c r="D822" s="25"/>
      <c r="E822" s="24"/>
      <c r="F822" s="24"/>
    </row>
    <row r="823" spans="1:6" ht="12.75" x14ac:dyDescent="0.2">
      <c r="A823" s="24"/>
      <c r="B823" s="24"/>
      <c r="D823" s="25"/>
      <c r="E823" s="24"/>
      <c r="F823" s="24"/>
    </row>
    <row r="824" spans="1:6" ht="12.75" x14ac:dyDescent="0.2">
      <c r="A824" s="24"/>
      <c r="B824" s="24"/>
      <c r="D824" s="25"/>
      <c r="E824" s="24"/>
      <c r="F824" s="24"/>
    </row>
    <row r="825" spans="1:6" ht="12.75" x14ac:dyDescent="0.2">
      <c r="A825" s="24"/>
      <c r="B825" s="24"/>
      <c r="D825" s="25"/>
      <c r="E825" s="24"/>
      <c r="F825" s="24"/>
    </row>
    <row r="826" spans="1:6" ht="12.75" x14ac:dyDescent="0.2">
      <c r="A826" s="24"/>
      <c r="B826" s="24"/>
      <c r="D826" s="25"/>
      <c r="E826" s="24"/>
      <c r="F826" s="24"/>
    </row>
    <row r="827" spans="1:6" ht="12.75" x14ac:dyDescent="0.2">
      <c r="A827" s="24"/>
      <c r="B827" s="24"/>
      <c r="D827" s="25"/>
      <c r="E827" s="24"/>
      <c r="F827" s="24"/>
    </row>
    <row r="828" spans="1:6" ht="12.75" x14ac:dyDescent="0.2">
      <c r="A828" s="24"/>
      <c r="B828" s="24"/>
      <c r="D828" s="25"/>
      <c r="E828" s="24"/>
      <c r="F828" s="24"/>
    </row>
    <row r="829" spans="1:6" ht="12.75" x14ac:dyDescent="0.2">
      <c r="A829" s="24"/>
      <c r="B829" s="24"/>
      <c r="D829" s="25"/>
      <c r="E829" s="24"/>
      <c r="F829" s="24"/>
    </row>
    <row r="830" spans="1:6" ht="12.75" x14ac:dyDescent="0.2">
      <c r="A830" s="24"/>
      <c r="B830" s="24"/>
      <c r="D830" s="25"/>
      <c r="E830" s="24"/>
      <c r="F830" s="24"/>
    </row>
    <row r="831" spans="1:6" ht="12.75" x14ac:dyDescent="0.2">
      <c r="A831" s="24"/>
      <c r="B831" s="24"/>
      <c r="D831" s="25"/>
      <c r="E831" s="24"/>
      <c r="F831" s="24"/>
    </row>
    <row r="832" spans="1:6" ht="12.75" x14ac:dyDescent="0.2">
      <c r="A832" s="24"/>
      <c r="B832" s="24"/>
      <c r="D832" s="25"/>
      <c r="E832" s="24"/>
      <c r="F832" s="24"/>
    </row>
    <row r="833" spans="1:6" ht="12.75" x14ac:dyDescent="0.2">
      <c r="A833" s="24"/>
      <c r="B833" s="24"/>
      <c r="D833" s="25"/>
      <c r="E833" s="24"/>
      <c r="F833" s="24"/>
    </row>
    <row r="834" spans="1:6" ht="12.75" x14ac:dyDescent="0.2">
      <c r="A834" s="24"/>
      <c r="B834" s="24"/>
      <c r="D834" s="25"/>
      <c r="E834" s="24"/>
      <c r="F834" s="24"/>
    </row>
    <row r="835" spans="1:6" ht="12.75" x14ac:dyDescent="0.2">
      <c r="A835" s="24"/>
      <c r="B835" s="24"/>
      <c r="D835" s="25"/>
      <c r="E835" s="24"/>
      <c r="F835" s="24"/>
    </row>
    <row r="836" spans="1:6" ht="12.75" x14ac:dyDescent="0.2">
      <c r="A836" s="24"/>
      <c r="B836" s="24"/>
      <c r="D836" s="25"/>
      <c r="E836" s="24"/>
      <c r="F836" s="24"/>
    </row>
    <row r="837" spans="1:6" ht="12.75" x14ac:dyDescent="0.2">
      <c r="A837" s="24"/>
      <c r="B837" s="24"/>
      <c r="D837" s="25"/>
      <c r="E837" s="24"/>
      <c r="F837" s="24"/>
    </row>
    <row r="838" spans="1:6" ht="12.75" x14ac:dyDescent="0.2">
      <c r="A838" s="24"/>
      <c r="B838" s="24"/>
      <c r="D838" s="25"/>
      <c r="E838" s="24"/>
      <c r="F838" s="24"/>
    </row>
    <row r="839" spans="1:6" ht="12.75" x14ac:dyDescent="0.2">
      <c r="A839" s="24"/>
      <c r="B839" s="24"/>
      <c r="D839" s="25"/>
      <c r="E839" s="24"/>
      <c r="F839" s="24"/>
    </row>
    <row r="840" spans="1:6" ht="12.75" x14ac:dyDescent="0.2">
      <c r="A840" s="24"/>
      <c r="B840" s="24"/>
      <c r="D840" s="25"/>
      <c r="E840" s="24"/>
      <c r="F840" s="24"/>
    </row>
    <row r="841" spans="1:6" ht="12.75" x14ac:dyDescent="0.2">
      <c r="A841" s="24"/>
      <c r="B841" s="24"/>
      <c r="D841" s="25"/>
      <c r="E841" s="24"/>
      <c r="F841" s="24"/>
    </row>
    <row r="842" spans="1:6" ht="12.75" x14ac:dyDescent="0.2">
      <c r="A842" s="24"/>
      <c r="B842" s="24"/>
      <c r="D842" s="25"/>
      <c r="E842" s="24"/>
      <c r="F842" s="24"/>
    </row>
    <row r="843" spans="1:6" ht="12.75" x14ac:dyDescent="0.2">
      <c r="A843" s="24"/>
      <c r="B843" s="24"/>
      <c r="D843" s="25"/>
      <c r="E843" s="24"/>
      <c r="F843" s="24"/>
    </row>
    <row r="844" spans="1:6" ht="12.75" x14ac:dyDescent="0.2">
      <c r="A844" s="24"/>
      <c r="B844" s="24"/>
      <c r="D844" s="25"/>
      <c r="E844" s="24"/>
      <c r="F844" s="24"/>
    </row>
    <row r="845" spans="1:6" ht="12.75" x14ac:dyDescent="0.2">
      <c r="A845" s="24"/>
      <c r="B845" s="24"/>
      <c r="D845" s="25"/>
      <c r="E845" s="24"/>
      <c r="F845" s="24"/>
    </row>
    <row r="846" spans="1:6" ht="12.75" x14ac:dyDescent="0.2">
      <c r="A846" s="24"/>
      <c r="B846" s="24"/>
      <c r="D846" s="25"/>
      <c r="E846" s="24"/>
      <c r="F846" s="24"/>
    </row>
    <row r="847" spans="1:6" ht="12.75" x14ac:dyDescent="0.2">
      <c r="A847" s="24"/>
      <c r="B847" s="24"/>
      <c r="D847" s="25"/>
      <c r="E847" s="24"/>
      <c r="F847" s="24"/>
    </row>
    <row r="848" spans="1:6" ht="12.75" x14ac:dyDescent="0.2">
      <c r="A848" s="24"/>
      <c r="B848" s="24"/>
      <c r="D848" s="25"/>
      <c r="E848" s="24"/>
      <c r="F848" s="24"/>
    </row>
    <row r="849" spans="1:6" ht="12.75" x14ac:dyDescent="0.2">
      <c r="A849" s="24"/>
      <c r="B849" s="24"/>
      <c r="D849" s="25"/>
      <c r="E849" s="24"/>
      <c r="F849" s="24"/>
    </row>
    <row r="850" spans="1:6" ht="12.75" x14ac:dyDescent="0.2">
      <c r="A850" s="24"/>
      <c r="B850" s="24"/>
      <c r="D850" s="25"/>
      <c r="E850" s="24"/>
      <c r="F850" s="24"/>
    </row>
    <row r="851" spans="1:6" ht="12.75" x14ac:dyDescent="0.2">
      <c r="A851" s="24"/>
      <c r="B851" s="24"/>
      <c r="D851" s="25"/>
      <c r="E851" s="24"/>
      <c r="F851" s="24"/>
    </row>
    <row r="852" spans="1:6" ht="12.75" x14ac:dyDescent="0.2">
      <c r="A852" s="24"/>
      <c r="B852" s="24"/>
      <c r="D852" s="25"/>
      <c r="E852" s="24"/>
      <c r="F852" s="24"/>
    </row>
    <row r="853" spans="1:6" ht="12.75" x14ac:dyDescent="0.2">
      <c r="A853" s="24"/>
      <c r="B853" s="24"/>
      <c r="D853" s="25"/>
      <c r="E853" s="24"/>
      <c r="F853" s="24"/>
    </row>
    <row r="854" spans="1:6" ht="12.75" x14ac:dyDescent="0.2">
      <c r="A854" s="24"/>
      <c r="B854" s="24"/>
      <c r="D854" s="25"/>
      <c r="E854" s="24"/>
      <c r="F854" s="24"/>
    </row>
    <row r="855" spans="1:6" ht="12.75" x14ac:dyDescent="0.2">
      <c r="A855" s="24"/>
      <c r="B855" s="24"/>
      <c r="D855" s="25"/>
      <c r="E855" s="24"/>
      <c r="F855" s="24"/>
    </row>
    <row r="856" spans="1:6" ht="12.75" x14ac:dyDescent="0.2">
      <c r="A856" s="24"/>
      <c r="B856" s="24"/>
      <c r="D856" s="25"/>
      <c r="E856" s="24"/>
      <c r="F856" s="24"/>
    </row>
    <row r="857" spans="1:6" ht="12.75" x14ac:dyDescent="0.2">
      <c r="A857" s="24"/>
      <c r="B857" s="24"/>
      <c r="D857" s="25"/>
      <c r="E857" s="24"/>
      <c r="F857" s="24"/>
    </row>
    <row r="858" spans="1:6" ht="12.75" x14ac:dyDescent="0.2">
      <c r="A858" s="24"/>
      <c r="B858" s="24"/>
      <c r="D858" s="25"/>
      <c r="E858" s="24"/>
      <c r="F858" s="24"/>
    </row>
    <row r="859" spans="1:6" ht="12.75" x14ac:dyDescent="0.2">
      <c r="A859" s="24"/>
      <c r="B859" s="24"/>
      <c r="D859" s="25"/>
      <c r="E859" s="24"/>
      <c r="F859" s="24"/>
    </row>
    <row r="860" spans="1:6" ht="12.75" x14ac:dyDescent="0.2">
      <c r="A860" s="24"/>
      <c r="B860" s="24"/>
      <c r="D860" s="25"/>
      <c r="E860" s="24"/>
      <c r="F860" s="24"/>
    </row>
    <row r="861" spans="1:6" ht="12.75" x14ac:dyDescent="0.2">
      <c r="A861" s="24"/>
      <c r="B861" s="24"/>
      <c r="D861" s="25"/>
      <c r="E861" s="24"/>
      <c r="F861" s="24"/>
    </row>
    <row r="862" spans="1:6" ht="12.75" x14ac:dyDescent="0.2">
      <c r="A862" s="24"/>
      <c r="B862" s="24"/>
      <c r="D862" s="25"/>
      <c r="E862" s="24"/>
      <c r="F862" s="24"/>
    </row>
    <row r="863" spans="1:6" ht="12.75" x14ac:dyDescent="0.2">
      <c r="A863" s="24"/>
      <c r="B863" s="24"/>
      <c r="D863" s="25"/>
      <c r="E863" s="24"/>
      <c r="F863" s="24"/>
    </row>
    <row r="864" spans="1:6" ht="12.75" x14ac:dyDescent="0.2">
      <c r="A864" s="24"/>
      <c r="B864" s="24"/>
      <c r="D864" s="25"/>
      <c r="E864" s="24"/>
      <c r="F864" s="24"/>
    </row>
    <row r="865" spans="1:6" ht="12.75" x14ac:dyDescent="0.2">
      <c r="A865" s="24"/>
      <c r="B865" s="24"/>
      <c r="D865" s="25"/>
      <c r="E865" s="24"/>
      <c r="F865" s="24"/>
    </row>
    <row r="866" spans="1:6" ht="12.75" x14ac:dyDescent="0.2">
      <c r="A866" s="24"/>
      <c r="B866" s="24"/>
      <c r="D866" s="25"/>
      <c r="E866" s="24"/>
      <c r="F866" s="24"/>
    </row>
    <row r="867" spans="1:6" ht="12.75" x14ac:dyDescent="0.2">
      <c r="A867" s="24"/>
      <c r="B867" s="24"/>
      <c r="D867" s="25"/>
      <c r="E867" s="24"/>
      <c r="F867" s="24"/>
    </row>
    <row r="868" spans="1:6" ht="12.75" x14ac:dyDescent="0.2">
      <c r="A868" s="24"/>
      <c r="B868" s="24"/>
      <c r="D868" s="25"/>
      <c r="E868" s="24"/>
      <c r="F868" s="24"/>
    </row>
    <row r="869" spans="1:6" ht="12.75" x14ac:dyDescent="0.2">
      <c r="A869" s="24"/>
      <c r="B869" s="24"/>
      <c r="D869" s="25"/>
      <c r="E869" s="24"/>
      <c r="F869" s="24"/>
    </row>
    <row r="870" spans="1:6" ht="12.75" x14ac:dyDescent="0.2">
      <c r="A870" s="24"/>
      <c r="B870" s="24"/>
      <c r="D870" s="25"/>
      <c r="E870" s="24"/>
      <c r="F870" s="24"/>
    </row>
    <row r="871" spans="1:6" ht="12.75" x14ac:dyDescent="0.2">
      <c r="A871" s="24"/>
      <c r="B871" s="24"/>
      <c r="D871" s="25"/>
      <c r="E871" s="24"/>
      <c r="F871" s="24"/>
    </row>
    <row r="872" spans="1:6" ht="12.75" x14ac:dyDescent="0.2">
      <c r="A872" s="24"/>
      <c r="B872" s="24"/>
      <c r="D872" s="25"/>
      <c r="E872" s="24"/>
      <c r="F872" s="24"/>
    </row>
    <row r="873" spans="1:6" ht="12.75" x14ac:dyDescent="0.2">
      <c r="A873" s="24"/>
      <c r="B873" s="24"/>
      <c r="D873" s="25"/>
      <c r="E873" s="24"/>
      <c r="F873" s="24"/>
    </row>
    <row r="874" spans="1:6" ht="12.75" x14ac:dyDescent="0.2">
      <c r="A874" s="24"/>
      <c r="B874" s="24"/>
      <c r="D874" s="25"/>
      <c r="E874" s="24"/>
      <c r="F874" s="24"/>
    </row>
    <row r="875" spans="1:6" ht="12.75" x14ac:dyDescent="0.2">
      <c r="A875" s="24"/>
      <c r="B875" s="24"/>
      <c r="D875" s="25"/>
      <c r="E875" s="24"/>
      <c r="F875" s="24"/>
    </row>
    <row r="876" spans="1:6" ht="12.75" x14ac:dyDescent="0.2">
      <c r="A876" s="24"/>
      <c r="B876" s="24"/>
      <c r="D876" s="25"/>
      <c r="E876" s="24"/>
      <c r="F876" s="24"/>
    </row>
    <row r="877" spans="1:6" ht="12.75" x14ac:dyDescent="0.2">
      <c r="A877" s="24"/>
      <c r="B877" s="24"/>
      <c r="D877" s="25"/>
      <c r="E877" s="24"/>
      <c r="F877" s="24"/>
    </row>
    <row r="878" spans="1:6" ht="12.75" x14ac:dyDescent="0.2">
      <c r="A878" s="24"/>
      <c r="B878" s="24"/>
      <c r="D878" s="25"/>
      <c r="E878" s="24"/>
      <c r="F878" s="24"/>
    </row>
    <row r="879" spans="1:6" ht="12.75" x14ac:dyDescent="0.2">
      <c r="A879" s="24"/>
      <c r="B879" s="24"/>
      <c r="D879" s="25"/>
      <c r="E879" s="24"/>
      <c r="F879" s="24"/>
    </row>
    <row r="880" spans="1:6" ht="12.75" x14ac:dyDescent="0.2">
      <c r="A880" s="24"/>
      <c r="B880" s="24"/>
      <c r="D880" s="25"/>
      <c r="E880" s="24"/>
      <c r="F880" s="24"/>
    </row>
    <row r="881" spans="1:6" ht="12.75" x14ac:dyDescent="0.2">
      <c r="A881" s="24"/>
      <c r="B881" s="24"/>
      <c r="D881" s="25"/>
      <c r="E881" s="24"/>
      <c r="F881" s="24"/>
    </row>
    <row r="882" spans="1:6" ht="12.75" x14ac:dyDescent="0.2">
      <c r="A882" s="24"/>
      <c r="B882" s="24"/>
      <c r="D882" s="25"/>
      <c r="E882" s="24"/>
      <c r="F882" s="24"/>
    </row>
    <row r="883" spans="1:6" ht="12.75" x14ac:dyDescent="0.2">
      <c r="A883" s="24"/>
      <c r="B883" s="24"/>
      <c r="D883" s="25"/>
      <c r="E883" s="24"/>
      <c r="F883" s="24"/>
    </row>
    <row r="884" spans="1:6" ht="12.75" x14ac:dyDescent="0.2">
      <c r="A884" s="24"/>
      <c r="B884" s="24"/>
      <c r="D884" s="25"/>
      <c r="E884" s="24"/>
      <c r="F884" s="24"/>
    </row>
    <row r="885" spans="1:6" ht="12.75" x14ac:dyDescent="0.2">
      <c r="A885" s="24"/>
      <c r="B885" s="24"/>
      <c r="D885" s="25"/>
      <c r="E885" s="24"/>
      <c r="F885" s="24"/>
    </row>
    <row r="886" spans="1:6" ht="12.75" x14ac:dyDescent="0.2">
      <c r="A886" s="24"/>
      <c r="B886" s="24"/>
      <c r="D886" s="25"/>
      <c r="E886" s="24"/>
      <c r="F886" s="24"/>
    </row>
    <row r="887" spans="1:6" ht="12.75" x14ac:dyDescent="0.2">
      <c r="A887" s="24"/>
      <c r="B887" s="24"/>
      <c r="D887" s="25"/>
      <c r="E887" s="24"/>
      <c r="F887" s="24"/>
    </row>
    <row r="888" spans="1:6" ht="12.75" x14ac:dyDescent="0.2">
      <c r="A888" s="24"/>
      <c r="B888" s="24"/>
      <c r="D888" s="25"/>
      <c r="E888" s="24"/>
      <c r="F888" s="24"/>
    </row>
    <row r="889" spans="1:6" ht="12.75" x14ac:dyDescent="0.2">
      <c r="A889" s="24"/>
      <c r="B889" s="24"/>
      <c r="D889" s="25"/>
      <c r="E889" s="24"/>
      <c r="F889" s="24"/>
    </row>
    <row r="890" spans="1:6" ht="12.75" x14ac:dyDescent="0.2">
      <c r="A890" s="24"/>
      <c r="B890" s="24"/>
      <c r="D890" s="25"/>
      <c r="E890" s="24"/>
      <c r="F890" s="24"/>
    </row>
    <row r="891" spans="1:6" ht="12.75" x14ac:dyDescent="0.2">
      <c r="A891" s="24"/>
      <c r="B891" s="24"/>
      <c r="D891" s="25"/>
      <c r="E891" s="24"/>
      <c r="F891" s="24"/>
    </row>
    <row r="892" spans="1:6" ht="12.75" x14ac:dyDescent="0.2">
      <c r="A892" s="24"/>
      <c r="B892" s="24"/>
      <c r="D892" s="25"/>
      <c r="E892" s="24"/>
      <c r="F892" s="24"/>
    </row>
    <row r="893" spans="1:6" ht="12.75" x14ac:dyDescent="0.2">
      <c r="A893" s="24"/>
      <c r="B893" s="24"/>
      <c r="D893" s="25"/>
      <c r="E893" s="24"/>
      <c r="F893" s="24"/>
    </row>
    <row r="894" spans="1:6" ht="12.75" x14ac:dyDescent="0.2">
      <c r="A894" s="24"/>
      <c r="B894" s="24"/>
      <c r="D894" s="25"/>
      <c r="E894" s="24"/>
      <c r="F894" s="24"/>
    </row>
    <row r="895" spans="1:6" ht="12.75" x14ac:dyDescent="0.2">
      <c r="A895" s="24"/>
      <c r="B895" s="24"/>
      <c r="D895" s="25"/>
      <c r="E895" s="24"/>
      <c r="F895" s="24"/>
    </row>
    <row r="896" spans="1:6" ht="12.75" x14ac:dyDescent="0.2">
      <c r="A896" s="24"/>
      <c r="B896" s="24"/>
      <c r="D896" s="25"/>
      <c r="E896" s="24"/>
      <c r="F896" s="24"/>
    </row>
    <row r="897" spans="1:6" ht="12.75" x14ac:dyDescent="0.2">
      <c r="A897" s="24"/>
      <c r="B897" s="24"/>
      <c r="D897" s="25"/>
      <c r="E897" s="24"/>
      <c r="F897" s="24"/>
    </row>
    <row r="898" spans="1:6" ht="12.75" x14ac:dyDescent="0.2">
      <c r="A898" s="24"/>
      <c r="B898" s="24"/>
      <c r="D898" s="25"/>
      <c r="E898" s="24"/>
      <c r="F898" s="24"/>
    </row>
    <row r="899" spans="1:6" ht="12.75" x14ac:dyDescent="0.2">
      <c r="A899" s="24"/>
      <c r="B899" s="24"/>
      <c r="D899" s="25"/>
      <c r="E899" s="24"/>
      <c r="F899" s="24"/>
    </row>
    <row r="900" spans="1:6" ht="12.75" x14ac:dyDescent="0.2">
      <c r="A900" s="24"/>
      <c r="B900" s="24"/>
      <c r="D900" s="25"/>
      <c r="E900" s="24"/>
      <c r="F900" s="24"/>
    </row>
    <row r="901" spans="1:6" ht="12.75" x14ac:dyDescent="0.2">
      <c r="A901" s="24"/>
      <c r="B901" s="24"/>
      <c r="D901" s="25"/>
      <c r="E901" s="24"/>
      <c r="F901" s="24"/>
    </row>
    <row r="902" spans="1:6" ht="12.75" x14ac:dyDescent="0.2">
      <c r="A902" s="24"/>
      <c r="B902" s="24"/>
      <c r="D902" s="25"/>
      <c r="E902" s="24"/>
      <c r="F902" s="24"/>
    </row>
    <row r="903" spans="1:6" ht="12.75" x14ac:dyDescent="0.2">
      <c r="A903" s="24"/>
      <c r="B903" s="24"/>
      <c r="D903" s="25"/>
      <c r="E903" s="24"/>
      <c r="F903" s="24"/>
    </row>
    <row r="904" spans="1:6" ht="12.75" x14ac:dyDescent="0.2">
      <c r="A904" s="24"/>
      <c r="B904" s="24"/>
      <c r="D904" s="25"/>
      <c r="E904" s="24"/>
      <c r="F904" s="24"/>
    </row>
    <row r="905" spans="1:6" ht="12.75" x14ac:dyDescent="0.2">
      <c r="A905" s="24"/>
      <c r="B905" s="24"/>
      <c r="D905" s="25"/>
      <c r="E905" s="24"/>
      <c r="F905" s="24"/>
    </row>
    <row r="906" spans="1:6" ht="12.75" x14ac:dyDescent="0.2">
      <c r="A906" s="24"/>
      <c r="B906" s="24"/>
      <c r="D906" s="25"/>
      <c r="E906" s="24"/>
      <c r="F906" s="24"/>
    </row>
    <row r="907" spans="1:6" ht="12.75" x14ac:dyDescent="0.2">
      <c r="A907" s="24"/>
      <c r="B907" s="24"/>
      <c r="D907" s="25"/>
      <c r="E907" s="24"/>
      <c r="F907" s="24"/>
    </row>
    <row r="908" spans="1:6" ht="12.75" x14ac:dyDescent="0.2">
      <c r="A908" s="24"/>
      <c r="B908" s="24"/>
      <c r="D908" s="25"/>
      <c r="E908" s="24"/>
      <c r="F908" s="24"/>
    </row>
    <row r="909" spans="1:6" ht="12.75" x14ac:dyDescent="0.2">
      <c r="A909" s="24"/>
      <c r="B909" s="24"/>
      <c r="D909" s="25"/>
      <c r="E909" s="24"/>
      <c r="F909" s="24"/>
    </row>
    <row r="910" spans="1:6" ht="12.75" x14ac:dyDescent="0.2">
      <c r="A910" s="24"/>
      <c r="B910" s="24"/>
      <c r="D910" s="25"/>
      <c r="E910" s="24"/>
      <c r="F910" s="24"/>
    </row>
    <row r="911" spans="1:6" ht="12.75" x14ac:dyDescent="0.2">
      <c r="A911" s="24"/>
      <c r="B911" s="24"/>
      <c r="D911" s="25"/>
      <c r="E911" s="24"/>
      <c r="F911" s="24"/>
    </row>
    <row r="912" spans="1:6" ht="12.75" x14ac:dyDescent="0.2">
      <c r="A912" s="24"/>
      <c r="B912" s="24"/>
      <c r="D912" s="25"/>
      <c r="E912" s="24"/>
      <c r="F912" s="24"/>
    </row>
    <row r="913" spans="1:6" ht="12.75" x14ac:dyDescent="0.2">
      <c r="A913" s="24"/>
      <c r="B913" s="24"/>
      <c r="D913" s="25"/>
      <c r="E913" s="24"/>
      <c r="F913" s="24"/>
    </row>
    <row r="914" spans="1:6" ht="12.75" x14ac:dyDescent="0.2">
      <c r="A914" s="24"/>
      <c r="B914" s="24"/>
      <c r="D914" s="25"/>
      <c r="E914" s="24"/>
      <c r="F914" s="24"/>
    </row>
    <row r="915" spans="1:6" ht="12.75" x14ac:dyDescent="0.2">
      <c r="A915" s="24"/>
      <c r="B915" s="24"/>
      <c r="D915" s="25"/>
      <c r="E915" s="24"/>
      <c r="F915" s="24"/>
    </row>
    <row r="916" spans="1:6" ht="12.75" x14ac:dyDescent="0.2">
      <c r="A916" s="24"/>
      <c r="B916" s="24"/>
      <c r="D916" s="25"/>
      <c r="E916" s="24"/>
      <c r="F916" s="24"/>
    </row>
    <row r="917" spans="1:6" ht="12.75" x14ac:dyDescent="0.2">
      <c r="A917" s="24"/>
      <c r="B917" s="24"/>
      <c r="D917" s="25"/>
      <c r="E917" s="24"/>
      <c r="F917" s="24"/>
    </row>
    <row r="918" spans="1:6" ht="12.75" x14ac:dyDescent="0.2">
      <c r="A918" s="24"/>
      <c r="B918" s="24"/>
      <c r="D918" s="25"/>
      <c r="E918" s="24"/>
      <c r="F918" s="24"/>
    </row>
    <row r="919" spans="1:6" ht="12.75" x14ac:dyDescent="0.2">
      <c r="A919" s="24"/>
      <c r="B919" s="24"/>
      <c r="D919" s="25"/>
      <c r="E919" s="24"/>
      <c r="F919" s="24"/>
    </row>
    <row r="920" spans="1:6" ht="12.75" x14ac:dyDescent="0.2">
      <c r="A920" s="24"/>
      <c r="B920" s="24"/>
      <c r="D920" s="25"/>
      <c r="E920" s="24"/>
      <c r="F920" s="24"/>
    </row>
    <row r="921" spans="1:6" ht="12.75" x14ac:dyDescent="0.2">
      <c r="A921" s="24"/>
      <c r="B921" s="24"/>
      <c r="D921" s="25"/>
      <c r="E921" s="24"/>
      <c r="F921" s="24"/>
    </row>
    <row r="922" spans="1:6" ht="12.75" x14ac:dyDescent="0.2">
      <c r="A922" s="24"/>
      <c r="B922" s="24"/>
      <c r="D922" s="25"/>
      <c r="E922" s="24"/>
      <c r="F922" s="24"/>
    </row>
    <row r="923" spans="1:6" ht="12.75" x14ac:dyDescent="0.2">
      <c r="A923" s="24"/>
      <c r="B923" s="24"/>
      <c r="D923" s="25"/>
      <c r="E923" s="24"/>
      <c r="F923" s="24"/>
    </row>
    <row r="924" spans="1:6" ht="12.75" x14ac:dyDescent="0.2">
      <c r="A924" s="24"/>
      <c r="B924" s="24"/>
      <c r="D924" s="25"/>
      <c r="E924" s="24"/>
      <c r="F924" s="24"/>
    </row>
    <row r="925" spans="1:6" ht="12.75" x14ac:dyDescent="0.2">
      <c r="A925" s="24"/>
      <c r="B925" s="24"/>
      <c r="D925" s="25"/>
      <c r="E925" s="24"/>
      <c r="F925" s="24"/>
    </row>
    <row r="926" spans="1:6" ht="12.75" x14ac:dyDescent="0.2">
      <c r="A926" s="24"/>
      <c r="B926" s="24"/>
      <c r="D926" s="25"/>
      <c r="E926" s="24"/>
      <c r="F926" s="24"/>
    </row>
    <row r="927" spans="1:6" ht="12.75" x14ac:dyDescent="0.2">
      <c r="A927" s="24"/>
      <c r="B927" s="24"/>
      <c r="D927" s="25"/>
      <c r="E927" s="24"/>
      <c r="F927" s="24"/>
    </row>
    <row r="928" spans="1:6" ht="12.75" x14ac:dyDescent="0.2">
      <c r="A928" s="24"/>
      <c r="B928" s="24"/>
      <c r="D928" s="25"/>
      <c r="E928" s="24"/>
      <c r="F928" s="24"/>
    </row>
    <row r="929" spans="1:6" ht="12.75" x14ac:dyDescent="0.2">
      <c r="A929" s="24"/>
      <c r="B929" s="24"/>
      <c r="D929" s="25"/>
      <c r="E929" s="24"/>
      <c r="F929" s="24"/>
    </row>
    <row r="930" spans="1:6" ht="12.75" x14ac:dyDescent="0.2">
      <c r="A930" s="24"/>
      <c r="B930" s="24"/>
      <c r="D930" s="25"/>
      <c r="E930" s="24"/>
      <c r="F930" s="24"/>
    </row>
    <row r="931" spans="1:6" ht="12.75" x14ac:dyDescent="0.2">
      <c r="A931" s="24"/>
      <c r="B931" s="24"/>
      <c r="D931" s="25"/>
      <c r="E931" s="24"/>
      <c r="F931" s="24"/>
    </row>
    <row r="932" spans="1:6" ht="12.75" x14ac:dyDescent="0.2">
      <c r="A932" s="24"/>
      <c r="B932" s="24"/>
      <c r="D932" s="25"/>
      <c r="E932" s="24"/>
      <c r="F932" s="24"/>
    </row>
    <row r="933" spans="1:6" ht="12.75" x14ac:dyDescent="0.2">
      <c r="A933" s="24"/>
      <c r="B933" s="24"/>
      <c r="D933" s="25"/>
      <c r="E933" s="24"/>
      <c r="F933" s="24"/>
    </row>
    <row r="934" spans="1:6" ht="12.75" x14ac:dyDescent="0.2">
      <c r="A934" s="24"/>
      <c r="B934" s="24"/>
      <c r="D934" s="25"/>
      <c r="E934" s="24"/>
      <c r="F934" s="24"/>
    </row>
    <row r="935" spans="1:6" ht="12.75" x14ac:dyDescent="0.2">
      <c r="A935" s="24"/>
      <c r="B935" s="24"/>
      <c r="D935" s="25"/>
      <c r="E935" s="24"/>
      <c r="F935" s="24"/>
    </row>
    <row r="936" spans="1:6" ht="12.75" x14ac:dyDescent="0.2">
      <c r="A936" s="24"/>
      <c r="B936" s="24"/>
      <c r="D936" s="25"/>
      <c r="E936" s="24"/>
      <c r="F936" s="24"/>
    </row>
    <row r="937" spans="1:6" ht="12.75" x14ac:dyDescent="0.2">
      <c r="A937" s="24"/>
      <c r="B937" s="24"/>
      <c r="D937" s="25"/>
      <c r="E937" s="24"/>
      <c r="F937" s="24"/>
    </row>
    <row r="938" spans="1:6" ht="12.75" x14ac:dyDescent="0.2">
      <c r="A938" s="24"/>
      <c r="B938" s="24"/>
      <c r="D938" s="25"/>
      <c r="E938" s="24"/>
      <c r="F938" s="24"/>
    </row>
    <row r="939" spans="1:6" ht="12.75" x14ac:dyDescent="0.2">
      <c r="A939" s="24"/>
      <c r="B939" s="24"/>
      <c r="D939" s="25"/>
      <c r="E939" s="24"/>
      <c r="F939" s="24"/>
    </row>
    <row r="940" spans="1:6" ht="12.75" x14ac:dyDescent="0.2">
      <c r="A940" s="24"/>
      <c r="B940" s="24"/>
      <c r="D940" s="25"/>
      <c r="E940" s="24"/>
      <c r="F940" s="24"/>
    </row>
    <row r="941" spans="1:6" ht="12.75" x14ac:dyDescent="0.2">
      <c r="A941" s="24"/>
      <c r="B941" s="24"/>
      <c r="D941" s="25"/>
      <c r="E941" s="24"/>
      <c r="F941" s="24"/>
    </row>
    <row r="942" spans="1:6" ht="12.75" x14ac:dyDescent="0.2">
      <c r="A942" s="24"/>
      <c r="B942" s="24"/>
      <c r="D942" s="25"/>
      <c r="E942" s="24"/>
      <c r="F942" s="24"/>
    </row>
    <row r="943" spans="1:6" ht="12.75" x14ac:dyDescent="0.2">
      <c r="A943" s="24"/>
      <c r="B943" s="24"/>
      <c r="D943" s="25"/>
      <c r="E943" s="24"/>
      <c r="F943" s="24"/>
    </row>
    <row r="944" spans="1:6" ht="12.75" x14ac:dyDescent="0.2">
      <c r="A944" s="24"/>
      <c r="B944" s="24"/>
      <c r="D944" s="25"/>
      <c r="E944" s="24"/>
      <c r="F944" s="24"/>
    </row>
    <row r="945" spans="1:6" ht="12.75" x14ac:dyDescent="0.2">
      <c r="A945" s="24"/>
      <c r="B945" s="24"/>
      <c r="D945" s="25"/>
      <c r="E945" s="24"/>
      <c r="F945" s="24"/>
    </row>
    <row r="946" spans="1:6" ht="12.75" x14ac:dyDescent="0.2">
      <c r="A946" s="24"/>
      <c r="B946" s="24"/>
      <c r="D946" s="25"/>
      <c r="E946" s="24"/>
      <c r="F946" s="24"/>
    </row>
    <row r="947" spans="1:6" ht="12.75" x14ac:dyDescent="0.2">
      <c r="A947" s="24"/>
      <c r="B947" s="24"/>
      <c r="D947" s="25"/>
      <c r="E947" s="24"/>
      <c r="F947" s="24"/>
    </row>
    <row r="948" spans="1:6" ht="12.75" x14ac:dyDescent="0.2">
      <c r="A948" s="24"/>
      <c r="B948" s="24"/>
      <c r="D948" s="25"/>
      <c r="E948" s="24"/>
      <c r="F948" s="24"/>
    </row>
    <row r="949" spans="1:6" ht="12.75" x14ac:dyDescent="0.2">
      <c r="A949" s="24"/>
      <c r="B949" s="24"/>
      <c r="D949" s="25"/>
      <c r="E949" s="24"/>
      <c r="F949" s="24"/>
    </row>
    <row r="950" spans="1:6" ht="12.75" x14ac:dyDescent="0.2">
      <c r="A950" s="24"/>
      <c r="B950" s="24"/>
      <c r="D950" s="25"/>
      <c r="E950" s="24"/>
      <c r="F950" s="24"/>
    </row>
    <row r="951" spans="1:6" ht="12.75" x14ac:dyDescent="0.2">
      <c r="A951" s="24"/>
      <c r="B951" s="24"/>
      <c r="D951" s="25"/>
      <c r="E951" s="24"/>
      <c r="F951" s="24"/>
    </row>
    <row r="952" spans="1:6" ht="12.75" x14ac:dyDescent="0.2">
      <c r="A952" s="24"/>
      <c r="B952" s="24"/>
      <c r="D952" s="25"/>
      <c r="E952" s="24"/>
      <c r="F952" s="24"/>
    </row>
    <row r="953" spans="1:6" ht="12.75" x14ac:dyDescent="0.2">
      <c r="A953" s="24"/>
      <c r="B953" s="24"/>
      <c r="D953" s="25"/>
      <c r="E953" s="24"/>
      <c r="F953" s="24"/>
    </row>
    <row r="954" spans="1:6" ht="12.75" x14ac:dyDescent="0.2">
      <c r="A954" s="24"/>
      <c r="B954" s="24"/>
      <c r="D954" s="25"/>
      <c r="E954" s="24"/>
      <c r="F954" s="24"/>
    </row>
    <row r="955" spans="1:6" ht="12.75" x14ac:dyDescent="0.2">
      <c r="A955" s="24"/>
      <c r="B955" s="24"/>
      <c r="D955" s="25"/>
      <c r="E955" s="24"/>
      <c r="F955" s="24"/>
    </row>
    <row r="956" spans="1:6" ht="12.75" x14ac:dyDescent="0.2">
      <c r="A956" s="24"/>
      <c r="B956" s="24"/>
      <c r="D956" s="25"/>
      <c r="E956" s="24"/>
      <c r="F956" s="24"/>
    </row>
    <row r="957" spans="1:6" ht="12.75" x14ac:dyDescent="0.2">
      <c r="A957" s="24"/>
      <c r="B957" s="24"/>
      <c r="D957" s="25"/>
      <c r="E957" s="24"/>
      <c r="F957" s="24"/>
    </row>
    <row r="958" spans="1:6" ht="12.75" x14ac:dyDescent="0.2">
      <c r="A958" s="24"/>
      <c r="B958" s="24"/>
      <c r="D958" s="25"/>
      <c r="E958" s="24"/>
      <c r="F958" s="24"/>
    </row>
    <row r="959" spans="1:6" ht="12.75" x14ac:dyDescent="0.2">
      <c r="A959" s="24"/>
      <c r="B959" s="24"/>
      <c r="D959" s="25"/>
      <c r="E959" s="24"/>
      <c r="F959" s="24"/>
    </row>
    <row r="960" spans="1:6" ht="12.75" x14ac:dyDescent="0.2">
      <c r="A960" s="24"/>
      <c r="B960" s="24"/>
      <c r="D960" s="25"/>
      <c r="E960" s="24"/>
      <c r="F960" s="24"/>
    </row>
    <row r="961" spans="1:6" ht="12.75" x14ac:dyDescent="0.2">
      <c r="A961" s="24"/>
      <c r="B961" s="24"/>
      <c r="D961" s="25"/>
      <c r="E961" s="24"/>
      <c r="F961" s="24"/>
    </row>
    <row r="962" spans="1:6" ht="12.75" x14ac:dyDescent="0.2">
      <c r="A962" s="24"/>
      <c r="B962" s="24"/>
      <c r="D962" s="25"/>
      <c r="E962" s="24"/>
      <c r="F962" s="24"/>
    </row>
    <row r="963" spans="1:6" ht="12.75" x14ac:dyDescent="0.2">
      <c r="A963" s="24"/>
      <c r="B963" s="24"/>
      <c r="D963" s="25"/>
      <c r="E963" s="24"/>
      <c r="F963" s="24"/>
    </row>
    <row r="964" spans="1:6" ht="12.75" x14ac:dyDescent="0.2">
      <c r="A964" s="24"/>
      <c r="B964" s="24"/>
      <c r="D964" s="25"/>
      <c r="E964" s="24"/>
      <c r="F964" s="24"/>
    </row>
    <row r="965" spans="1:6" ht="12.75" x14ac:dyDescent="0.2">
      <c r="A965" s="24"/>
      <c r="B965" s="24"/>
      <c r="D965" s="25"/>
      <c r="E965" s="24"/>
      <c r="F965" s="24"/>
    </row>
    <row r="966" spans="1:6" ht="12.75" x14ac:dyDescent="0.2">
      <c r="A966" s="24"/>
      <c r="B966" s="24"/>
      <c r="D966" s="25"/>
      <c r="E966" s="24"/>
      <c r="F966" s="24"/>
    </row>
    <row r="967" spans="1:6" ht="12.75" x14ac:dyDescent="0.2">
      <c r="A967" s="24"/>
      <c r="B967" s="24"/>
      <c r="D967" s="25"/>
      <c r="E967" s="24"/>
      <c r="F967" s="24"/>
    </row>
    <row r="968" spans="1:6" ht="12.75" x14ac:dyDescent="0.2">
      <c r="A968" s="24"/>
      <c r="B968" s="24"/>
      <c r="D968" s="25"/>
      <c r="E968" s="24"/>
      <c r="F968" s="24"/>
    </row>
    <row r="969" spans="1:6" ht="12.75" x14ac:dyDescent="0.2">
      <c r="A969" s="24"/>
      <c r="B969" s="24"/>
      <c r="D969" s="25"/>
      <c r="E969" s="24"/>
      <c r="F969" s="24"/>
    </row>
    <row r="970" spans="1:6" ht="12.75" x14ac:dyDescent="0.2">
      <c r="A970" s="24"/>
      <c r="B970" s="24"/>
      <c r="D970" s="25"/>
      <c r="E970" s="24"/>
      <c r="F970" s="24"/>
    </row>
    <row r="971" spans="1:6" ht="12.75" x14ac:dyDescent="0.2">
      <c r="A971" s="24"/>
      <c r="B971" s="24"/>
      <c r="D971" s="25"/>
      <c r="E971" s="24"/>
      <c r="F971" s="24"/>
    </row>
    <row r="972" spans="1:6" ht="12.75" x14ac:dyDescent="0.2">
      <c r="A972" s="24"/>
      <c r="B972" s="24"/>
      <c r="D972" s="25"/>
      <c r="E972" s="24"/>
      <c r="F972" s="24"/>
    </row>
    <row r="973" spans="1:6" ht="12.75" x14ac:dyDescent="0.2">
      <c r="A973" s="24"/>
      <c r="B973" s="24"/>
      <c r="D973" s="25"/>
      <c r="E973" s="24"/>
      <c r="F973" s="24"/>
    </row>
    <row r="974" spans="1:6" ht="12.75" x14ac:dyDescent="0.2">
      <c r="A974" s="24"/>
      <c r="B974" s="24"/>
      <c r="D974" s="25"/>
      <c r="E974" s="24"/>
      <c r="F974" s="24"/>
    </row>
    <row r="975" spans="1:6" ht="12.75" x14ac:dyDescent="0.2">
      <c r="A975" s="24"/>
      <c r="B975" s="24"/>
      <c r="D975" s="25"/>
      <c r="E975" s="24"/>
      <c r="F975" s="24"/>
    </row>
    <row r="976" spans="1:6" ht="12.75" x14ac:dyDescent="0.2">
      <c r="A976" s="24"/>
      <c r="B976" s="24"/>
      <c r="D976" s="25"/>
      <c r="E976" s="24"/>
      <c r="F976" s="24"/>
    </row>
    <row r="977" spans="1:6" ht="12.75" x14ac:dyDescent="0.2">
      <c r="A977" s="24"/>
      <c r="B977" s="24"/>
      <c r="D977" s="25"/>
      <c r="E977" s="24"/>
      <c r="F977" s="24"/>
    </row>
    <row r="978" spans="1:6" ht="12.75" x14ac:dyDescent="0.2">
      <c r="A978" s="24"/>
      <c r="B978" s="24"/>
      <c r="D978" s="25"/>
      <c r="E978" s="24"/>
      <c r="F978" s="24"/>
    </row>
    <row r="979" spans="1:6" ht="12.75" x14ac:dyDescent="0.2">
      <c r="A979" s="24"/>
      <c r="B979" s="24"/>
      <c r="D979" s="25"/>
      <c r="E979" s="24"/>
      <c r="F979" s="24"/>
    </row>
    <row r="980" spans="1:6" ht="12.75" x14ac:dyDescent="0.2">
      <c r="A980" s="24"/>
      <c r="B980" s="24"/>
      <c r="D980" s="25"/>
      <c r="E980" s="24"/>
      <c r="F980" s="24"/>
    </row>
    <row r="981" spans="1:6" ht="12.75" x14ac:dyDescent="0.2">
      <c r="A981" s="24"/>
      <c r="B981" s="24"/>
      <c r="D981" s="25"/>
      <c r="E981" s="24"/>
      <c r="F981" s="24"/>
    </row>
    <row r="982" spans="1:6" ht="12.75" x14ac:dyDescent="0.2">
      <c r="A982" s="24"/>
      <c r="B982" s="24"/>
      <c r="D982" s="25"/>
      <c r="E982" s="24"/>
      <c r="F982" s="24"/>
    </row>
    <row r="983" spans="1:6" ht="12.75" x14ac:dyDescent="0.2">
      <c r="A983" s="24"/>
      <c r="B983" s="24"/>
      <c r="D983" s="25"/>
      <c r="E983" s="24"/>
      <c r="F983" s="24"/>
    </row>
    <row r="984" spans="1:6" ht="12.75" x14ac:dyDescent="0.2">
      <c r="A984" s="24"/>
      <c r="B984" s="24"/>
      <c r="D984" s="25"/>
      <c r="E984" s="24"/>
      <c r="F984" s="24"/>
    </row>
  </sheetData>
  <mergeCells count="11">
    <mergeCell ref="A52:G52"/>
    <mergeCell ref="A54:G54"/>
    <mergeCell ref="A2:G2"/>
    <mergeCell ref="A1:G1"/>
    <mergeCell ref="A149:G149"/>
    <mergeCell ref="A124:G124"/>
    <mergeCell ref="A126:G126"/>
    <mergeCell ref="A16:G16"/>
    <mergeCell ref="A66:G66"/>
    <mergeCell ref="A18:G18"/>
    <mergeCell ref="A68:G68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839"/>
  <sheetViews>
    <sheetView workbookViewId="0"/>
  </sheetViews>
  <sheetFormatPr defaultColWidth="12.5703125" defaultRowHeight="15.75" customHeight="1" x14ac:dyDescent="0.2"/>
  <cols>
    <col min="1" max="1" width="7.28515625" customWidth="1"/>
    <col min="2" max="2" width="17.28515625" customWidth="1"/>
    <col min="3" max="3" width="34.140625" customWidth="1"/>
    <col min="4" max="4" width="48.28515625" customWidth="1"/>
    <col min="6" max="6" width="14.7109375" customWidth="1"/>
    <col min="7" max="7" width="58.7109375" customWidth="1"/>
    <col min="8" max="8" width="35.140625" customWidth="1"/>
  </cols>
  <sheetData>
    <row r="1" spans="1:26" ht="41.25" customHeight="1" x14ac:dyDescent="0.25">
      <c r="A1" s="131" t="s">
        <v>8</v>
      </c>
      <c r="B1" s="132"/>
      <c r="C1" s="132"/>
      <c r="D1" s="132"/>
      <c r="E1" s="132"/>
      <c r="F1" s="132"/>
      <c r="G1" s="132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6.25" customHeight="1" x14ac:dyDescent="0.25">
      <c r="A2" s="130" t="s">
        <v>2</v>
      </c>
      <c r="B2" s="127"/>
      <c r="C2" s="127"/>
      <c r="D2" s="127"/>
      <c r="E2" s="127"/>
      <c r="F2" s="127"/>
      <c r="G2" s="128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26.25" customHeight="1" x14ac:dyDescent="0.25">
      <c r="A3" s="2" t="s">
        <v>9</v>
      </c>
      <c r="B3" s="2" t="s">
        <v>10</v>
      </c>
      <c r="C3" s="2" t="s">
        <v>11</v>
      </c>
      <c r="D3" s="3" t="s">
        <v>12</v>
      </c>
      <c r="E3" s="2" t="s">
        <v>13</v>
      </c>
      <c r="F3" s="44" t="s">
        <v>14</v>
      </c>
      <c r="G3" s="2" t="s">
        <v>15</v>
      </c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26.25" customHeight="1" x14ac:dyDescent="0.25">
      <c r="A4" s="9">
        <v>1</v>
      </c>
      <c r="B4" s="46">
        <v>926247</v>
      </c>
      <c r="C4" s="47" t="s">
        <v>441</v>
      </c>
      <c r="D4" s="48" t="s">
        <v>442</v>
      </c>
      <c r="E4" s="49" t="s">
        <v>26</v>
      </c>
      <c r="F4" s="50">
        <v>25064</v>
      </c>
      <c r="G4" s="51" t="s">
        <v>443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26.25" customHeight="1" x14ac:dyDescent="0.25">
      <c r="A5" s="9">
        <v>2</v>
      </c>
      <c r="B5" s="52">
        <v>772266</v>
      </c>
      <c r="C5" s="53" t="s">
        <v>444</v>
      </c>
      <c r="D5" s="48" t="s">
        <v>58</v>
      </c>
      <c r="E5" s="49" t="s">
        <v>26</v>
      </c>
      <c r="F5" s="50">
        <v>27641</v>
      </c>
      <c r="G5" s="54" t="s">
        <v>445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26.25" customHeight="1" x14ac:dyDescent="0.25">
      <c r="A6" s="9">
        <v>3</v>
      </c>
      <c r="B6" s="46">
        <v>715099</v>
      </c>
      <c r="C6" s="47" t="s">
        <v>446</v>
      </c>
      <c r="D6" s="48" t="s">
        <v>25</v>
      </c>
      <c r="E6" s="49" t="s">
        <v>26</v>
      </c>
      <c r="F6" s="50">
        <v>25889</v>
      </c>
      <c r="G6" s="55" t="s">
        <v>447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26.25" customHeight="1" x14ac:dyDescent="0.25">
      <c r="A7" s="9">
        <v>4</v>
      </c>
      <c r="B7" s="46">
        <v>191397</v>
      </c>
      <c r="C7" s="47" t="s">
        <v>448</v>
      </c>
      <c r="D7" s="48" t="s">
        <v>101</v>
      </c>
      <c r="E7" s="49" t="s">
        <v>26</v>
      </c>
      <c r="F7" s="50">
        <v>33678</v>
      </c>
      <c r="G7" s="51" t="s">
        <v>449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26.25" customHeight="1" x14ac:dyDescent="0.25">
      <c r="A8" s="9">
        <v>5</v>
      </c>
      <c r="B8" s="46">
        <v>207698</v>
      </c>
      <c r="C8" s="47" t="s">
        <v>450</v>
      </c>
      <c r="D8" s="48" t="s">
        <v>277</v>
      </c>
      <c r="E8" s="49" t="s">
        <v>26</v>
      </c>
      <c r="F8" s="50">
        <v>27687</v>
      </c>
      <c r="G8" s="51" t="s">
        <v>451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26.25" customHeight="1" x14ac:dyDescent="0.25">
      <c r="A9" s="9">
        <v>6</v>
      </c>
      <c r="B9" s="46">
        <v>804461</v>
      </c>
      <c r="C9" s="47" t="s">
        <v>452</v>
      </c>
      <c r="D9" s="48" t="s">
        <v>51</v>
      </c>
      <c r="E9" s="49" t="s">
        <v>26</v>
      </c>
      <c r="F9" s="50">
        <v>25480</v>
      </c>
      <c r="G9" s="51" t="s">
        <v>445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26.25" customHeight="1" x14ac:dyDescent="0.25">
      <c r="A10" s="9">
        <v>7</v>
      </c>
      <c r="B10" s="46">
        <v>207635</v>
      </c>
      <c r="C10" s="47" t="s">
        <v>453</v>
      </c>
      <c r="D10" s="48" t="s">
        <v>58</v>
      </c>
      <c r="E10" s="49" t="s">
        <v>26</v>
      </c>
      <c r="F10" s="50">
        <v>30644</v>
      </c>
      <c r="G10" s="55" t="s">
        <v>447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26.25" customHeight="1" x14ac:dyDescent="0.25">
      <c r="A11" s="9">
        <v>8</v>
      </c>
      <c r="B11" s="46">
        <v>641778</v>
      </c>
      <c r="C11" s="47" t="s">
        <v>454</v>
      </c>
      <c r="D11" s="48" t="s">
        <v>408</v>
      </c>
      <c r="E11" s="49" t="s">
        <v>18</v>
      </c>
      <c r="F11" s="50">
        <v>30126</v>
      </c>
      <c r="G11" s="51" t="s">
        <v>20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26.25" customHeight="1" x14ac:dyDescent="0.25">
      <c r="A12" s="9">
        <v>9</v>
      </c>
      <c r="B12" s="46">
        <v>336696</v>
      </c>
      <c r="C12" s="47" t="s">
        <v>455</v>
      </c>
      <c r="D12" s="48" t="s">
        <v>32</v>
      </c>
      <c r="E12" s="49" t="s">
        <v>18</v>
      </c>
      <c r="F12" s="50">
        <v>29447</v>
      </c>
      <c r="G12" s="51" t="s">
        <v>456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26.25" customHeight="1" x14ac:dyDescent="0.25">
      <c r="A13" s="9">
        <v>10</v>
      </c>
      <c r="B13" s="46">
        <v>522405</v>
      </c>
      <c r="C13" s="47" t="s">
        <v>457</v>
      </c>
      <c r="D13" s="48" t="s">
        <v>458</v>
      </c>
      <c r="E13" s="49" t="s">
        <v>26</v>
      </c>
      <c r="F13" s="50">
        <v>23588</v>
      </c>
      <c r="G13" s="51" t="s">
        <v>459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26.25" customHeight="1" x14ac:dyDescent="0.25">
      <c r="A14" s="9">
        <v>11</v>
      </c>
      <c r="B14" s="46">
        <v>367836</v>
      </c>
      <c r="C14" s="47" t="s">
        <v>460</v>
      </c>
      <c r="D14" s="48" t="s">
        <v>280</v>
      </c>
      <c r="E14" s="49" t="s">
        <v>26</v>
      </c>
      <c r="F14" s="50">
        <v>32246</v>
      </c>
      <c r="G14" s="51" t="s">
        <v>461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26.25" customHeight="1" x14ac:dyDescent="0.25">
      <c r="A15" s="9">
        <v>12</v>
      </c>
      <c r="B15" s="46">
        <v>193132</v>
      </c>
      <c r="C15" s="47" t="s">
        <v>462</v>
      </c>
      <c r="D15" s="48" t="s">
        <v>463</v>
      </c>
      <c r="E15" s="49" t="s">
        <v>26</v>
      </c>
      <c r="F15" s="50">
        <v>29184</v>
      </c>
      <c r="G15" s="51" t="s">
        <v>27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26.25" customHeight="1" x14ac:dyDescent="0.25">
      <c r="A16" s="9">
        <v>13</v>
      </c>
      <c r="B16" s="46">
        <v>863084</v>
      </c>
      <c r="C16" s="47" t="s">
        <v>464</v>
      </c>
      <c r="D16" s="48" t="s">
        <v>32</v>
      </c>
      <c r="E16" s="49" t="s">
        <v>26</v>
      </c>
      <c r="F16" s="50">
        <v>32839</v>
      </c>
      <c r="G16" s="51" t="s">
        <v>451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26.25" customHeight="1" x14ac:dyDescent="0.25">
      <c r="A17" s="9">
        <v>14</v>
      </c>
      <c r="B17" s="46">
        <v>505421</v>
      </c>
      <c r="C17" s="47" t="s">
        <v>465</v>
      </c>
      <c r="D17" s="48" t="s">
        <v>190</v>
      </c>
      <c r="E17" s="49" t="s">
        <v>18</v>
      </c>
      <c r="F17" s="50">
        <v>36019</v>
      </c>
      <c r="G17" s="51" t="s">
        <v>466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26.25" customHeight="1" x14ac:dyDescent="0.25">
      <c r="A18" s="9">
        <v>15</v>
      </c>
      <c r="B18" s="46">
        <v>807082</v>
      </c>
      <c r="C18" s="47" t="s">
        <v>467</v>
      </c>
      <c r="D18" s="48" t="s">
        <v>277</v>
      </c>
      <c r="E18" s="49" t="s">
        <v>26</v>
      </c>
      <c r="F18" s="50">
        <v>28406</v>
      </c>
      <c r="G18" s="51" t="s">
        <v>451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26.25" customHeight="1" x14ac:dyDescent="0.25">
      <c r="A19" s="9">
        <v>16</v>
      </c>
      <c r="B19" s="46">
        <v>618156</v>
      </c>
      <c r="C19" s="47" t="s">
        <v>468</v>
      </c>
      <c r="D19" s="48" t="s">
        <v>58</v>
      </c>
      <c r="E19" s="49" t="s">
        <v>26</v>
      </c>
      <c r="F19" s="50">
        <v>34440</v>
      </c>
      <c r="G19" s="55" t="s">
        <v>447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26.25" customHeight="1" x14ac:dyDescent="0.25">
      <c r="A20" s="9">
        <v>17</v>
      </c>
      <c r="B20" s="46">
        <v>129682</v>
      </c>
      <c r="C20" s="47" t="s">
        <v>469</v>
      </c>
      <c r="D20" s="48" t="s">
        <v>286</v>
      </c>
      <c r="E20" s="49" t="s">
        <v>26</v>
      </c>
      <c r="F20" s="50">
        <v>25437</v>
      </c>
      <c r="G20" s="51" t="s">
        <v>470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3.5" x14ac:dyDescent="0.25">
      <c r="A21" s="134" t="s">
        <v>106</v>
      </c>
      <c r="B21" s="127"/>
      <c r="C21" s="127"/>
      <c r="D21" s="127"/>
      <c r="E21" s="127"/>
      <c r="F21" s="127"/>
      <c r="G21" s="128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3.5" x14ac:dyDescent="0.25">
      <c r="A22" s="16"/>
      <c r="B22" s="16"/>
      <c r="C22" s="17"/>
      <c r="D22" s="18"/>
      <c r="E22" s="16"/>
      <c r="F22" s="56"/>
      <c r="G22" s="16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26.25" customHeight="1" x14ac:dyDescent="0.2">
      <c r="A23" s="135" t="s">
        <v>3</v>
      </c>
      <c r="B23" s="127"/>
      <c r="C23" s="127"/>
      <c r="D23" s="127"/>
      <c r="E23" s="127"/>
      <c r="F23" s="127"/>
      <c r="G23" s="128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spans="1:26" ht="26.25" customHeight="1" x14ac:dyDescent="0.2">
      <c r="A24" s="2" t="s">
        <v>9</v>
      </c>
      <c r="B24" s="2" t="s">
        <v>10</v>
      </c>
      <c r="C24" s="2" t="s">
        <v>11</v>
      </c>
      <c r="D24" s="3" t="s">
        <v>12</v>
      </c>
      <c r="E24" s="2" t="s">
        <v>13</v>
      </c>
      <c r="F24" s="44" t="s">
        <v>14</v>
      </c>
      <c r="G24" s="2" t="s">
        <v>15</v>
      </c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26.25" customHeight="1" x14ac:dyDescent="0.2">
      <c r="A25" s="59">
        <v>1</v>
      </c>
      <c r="B25" s="60">
        <v>659076</v>
      </c>
      <c r="C25" s="47" t="s">
        <v>471</v>
      </c>
      <c r="D25" s="55" t="s">
        <v>472</v>
      </c>
      <c r="E25" s="61" t="s">
        <v>26</v>
      </c>
      <c r="F25" s="62">
        <v>36641</v>
      </c>
      <c r="G25" s="55" t="s">
        <v>451</v>
      </c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spans="1:26" ht="26.25" customHeight="1" x14ac:dyDescent="0.2">
      <c r="A26" s="59">
        <v>2</v>
      </c>
      <c r="B26" s="60">
        <v>194698</v>
      </c>
      <c r="C26" s="47" t="s">
        <v>473</v>
      </c>
      <c r="D26" s="55" t="s">
        <v>303</v>
      </c>
      <c r="E26" s="61" t="s">
        <v>18</v>
      </c>
      <c r="F26" s="62">
        <v>34638</v>
      </c>
      <c r="G26" s="55" t="s">
        <v>456</v>
      </c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spans="1:26" ht="26.25" customHeight="1" x14ac:dyDescent="0.2">
      <c r="A27" s="59">
        <v>3</v>
      </c>
      <c r="B27" s="60">
        <v>112454</v>
      </c>
      <c r="C27" s="47" t="s">
        <v>474</v>
      </c>
      <c r="D27" s="55" t="s">
        <v>29</v>
      </c>
      <c r="E27" s="61" t="s">
        <v>18</v>
      </c>
      <c r="F27" s="62">
        <v>36848</v>
      </c>
      <c r="G27" s="55" t="s">
        <v>475</v>
      </c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spans="1:26" ht="26.25" customHeight="1" x14ac:dyDescent="0.2">
      <c r="A28" s="59">
        <v>4</v>
      </c>
      <c r="B28" s="60">
        <v>413063</v>
      </c>
      <c r="C28" s="47" t="s">
        <v>476</v>
      </c>
      <c r="D28" s="55" t="s">
        <v>89</v>
      </c>
      <c r="E28" s="61" t="s">
        <v>26</v>
      </c>
      <c r="F28" s="62">
        <v>34919</v>
      </c>
      <c r="G28" s="55" t="s">
        <v>477</v>
      </c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 ht="26.25" customHeight="1" x14ac:dyDescent="0.2">
      <c r="A29" s="59">
        <v>5</v>
      </c>
      <c r="B29" s="60">
        <v>505837</v>
      </c>
      <c r="C29" s="47" t="s">
        <v>478</v>
      </c>
      <c r="D29" s="55" t="s">
        <v>222</v>
      </c>
      <c r="E29" s="61" t="s">
        <v>18</v>
      </c>
      <c r="F29" s="62">
        <v>33030</v>
      </c>
      <c r="G29" s="55" t="s">
        <v>479</v>
      </c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spans="1:26" ht="26.25" customHeight="1" x14ac:dyDescent="0.2">
      <c r="A30" s="59">
        <v>6</v>
      </c>
      <c r="B30" s="60">
        <v>889738</v>
      </c>
      <c r="C30" s="47" t="s">
        <v>480</v>
      </c>
      <c r="D30" s="48" t="s">
        <v>286</v>
      </c>
      <c r="E30" s="61" t="s">
        <v>26</v>
      </c>
      <c r="F30" s="62">
        <v>36679</v>
      </c>
      <c r="G30" s="51" t="s">
        <v>470</v>
      </c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pans="1:26" ht="26.25" customHeight="1" x14ac:dyDescent="0.2">
      <c r="A31" s="59">
        <v>7</v>
      </c>
      <c r="B31" s="60">
        <v>135023</v>
      </c>
      <c r="C31" s="47" t="s">
        <v>481</v>
      </c>
      <c r="D31" s="55" t="s">
        <v>22</v>
      </c>
      <c r="E31" s="61" t="s">
        <v>18</v>
      </c>
      <c r="F31" s="62">
        <v>36414</v>
      </c>
      <c r="G31" s="55" t="s">
        <v>477</v>
      </c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spans="1:26" ht="26.25" customHeight="1" x14ac:dyDescent="0.2">
      <c r="A32" s="59">
        <v>8</v>
      </c>
      <c r="B32" s="60">
        <v>551850</v>
      </c>
      <c r="C32" s="47" t="s">
        <v>482</v>
      </c>
      <c r="D32" s="55" t="s">
        <v>58</v>
      </c>
      <c r="E32" s="61" t="s">
        <v>26</v>
      </c>
      <c r="F32" s="62">
        <v>29842</v>
      </c>
      <c r="G32" s="55" t="s">
        <v>447</v>
      </c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spans="1:26" ht="26.25" customHeight="1" x14ac:dyDescent="0.2">
      <c r="A33" s="59">
        <v>9</v>
      </c>
      <c r="B33" s="60">
        <v>499755</v>
      </c>
      <c r="C33" s="47" t="s">
        <v>483</v>
      </c>
      <c r="D33" s="55" t="s">
        <v>22</v>
      </c>
      <c r="E33" s="61" t="s">
        <v>26</v>
      </c>
      <c r="F33" s="62">
        <v>35533</v>
      </c>
      <c r="G33" s="55" t="s">
        <v>484</v>
      </c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spans="1:26" ht="26.25" customHeight="1" x14ac:dyDescent="0.2">
      <c r="A34" s="59">
        <v>10</v>
      </c>
      <c r="B34" s="60">
        <v>671031</v>
      </c>
      <c r="C34" s="47" t="s">
        <v>485</v>
      </c>
      <c r="D34" s="55" t="s">
        <v>29</v>
      </c>
      <c r="E34" s="61" t="s">
        <v>18</v>
      </c>
      <c r="F34" s="62">
        <v>34252</v>
      </c>
      <c r="G34" s="55" t="s">
        <v>477</v>
      </c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spans="1:26" ht="26.25" customHeight="1" x14ac:dyDescent="0.2">
      <c r="A35" s="59">
        <v>11</v>
      </c>
      <c r="B35" s="60">
        <v>563502</v>
      </c>
      <c r="C35" s="47" t="s">
        <v>486</v>
      </c>
      <c r="D35" s="48" t="s">
        <v>487</v>
      </c>
      <c r="E35" s="61" t="s">
        <v>26</v>
      </c>
      <c r="F35" s="64">
        <v>35748</v>
      </c>
      <c r="G35" s="51" t="s">
        <v>470</v>
      </c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spans="1:26" ht="26.25" customHeight="1" x14ac:dyDescent="0.2">
      <c r="A36" s="59">
        <v>12</v>
      </c>
      <c r="B36" s="60">
        <v>226523</v>
      </c>
      <c r="C36" s="47" t="s">
        <v>488</v>
      </c>
      <c r="D36" s="55" t="s">
        <v>58</v>
      </c>
      <c r="E36" s="61" t="s">
        <v>26</v>
      </c>
      <c r="F36" s="62">
        <v>33826</v>
      </c>
      <c r="G36" s="55" t="s">
        <v>447</v>
      </c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spans="1:26" ht="26.25" customHeight="1" x14ac:dyDescent="0.2">
      <c r="A37" s="59">
        <v>13</v>
      </c>
      <c r="B37" s="60">
        <v>876532</v>
      </c>
      <c r="C37" s="47" t="s">
        <v>489</v>
      </c>
      <c r="D37" s="55" t="s">
        <v>51</v>
      </c>
      <c r="E37" s="61" t="s">
        <v>26</v>
      </c>
      <c r="F37" s="62">
        <v>24689</v>
      </c>
      <c r="G37" s="55" t="s">
        <v>445</v>
      </c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spans="1:26" ht="26.25" customHeight="1" x14ac:dyDescent="0.2">
      <c r="A38" s="59">
        <v>14</v>
      </c>
      <c r="B38" s="60">
        <v>408898</v>
      </c>
      <c r="C38" s="47" t="s">
        <v>490</v>
      </c>
      <c r="D38" s="55" t="s">
        <v>299</v>
      </c>
      <c r="E38" s="61" t="s">
        <v>26</v>
      </c>
      <c r="F38" s="62">
        <v>36464</v>
      </c>
      <c r="G38" s="55" t="s">
        <v>491</v>
      </c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spans="1:26" ht="26.25" customHeight="1" x14ac:dyDescent="0.2">
      <c r="A39" s="59">
        <v>15</v>
      </c>
      <c r="B39" s="60">
        <v>184616</v>
      </c>
      <c r="C39" s="47" t="s">
        <v>492</v>
      </c>
      <c r="D39" s="55" t="s">
        <v>58</v>
      </c>
      <c r="E39" s="61" t="s">
        <v>26</v>
      </c>
      <c r="F39" s="62">
        <v>34067</v>
      </c>
      <c r="G39" s="55" t="s">
        <v>447</v>
      </c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spans="1:26" ht="26.25" customHeight="1" x14ac:dyDescent="0.2">
      <c r="A40" s="59">
        <v>16</v>
      </c>
      <c r="B40" s="60">
        <v>133409</v>
      </c>
      <c r="C40" s="47" t="s">
        <v>493</v>
      </c>
      <c r="D40" s="55" t="s">
        <v>32</v>
      </c>
      <c r="E40" s="61" t="s">
        <v>18</v>
      </c>
      <c r="F40" s="62">
        <v>27992</v>
      </c>
      <c r="G40" s="55" t="s">
        <v>466</v>
      </c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spans="1:26" ht="26.25" customHeight="1" x14ac:dyDescent="0.2">
      <c r="A41" s="59">
        <v>17</v>
      </c>
      <c r="B41" s="60">
        <v>893898</v>
      </c>
      <c r="C41" s="47" t="s">
        <v>494</v>
      </c>
      <c r="D41" s="55" t="s">
        <v>22</v>
      </c>
      <c r="E41" s="61" t="s">
        <v>26</v>
      </c>
      <c r="F41" s="62">
        <v>34892</v>
      </c>
      <c r="G41" s="55" t="s">
        <v>451</v>
      </c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spans="1:26" ht="26.25" customHeight="1" x14ac:dyDescent="0.2">
      <c r="A42" s="59">
        <v>18</v>
      </c>
      <c r="B42" s="60">
        <v>660955</v>
      </c>
      <c r="C42" s="47" t="s">
        <v>495</v>
      </c>
      <c r="D42" s="55" t="s">
        <v>58</v>
      </c>
      <c r="E42" s="61" t="s">
        <v>26</v>
      </c>
      <c r="F42" s="62">
        <v>34392</v>
      </c>
      <c r="G42" s="55" t="s">
        <v>447</v>
      </c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spans="1:26" ht="26.25" customHeight="1" x14ac:dyDescent="0.2">
      <c r="A43" s="59">
        <v>19</v>
      </c>
      <c r="B43" s="60">
        <v>357211</v>
      </c>
      <c r="C43" s="47" t="s">
        <v>496</v>
      </c>
      <c r="D43" s="55" t="s">
        <v>101</v>
      </c>
      <c r="E43" s="61" t="s">
        <v>26</v>
      </c>
      <c r="F43" s="62">
        <v>36163</v>
      </c>
      <c r="G43" s="55" t="s">
        <v>484</v>
      </c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spans="1:26" ht="26.25" customHeight="1" x14ac:dyDescent="0.2">
      <c r="A44" s="59">
        <v>20</v>
      </c>
      <c r="B44" s="60">
        <v>525989</v>
      </c>
      <c r="C44" s="47" t="s">
        <v>497</v>
      </c>
      <c r="D44" s="55" t="s">
        <v>29</v>
      </c>
      <c r="E44" s="61" t="s">
        <v>26</v>
      </c>
      <c r="F44" s="62">
        <v>34635</v>
      </c>
      <c r="G44" s="55" t="s">
        <v>484</v>
      </c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spans="1:26" ht="26.25" customHeight="1" x14ac:dyDescent="0.2">
      <c r="A45" s="59">
        <v>21</v>
      </c>
      <c r="B45" s="60">
        <v>650853</v>
      </c>
      <c r="C45" s="47" t="s">
        <v>498</v>
      </c>
      <c r="D45" s="55" t="s">
        <v>104</v>
      </c>
      <c r="E45" s="61" t="s">
        <v>18</v>
      </c>
      <c r="F45" s="62">
        <v>34429</v>
      </c>
      <c r="G45" s="55" t="s">
        <v>475</v>
      </c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spans="1:26" ht="26.25" customHeight="1" x14ac:dyDescent="0.2">
      <c r="A46" s="59">
        <v>22</v>
      </c>
      <c r="B46" s="60">
        <v>758380</v>
      </c>
      <c r="C46" s="47" t="s">
        <v>499</v>
      </c>
      <c r="D46" s="55" t="s">
        <v>51</v>
      </c>
      <c r="E46" s="61" t="s">
        <v>26</v>
      </c>
      <c r="F46" s="62">
        <v>26084</v>
      </c>
      <c r="G46" s="55" t="s">
        <v>445</v>
      </c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spans="1:26" ht="26.25" customHeight="1" x14ac:dyDescent="0.2">
      <c r="A47" s="59">
        <v>23</v>
      </c>
      <c r="B47" s="60">
        <v>782809</v>
      </c>
      <c r="C47" s="47" t="s">
        <v>500</v>
      </c>
      <c r="D47" s="55" t="s">
        <v>29</v>
      </c>
      <c r="E47" s="61" t="s">
        <v>18</v>
      </c>
      <c r="F47" s="62">
        <v>33546</v>
      </c>
      <c r="G47" s="55" t="s">
        <v>451</v>
      </c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spans="1:26" ht="26.25" customHeight="1" x14ac:dyDescent="0.2">
      <c r="A48" s="59">
        <v>24</v>
      </c>
      <c r="B48" s="60">
        <v>570179</v>
      </c>
      <c r="C48" s="47" t="s">
        <v>501</v>
      </c>
      <c r="D48" s="55" t="s">
        <v>25</v>
      </c>
      <c r="E48" s="61" t="s">
        <v>26</v>
      </c>
      <c r="F48" s="62">
        <v>23665</v>
      </c>
      <c r="G48" s="55" t="s">
        <v>451</v>
      </c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spans="1:26" ht="26.25" customHeight="1" x14ac:dyDescent="0.2">
      <c r="A49" s="59">
        <v>25</v>
      </c>
      <c r="B49" s="60">
        <v>534679</v>
      </c>
      <c r="C49" s="47" t="s">
        <v>502</v>
      </c>
      <c r="D49" s="55" t="s">
        <v>35</v>
      </c>
      <c r="E49" s="61" t="s">
        <v>26</v>
      </c>
      <c r="F49" s="62">
        <v>33681</v>
      </c>
      <c r="G49" s="55" t="s">
        <v>445</v>
      </c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spans="1:26" ht="26.25" customHeight="1" x14ac:dyDescent="0.2">
      <c r="A50" s="59">
        <v>26</v>
      </c>
      <c r="B50" s="60">
        <v>602696</v>
      </c>
      <c r="C50" s="47" t="s">
        <v>503</v>
      </c>
      <c r="D50" s="55" t="s">
        <v>288</v>
      </c>
      <c r="E50" s="61" t="s">
        <v>18</v>
      </c>
      <c r="F50" s="62">
        <v>36269</v>
      </c>
      <c r="G50" s="55" t="s">
        <v>504</v>
      </c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spans="1:26" ht="26.25" customHeight="1" x14ac:dyDescent="0.2">
      <c r="A51" s="59">
        <v>27</v>
      </c>
      <c r="B51" s="60">
        <v>701208</v>
      </c>
      <c r="C51" s="47" t="s">
        <v>505</v>
      </c>
      <c r="D51" s="55" t="s">
        <v>25</v>
      </c>
      <c r="E51" s="61" t="s">
        <v>26</v>
      </c>
      <c r="F51" s="62">
        <v>35270</v>
      </c>
      <c r="G51" s="55" t="s">
        <v>447</v>
      </c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spans="1:26" ht="26.25" customHeight="1" x14ac:dyDescent="0.2">
      <c r="A52" s="59">
        <v>28</v>
      </c>
      <c r="B52" s="60">
        <v>533788</v>
      </c>
      <c r="C52" s="47" t="s">
        <v>506</v>
      </c>
      <c r="D52" s="55" t="s">
        <v>222</v>
      </c>
      <c r="E52" s="61" t="s">
        <v>18</v>
      </c>
      <c r="F52" s="62">
        <v>31084</v>
      </c>
      <c r="G52" s="55" t="s">
        <v>507</v>
      </c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spans="1:26" ht="13.5" x14ac:dyDescent="0.25">
      <c r="A53" s="126" t="s">
        <v>106</v>
      </c>
      <c r="B53" s="127"/>
      <c r="C53" s="127"/>
      <c r="D53" s="127"/>
      <c r="E53" s="127"/>
      <c r="F53" s="127"/>
      <c r="G53" s="128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3.5" x14ac:dyDescent="0.25">
      <c r="A54" s="16"/>
      <c r="B54" s="16"/>
      <c r="C54" s="17"/>
      <c r="D54" s="18"/>
      <c r="E54" s="16"/>
      <c r="F54" s="56"/>
      <c r="G54" s="16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26.25" customHeight="1" x14ac:dyDescent="0.2">
      <c r="A55" s="129" t="s">
        <v>4</v>
      </c>
      <c r="B55" s="127"/>
      <c r="C55" s="127"/>
      <c r="D55" s="127"/>
      <c r="E55" s="127"/>
      <c r="F55" s="127"/>
      <c r="G55" s="128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spans="1:26" ht="26.25" customHeight="1" x14ac:dyDescent="0.2">
      <c r="A56" s="2" t="s">
        <v>9</v>
      </c>
      <c r="B56" s="2" t="s">
        <v>10</v>
      </c>
      <c r="C56" s="2" t="s">
        <v>11</v>
      </c>
      <c r="D56" s="3" t="s">
        <v>12</v>
      </c>
      <c r="E56" s="2" t="s">
        <v>13</v>
      </c>
      <c r="F56" s="44" t="s">
        <v>14</v>
      </c>
      <c r="G56" s="2" t="s">
        <v>15</v>
      </c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26.25" customHeight="1" x14ac:dyDescent="0.2">
      <c r="A57" s="65">
        <v>1</v>
      </c>
      <c r="B57" s="60">
        <v>680795</v>
      </c>
      <c r="C57" s="47" t="s">
        <v>508</v>
      </c>
      <c r="D57" s="55" t="s">
        <v>360</v>
      </c>
      <c r="E57" s="61" t="s">
        <v>18</v>
      </c>
      <c r="F57" s="66">
        <v>28075</v>
      </c>
      <c r="G57" s="55" t="s">
        <v>470</v>
      </c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spans="1:26" ht="26.25" customHeight="1" x14ac:dyDescent="0.2">
      <c r="A58" s="65">
        <v>2</v>
      </c>
      <c r="B58" s="60">
        <v>829433</v>
      </c>
      <c r="C58" s="47" t="s">
        <v>509</v>
      </c>
      <c r="D58" s="55" t="s">
        <v>510</v>
      </c>
      <c r="E58" s="61" t="s">
        <v>26</v>
      </c>
      <c r="F58" s="66">
        <v>26576</v>
      </c>
      <c r="G58" s="55" t="s">
        <v>470</v>
      </c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spans="1:26" ht="13.5" x14ac:dyDescent="0.25">
      <c r="A59" s="126" t="s">
        <v>106</v>
      </c>
      <c r="B59" s="127"/>
      <c r="C59" s="127"/>
      <c r="D59" s="127"/>
      <c r="E59" s="127"/>
      <c r="F59" s="127"/>
      <c r="G59" s="128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3.5" x14ac:dyDescent="0.25">
      <c r="A60" s="16"/>
      <c r="B60" s="16"/>
      <c r="C60" s="17"/>
      <c r="D60" s="18"/>
      <c r="E60" s="16"/>
      <c r="F60" s="56"/>
      <c r="G60" s="16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26.25" customHeight="1" x14ac:dyDescent="0.2">
      <c r="A61" s="136" t="s">
        <v>5</v>
      </c>
      <c r="B61" s="127"/>
      <c r="C61" s="127"/>
      <c r="D61" s="127"/>
      <c r="E61" s="127"/>
      <c r="F61" s="127"/>
      <c r="G61" s="128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spans="1:26" ht="26.25" customHeight="1" x14ac:dyDescent="0.2">
      <c r="A62" s="2" t="s">
        <v>9</v>
      </c>
      <c r="B62" s="2" t="s">
        <v>10</v>
      </c>
      <c r="C62" s="2" t="s">
        <v>11</v>
      </c>
      <c r="D62" s="3" t="s">
        <v>12</v>
      </c>
      <c r="E62" s="2" t="s">
        <v>13</v>
      </c>
      <c r="F62" s="44" t="s">
        <v>14</v>
      </c>
      <c r="G62" s="2" t="s">
        <v>15</v>
      </c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26.25" customHeight="1" x14ac:dyDescent="0.2">
      <c r="A63" s="65">
        <v>1</v>
      </c>
      <c r="B63" s="60">
        <v>356581</v>
      </c>
      <c r="C63" s="47" t="s">
        <v>511</v>
      </c>
      <c r="D63" s="55" t="s">
        <v>510</v>
      </c>
      <c r="E63" s="61" t="s">
        <v>18</v>
      </c>
      <c r="F63" s="66">
        <v>35101</v>
      </c>
      <c r="G63" s="55" t="s">
        <v>461</v>
      </c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spans="1:26" ht="26.25" customHeight="1" x14ac:dyDescent="0.2">
      <c r="A64" s="65">
        <v>2</v>
      </c>
      <c r="B64" s="68">
        <v>185294</v>
      </c>
      <c r="C64" s="47" t="s">
        <v>512</v>
      </c>
      <c r="D64" s="55" t="s">
        <v>360</v>
      </c>
      <c r="E64" s="61" t="s">
        <v>18</v>
      </c>
      <c r="F64" s="66">
        <v>36899</v>
      </c>
      <c r="G64" s="55" t="s">
        <v>470</v>
      </c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spans="1:26" ht="26.25" customHeight="1" x14ac:dyDescent="0.2">
      <c r="A65" s="65">
        <v>3</v>
      </c>
      <c r="B65" s="60">
        <v>419358</v>
      </c>
      <c r="C65" s="47" t="s">
        <v>513</v>
      </c>
      <c r="D65" s="55" t="s">
        <v>32</v>
      </c>
      <c r="E65" s="61" t="s">
        <v>18</v>
      </c>
      <c r="F65" s="66">
        <v>37143</v>
      </c>
      <c r="G65" s="55" t="s">
        <v>470</v>
      </c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spans="1:26" ht="26.25" customHeight="1" x14ac:dyDescent="0.2">
      <c r="A66" s="65">
        <v>4</v>
      </c>
      <c r="B66" s="68">
        <v>812151</v>
      </c>
      <c r="C66" s="47" t="s">
        <v>514</v>
      </c>
      <c r="D66" s="55" t="s">
        <v>510</v>
      </c>
      <c r="E66" s="61" t="s">
        <v>26</v>
      </c>
      <c r="F66" s="66">
        <v>34218</v>
      </c>
      <c r="G66" s="55" t="s">
        <v>470</v>
      </c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spans="1:26" ht="26.25" customHeight="1" x14ac:dyDescent="0.2">
      <c r="A67" s="65">
        <v>5</v>
      </c>
      <c r="B67" s="60">
        <v>563065</v>
      </c>
      <c r="C67" s="47" t="s">
        <v>515</v>
      </c>
      <c r="D67" s="55" t="s">
        <v>190</v>
      </c>
      <c r="E67" s="61" t="s">
        <v>18</v>
      </c>
      <c r="F67" s="66">
        <v>34549</v>
      </c>
      <c r="G67" s="55" t="s">
        <v>507</v>
      </c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spans="1:26" ht="26.25" customHeight="1" x14ac:dyDescent="0.2">
      <c r="A68" s="65">
        <v>6</v>
      </c>
      <c r="B68" s="68">
        <v>945349</v>
      </c>
      <c r="C68" s="47" t="s">
        <v>516</v>
      </c>
      <c r="D68" s="55" t="s">
        <v>349</v>
      </c>
      <c r="E68" s="61" t="s">
        <v>18</v>
      </c>
      <c r="F68" s="66">
        <v>37778</v>
      </c>
      <c r="G68" s="55" t="s">
        <v>507</v>
      </c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spans="1:26" ht="26.25" customHeight="1" x14ac:dyDescent="0.2">
      <c r="A69" s="65">
        <v>7</v>
      </c>
      <c r="B69" s="60">
        <v>387365</v>
      </c>
      <c r="C69" s="47" t="s">
        <v>517</v>
      </c>
      <c r="D69" s="55" t="s">
        <v>183</v>
      </c>
      <c r="E69" s="61" t="s">
        <v>26</v>
      </c>
      <c r="F69" s="66">
        <v>31269</v>
      </c>
      <c r="G69" s="55" t="s">
        <v>447</v>
      </c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spans="1:26" ht="26.25" customHeight="1" x14ac:dyDescent="0.2">
      <c r="A70" s="65">
        <v>8</v>
      </c>
      <c r="B70" s="60">
        <v>466162</v>
      </c>
      <c r="C70" s="47" t="s">
        <v>518</v>
      </c>
      <c r="D70" s="55" t="s">
        <v>510</v>
      </c>
      <c r="E70" s="61" t="s">
        <v>18</v>
      </c>
      <c r="F70" s="66">
        <v>36565</v>
      </c>
      <c r="G70" s="55" t="s">
        <v>519</v>
      </c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spans="1:26" ht="26.25" customHeight="1" x14ac:dyDescent="0.2">
      <c r="A71" s="65">
        <v>9</v>
      </c>
      <c r="B71" s="60">
        <v>598111</v>
      </c>
      <c r="C71" s="47" t="s">
        <v>520</v>
      </c>
      <c r="D71" s="55" t="s">
        <v>25</v>
      </c>
      <c r="E71" s="61" t="s">
        <v>26</v>
      </c>
      <c r="F71" s="66">
        <v>22354</v>
      </c>
      <c r="G71" s="55" t="s">
        <v>484</v>
      </c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spans="1:26" ht="26.25" customHeight="1" x14ac:dyDescent="0.2">
      <c r="A72" s="65">
        <v>10</v>
      </c>
      <c r="B72" s="60">
        <v>546091</v>
      </c>
      <c r="C72" s="47" t="s">
        <v>521</v>
      </c>
      <c r="D72" s="55" t="s">
        <v>222</v>
      </c>
      <c r="E72" s="61" t="s">
        <v>26</v>
      </c>
      <c r="F72" s="66">
        <v>33887</v>
      </c>
      <c r="G72" s="55" t="s">
        <v>519</v>
      </c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spans="1:26" ht="26.25" customHeight="1" x14ac:dyDescent="0.2">
      <c r="A73" s="65">
        <v>11</v>
      </c>
      <c r="B73" s="60">
        <v>664363</v>
      </c>
      <c r="C73" s="47" t="s">
        <v>522</v>
      </c>
      <c r="D73" s="55" t="s">
        <v>349</v>
      </c>
      <c r="E73" s="61" t="s">
        <v>18</v>
      </c>
      <c r="F73" s="66">
        <v>29402</v>
      </c>
      <c r="G73" s="55" t="s">
        <v>523</v>
      </c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spans="1:26" ht="26.25" customHeight="1" x14ac:dyDescent="0.2">
      <c r="A74" s="65">
        <v>12</v>
      </c>
      <c r="B74" s="68">
        <v>836443</v>
      </c>
      <c r="C74" s="47" t="s">
        <v>524</v>
      </c>
      <c r="D74" s="55" t="s">
        <v>510</v>
      </c>
      <c r="E74" s="61" t="s">
        <v>26</v>
      </c>
      <c r="F74" s="66">
        <v>34810</v>
      </c>
      <c r="G74" s="55" t="s">
        <v>470</v>
      </c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spans="1:26" ht="26.25" customHeight="1" x14ac:dyDescent="0.2">
      <c r="A75" s="65">
        <v>13</v>
      </c>
      <c r="B75" s="60">
        <v>321192</v>
      </c>
      <c r="C75" s="47" t="s">
        <v>525</v>
      </c>
      <c r="D75" s="55" t="s">
        <v>344</v>
      </c>
      <c r="E75" s="61" t="s">
        <v>18</v>
      </c>
      <c r="F75" s="66">
        <v>33864</v>
      </c>
      <c r="G75" s="55" t="s">
        <v>451</v>
      </c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spans="1:26" ht="26.25" customHeight="1" x14ac:dyDescent="0.2">
      <c r="A76" s="65">
        <v>14</v>
      </c>
      <c r="B76" s="68">
        <v>531741</v>
      </c>
      <c r="C76" s="47" t="s">
        <v>526</v>
      </c>
      <c r="D76" s="55" t="s">
        <v>35</v>
      </c>
      <c r="E76" s="61" t="s">
        <v>26</v>
      </c>
      <c r="F76" s="66">
        <v>35874</v>
      </c>
      <c r="G76" s="55" t="s">
        <v>527</v>
      </c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spans="1:26" ht="26.25" customHeight="1" x14ac:dyDescent="0.2">
      <c r="A77" s="65">
        <v>15</v>
      </c>
      <c r="B77" s="60">
        <v>856829</v>
      </c>
      <c r="C77" s="47" t="s">
        <v>528</v>
      </c>
      <c r="D77" s="55" t="s">
        <v>190</v>
      </c>
      <c r="E77" s="61" t="s">
        <v>18</v>
      </c>
      <c r="F77" s="66">
        <v>36577</v>
      </c>
      <c r="G77" s="55" t="s">
        <v>529</v>
      </c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spans="1:26" ht="26.25" customHeight="1" x14ac:dyDescent="0.2">
      <c r="A78" s="65">
        <v>16</v>
      </c>
      <c r="B78" s="69">
        <v>318929</v>
      </c>
      <c r="C78" s="47" t="s">
        <v>530</v>
      </c>
      <c r="D78" s="55" t="s">
        <v>25</v>
      </c>
      <c r="E78" s="61" t="s">
        <v>26</v>
      </c>
      <c r="F78" s="66">
        <v>36141</v>
      </c>
      <c r="G78" s="55" t="s">
        <v>484</v>
      </c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spans="1:26" ht="26.25" customHeight="1" x14ac:dyDescent="0.2">
      <c r="A79" s="65">
        <v>17</v>
      </c>
      <c r="B79" s="68">
        <v>651603</v>
      </c>
      <c r="C79" s="70" t="s">
        <v>531</v>
      </c>
      <c r="D79" s="55" t="s">
        <v>25</v>
      </c>
      <c r="E79" s="61" t="s">
        <v>26</v>
      </c>
      <c r="F79" s="71" t="s">
        <v>532</v>
      </c>
      <c r="G79" s="55" t="s">
        <v>484</v>
      </c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spans="1:26" ht="26.25" customHeight="1" x14ac:dyDescent="0.2">
      <c r="A80" s="65">
        <v>18</v>
      </c>
      <c r="B80" s="68">
        <v>651626</v>
      </c>
      <c r="C80" s="70" t="s">
        <v>533</v>
      </c>
      <c r="D80" s="55" t="s">
        <v>25</v>
      </c>
      <c r="E80" s="61" t="s">
        <v>26</v>
      </c>
      <c r="F80" s="71" t="s">
        <v>534</v>
      </c>
      <c r="G80" s="55" t="s">
        <v>484</v>
      </c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spans="1:26" ht="26.25" customHeight="1" x14ac:dyDescent="0.2">
      <c r="A81" s="65">
        <v>19</v>
      </c>
      <c r="B81" s="68">
        <v>416789</v>
      </c>
      <c r="C81" s="70" t="s">
        <v>535</v>
      </c>
      <c r="D81" s="55" t="s">
        <v>25</v>
      </c>
      <c r="E81" s="61" t="s">
        <v>26</v>
      </c>
      <c r="F81" s="71" t="s">
        <v>536</v>
      </c>
      <c r="G81" s="55" t="s">
        <v>484</v>
      </c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spans="1:26" ht="26.25" customHeight="1" x14ac:dyDescent="0.2">
      <c r="A82" s="65">
        <v>20</v>
      </c>
      <c r="B82" s="68">
        <v>124453</v>
      </c>
      <c r="C82" s="70" t="s">
        <v>537</v>
      </c>
      <c r="D82" s="55" t="s">
        <v>25</v>
      </c>
      <c r="E82" s="61" t="s">
        <v>26</v>
      </c>
      <c r="F82" s="71" t="s">
        <v>538</v>
      </c>
      <c r="G82" s="55" t="s">
        <v>484</v>
      </c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spans="1:26" ht="26.25" customHeight="1" x14ac:dyDescent="0.2">
      <c r="A83" s="65">
        <v>21</v>
      </c>
      <c r="B83" s="68">
        <v>213195</v>
      </c>
      <c r="C83" s="70" t="s">
        <v>539</v>
      </c>
      <c r="D83" s="55" t="s">
        <v>25</v>
      </c>
      <c r="E83" s="61" t="s">
        <v>26</v>
      </c>
      <c r="F83" s="71" t="s">
        <v>540</v>
      </c>
      <c r="G83" s="55" t="s">
        <v>541</v>
      </c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spans="1:26" ht="26.25" customHeight="1" x14ac:dyDescent="0.2">
      <c r="A84" s="65">
        <v>22</v>
      </c>
      <c r="B84" s="68">
        <v>198632</v>
      </c>
      <c r="C84" s="70" t="s">
        <v>542</v>
      </c>
      <c r="D84" s="55" t="s">
        <v>25</v>
      </c>
      <c r="E84" s="61" t="s">
        <v>26</v>
      </c>
      <c r="F84" s="71" t="s">
        <v>543</v>
      </c>
      <c r="G84" s="55" t="s">
        <v>541</v>
      </c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spans="1:26" ht="26.25" customHeight="1" x14ac:dyDescent="0.2">
      <c r="A85" s="65">
        <v>23</v>
      </c>
      <c r="B85" s="68">
        <v>461390</v>
      </c>
      <c r="C85" s="70" t="s">
        <v>544</v>
      </c>
      <c r="D85" s="55" t="s">
        <v>25</v>
      </c>
      <c r="E85" s="61" t="s">
        <v>26</v>
      </c>
      <c r="F85" s="71" t="s">
        <v>545</v>
      </c>
      <c r="G85" s="55" t="s">
        <v>541</v>
      </c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spans="1:26" ht="26.25" customHeight="1" x14ac:dyDescent="0.2">
      <c r="A86" s="65">
        <v>24</v>
      </c>
      <c r="B86" s="68">
        <v>821299</v>
      </c>
      <c r="C86" s="70" t="s">
        <v>546</v>
      </c>
      <c r="D86" s="55" t="s">
        <v>25</v>
      </c>
      <c r="E86" s="61" t="s">
        <v>26</v>
      </c>
      <c r="F86" s="71" t="s">
        <v>547</v>
      </c>
      <c r="G86" s="55" t="s">
        <v>541</v>
      </c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spans="1:26" ht="26.25" customHeight="1" x14ac:dyDescent="0.2">
      <c r="A87" s="65">
        <v>25</v>
      </c>
      <c r="B87" s="68">
        <v>512834</v>
      </c>
      <c r="C87" s="70" t="s">
        <v>548</v>
      </c>
      <c r="D87" s="55" t="s">
        <v>25</v>
      </c>
      <c r="E87" s="61" t="s">
        <v>26</v>
      </c>
      <c r="F87" s="71" t="s">
        <v>549</v>
      </c>
      <c r="G87" s="55" t="s">
        <v>541</v>
      </c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spans="1:26" ht="26.25" customHeight="1" x14ac:dyDescent="0.2">
      <c r="A88" s="65">
        <v>26</v>
      </c>
      <c r="B88" s="68">
        <v>427270</v>
      </c>
      <c r="C88" s="70" t="s">
        <v>550</v>
      </c>
      <c r="D88" s="72" t="s">
        <v>222</v>
      </c>
      <c r="E88" s="61" t="s">
        <v>26</v>
      </c>
      <c r="F88" s="71" t="s">
        <v>551</v>
      </c>
      <c r="G88" s="55" t="s">
        <v>475</v>
      </c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spans="1:26" ht="26.25" customHeight="1" x14ac:dyDescent="0.2">
      <c r="A89" s="65">
        <v>27</v>
      </c>
      <c r="B89" s="68">
        <v>419504</v>
      </c>
      <c r="C89" s="70" t="s">
        <v>552</v>
      </c>
      <c r="D89" s="55" t="s">
        <v>25</v>
      </c>
      <c r="E89" s="61" t="s">
        <v>26</v>
      </c>
      <c r="F89" s="71" t="s">
        <v>553</v>
      </c>
      <c r="G89" s="55" t="s">
        <v>475</v>
      </c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spans="1:26" ht="26.25" customHeight="1" x14ac:dyDescent="0.2">
      <c r="A90" s="65">
        <v>28</v>
      </c>
      <c r="B90" s="68">
        <v>823765</v>
      </c>
      <c r="C90" s="70" t="s">
        <v>554</v>
      </c>
      <c r="D90" s="72" t="s">
        <v>222</v>
      </c>
      <c r="E90" s="61" t="s">
        <v>26</v>
      </c>
      <c r="F90" s="71" t="s">
        <v>555</v>
      </c>
      <c r="G90" s="55" t="s">
        <v>475</v>
      </c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spans="1:26" ht="26.25" customHeight="1" x14ac:dyDescent="0.2">
      <c r="A91" s="65">
        <v>29</v>
      </c>
      <c r="B91" s="68">
        <v>806299</v>
      </c>
      <c r="C91" s="70" t="s">
        <v>556</v>
      </c>
      <c r="D91" s="72" t="s">
        <v>222</v>
      </c>
      <c r="E91" s="61" t="s">
        <v>26</v>
      </c>
      <c r="F91" s="71" t="s">
        <v>557</v>
      </c>
      <c r="G91" s="55" t="s">
        <v>475</v>
      </c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spans="1:26" ht="26.25" customHeight="1" x14ac:dyDescent="0.2">
      <c r="A92" s="65">
        <v>30</v>
      </c>
      <c r="B92" s="68">
        <v>530638</v>
      </c>
      <c r="C92" s="70" t="s">
        <v>558</v>
      </c>
      <c r="D92" s="55" t="s">
        <v>25</v>
      </c>
      <c r="E92" s="61" t="s">
        <v>26</v>
      </c>
      <c r="F92" s="71" t="s">
        <v>559</v>
      </c>
      <c r="G92" s="55" t="s">
        <v>475</v>
      </c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spans="1:26" ht="26.25" customHeight="1" x14ac:dyDescent="0.2">
      <c r="A93" s="65">
        <v>31</v>
      </c>
      <c r="B93" s="68">
        <v>510323</v>
      </c>
      <c r="C93" s="70" t="s">
        <v>560</v>
      </c>
      <c r="D93" s="55" t="s">
        <v>25</v>
      </c>
      <c r="E93" s="61" t="s">
        <v>26</v>
      </c>
      <c r="F93" s="71" t="s">
        <v>561</v>
      </c>
      <c r="G93" s="55" t="s">
        <v>445</v>
      </c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spans="1:26" ht="26.25" customHeight="1" x14ac:dyDescent="0.2">
      <c r="A94" s="65">
        <v>32</v>
      </c>
      <c r="B94" s="68">
        <v>686775</v>
      </c>
      <c r="C94" s="70" t="s">
        <v>562</v>
      </c>
      <c r="D94" s="72" t="s">
        <v>222</v>
      </c>
      <c r="E94" s="61" t="s">
        <v>26</v>
      </c>
      <c r="F94" s="71" t="s">
        <v>563</v>
      </c>
      <c r="G94" s="55" t="s">
        <v>475</v>
      </c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spans="1:26" ht="13.5" x14ac:dyDescent="0.25">
      <c r="A95" s="126" t="s">
        <v>106</v>
      </c>
      <c r="B95" s="127"/>
      <c r="C95" s="127"/>
      <c r="D95" s="127"/>
      <c r="E95" s="127"/>
      <c r="F95" s="127"/>
      <c r="G95" s="128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3.5" x14ac:dyDescent="0.25">
      <c r="A96" s="16"/>
      <c r="B96" s="16"/>
      <c r="C96" s="17"/>
      <c r="D96" s="18"/>
      <c r="E96" s="16"/>
      <c r="F96" s="56"/>
      <c r="G96" s="16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26.25" customHeight="1" x14ac:dyDescent="0.25">
      <c r="A97" s="133" t="s">
        <v>6</v>
      </c>
      <c r="B97" s="127"/>
      <c r="C97" s="127"/>
      <c r="D97" s="127"/>
      <c r="E97" s="127"/>
      <c r="F97" s="127"/>
      <c r="G97" s="128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26.25" customHeight="1" x14ac:dyDescent="0.25">
      <c r="A98" s="2" t="s">
        <v>9</v>
      </c>
      <c r="B98" s="2" t="s">
        <v>10</v>
      </c>
      <c r="C98" s="2" t="s">
        <v>11</v>
      </c>
      <c r="D98" s="3" t="s">
        <v>12</v>
      </c>
      <c r="E98" s="2" t="s">
        <v>13</v>
      </c>
      <c r="F98" s="44" t="s">
        <v>14</v>
      </c>
      <c r="G98" s="2" t="s">
        <v>15</v>
      </c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26.25" customHeight="1" x14ac:dyDescent="0.25">
      <c r="A99" s="60">
        <v>1</v>
      </c>
      <c r="B99" s="60">
        <v>251001</v>
      </c>
      <c r="C99" s="47" t="s">
        <v>564</v>
      </c>
      <c r="D99" s="55" t="s">
        <v>101</v>
      </c>
      <c r="E99" s="61" t="s">
        <v>18</v>
      </c>
      <c r="F99" s="62">
        <v>37001</v>
      </c>
      <c r="G99" s="55" t="s">
        <v>519</v>
      </c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26.25" customHeight="1" x14ac:dyDescent="0.25">
      <c r="A100" s="60">
        <v>2</v>
      </c>
      <c r="B100" s="60">
        <v>278874</v>
      </c>
      <c r="C100" s="47" t="s">
        <v>565</v>
      </c>
      <c r="D100" s="55" t="s">
        <v>566</v>
      </c>
      <c r="E100" s="61" t="s">
        <v>18</v>
      </c>
      <c r="F100" s="62">
        <v>33777</v>
      </c>
      <c r="G100" s="55" t="s">
        <v>519</v>
      </c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3.5" x14ac:dyDescent="0.25">
      <c r="A101" s="134" t="s">
        <v>106</v>
      </c>
      <c r="B101" s="127"/>
      <c r="C101" s="127"/>
      <c r="D101" s="127"/>
      <c r="E101" s="127"/>
      <c r="F101" s="127"/>
      <c r="G101" s="128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3.5" x14ac:dyDescent="0.25">
      <c r="A102" s="16"/>
      <c r="B102" s="16"/>
      <c r="C102" s="17"/>
      <c r="D102" s="18"/>
      <c r="E102" s="16"/>
      <c r="F102" s="56"/>
      <c r="G102" s="16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3.5" x14ac:dyDescent="0.25">
      <c r="A103" s="16"/>
      <c r="B103" s="16"/>
      <c r="C103" s="17"/>
      <c r="D103" s="18"/>
      <c r="E103" s="16"/>
      <c r="F103" s="56"/>
      <c r="G103" s="16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3.5" x14ac:dyDescent="0.25">
      <c r="A104" s="16"/>
      <c r="B104" s="16"/>
      <c r="C104" s="22" t="s">
        <v>0</v>
      </c>
      <c r="D104" s="23" t="s">
        <v>1</v>
      </c>
      <c r="E104" s="16"/>
      <c r="F104" s="56"/>
      <c r="G104" s="16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3.5" x14ac:dyDescent="0.25">
      <c r="A105" s="16"/>
      <c r="B105" s="16"/>
      <c r="C105" s="22" t="s">
        <v>2</v>
      </c>
      <c r="D105" s="23">
        <f>A20</f>
        <v>17</v>
      </c>
      <c r="E105" s="16"/>
      <c r="F105" s="56"/>
      <c r="G105" s="16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3.5" x14ac:dyDescent="0.25">
      <c r="A106" s="16"/>
      <c r="B106" s="16"/>
      <c r="C106" s="22" t="s">
        <v>3</v>
      </c>
      <c r="D106" s="23">
        <f>A52</f>
        <v>28</v>
      </c>
      <c r="E106" s="16"/>
      <c r="F106" s="56"/>
      <c r="G106" s="16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3.5" x14ac:dyDescent="0.25">
      <c r="A107" s="16"/>
      <c r="B107" s="16"/>
      <c r="C107" s="22" t="s">
        <v>4</v>
      </c>
      <c r="D107" s="23">
        <f>A58</f>
        <v>2</v>
      </c>
      <c r="E107" s="16"/>
      <c r="F107" s="56"/>
      <c r="G107" s="16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3.5" x14ac:dyDescent="0.25">
      <c r="A108" s="16"/>
      <c r="B108" s="16"/>
      <c r="C108" s="22" t="s">
        <v>5</v>
      </c>
      <c r="D108" s="23">
        <f>A94</f>
        <v>32</v>
      </c>
      <c r="E108" s="16"/>
      <c r="F108" s="56"/>
      <c r="G108" s="16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3.5" x14ac:dyDescent="0.25">
      <c r="A109" s="16"/>
      <c r="B109" s="16"/>
      <c r="C109" s="22" t="s">
        <v>6</v>
      </c>
      <c r="D109" s="23">
        <f>A100</f>
        <v>2</v>
      </c>
      <c r="E109" s="16"/>
      <c r="F109" s="56"/>
      <c r="G109" s="16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3.5" x14ac:dyDescent="0.25">
      <c r="A110" s="16"/>
      <c r="B110" s="16"/>
      <c r="C110" s="22" t="s">
        <v>7</v>
      </c>
      <c r="D110" s="23">
        <f>SUM(D105:D109)</f>
        <v>81</v>
      </c>
      <c r="E110" s="16"/>
      <c r="F110" s="56"/>
      <c r="G110" s="16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3.5" x14ac:dyDescent="0.25">
      <c r="A111" s="16"/>
      <c r="B111" s="16"/>
      <c r="C111" s="17"/>
      <c r="D111" s="18"/>
      <c r="E111" s="16"/>
      <c r="F111" s="56"/>
      <c r="G111" s="16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3.5" x14ac:dyDescent="0.25">
      <c r="A112" s="16"/>
      <c r="B112" s="16"/>
      <c r="C112" s="17"/>
      <c r="D112" s="18"/>
      <c r="E112" s="16"/>
      <c r="F112" s="56"/>
      <c r="G112" s="16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3.5" x14ac:dyDescent="0.25">
      <c r="A113" s="16"/>
      <c r="B113" s="16"/>
      <c r="C113" s="17"/>
      <c r="D113" s="18"/>
      <c r="E113" s="16"/>
      <c r="F113" s="56"/>
      <c r="G113" s="16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3.5" x14ac:dyDescent="0.25">
      <c r="A114" s="16"/>
      <c r="B114" s="16"/>
      <c r="C114" s="17"/>
      <c r="D114" s="18"/>
      <c r="E114" s="16"/>
      <c r="F114" s="56"/>
      <c r="G114" s="16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3.5" x14ac:dyDescent="0.25">
      <c r="A115" s="16"/>
      <c r="B115" s="16"/>
      <c r="C115" s="17"/>
      <c r="D115" s="18"/>
      <c r="E115" s="16"/>
      <c r="F115" s="56"/>
      <c r="G115" s="16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3.5" x14ac:dyDescent="0.25">
      <c r="A116" s="16"/>
      <c r="B116" s="16"/>
      <c r="C116" s="17"/>
      <c r="D116" s="18"/>
      <c r="E116" s="16"/>
      <c r="F116" s="56"/>
      <c r="G116" s="16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3.5" x14ac:dyDescent="0.25">
      <c r="A117" s="16"/>
      <c r="B117" s="16"/>
      <c r="C117" s="17"/>
      <c r="D117" s="18"/>
      <c r="E117" s="16"/>
      <c r="F117" s="56"/>
      <c r="G117" s="16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3.5" x14ac:dyDescent="0.25">
      <c r="A118" s="16"/>
      <c r="B118" s="16"/>
      <c r="C118" s="17"/>
      <c r="D118" s="18"/>
      <c r="E118" s="16"/>
      <c r="F118" s="56"/>
      <c r="G118" s="16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3.5" x14ac:dyDescent="0.25">
      <c r="A119" s="16"/>
      <c r="B119" s="16"/>
      <c r="C119" s="17"/>
      <c r="D119" s="18"/>
      <c r="E119" s="16"/>
      <c r="F119" s="56"/>
      <c r="G119" s="16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3.5" x14ac:dyDescent="0.25">
      <c r="A120" s="16"/>
      <c r="B120" s="16"/>
      <c r="C120" s="17"/>
      <c r="D120" s="18"/>
      <c r="E120" s="16"/>
      <c r="F120" s="56"/>
      <c r="G120" s="16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3.5" x14ac:dyDescent="0.25">
      <c r="A121" s="16"/>
      <c r="B121" s="16"/>
      <c r="C121" s="17"/>
      <c r="D121" s="18"/>
      <c r="E121" s="16"/>
      <c r="F121" s="56"/>
      <c r="G121" s="16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3.5" x14ac:dyDescent="0.25">
      <c r="A122" s="16"/>
      <c r="B122" s="16"/>
      <c r="C122" s="17"/>
      <c r="D122" s="18"/>
      <c r="E122" s="16"/>
      <c r="F122" s="56"/>
      <c r="G122" s="16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3.5" x14ac:dyDescent="0.25">
      <c r="A123" s="16"/>
      <c r="B123" s="16"/>
      <c r="C123" s="17"/>
      <c r="D123" s="18"/>
      <c r="E123" s="16"/>
      <c r="F123" s="56"/>
      <c r="G123" s="16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3.5" x14ac:dyDescent="0.25">
      <c r="A124" s="16"/>
      <c r="B124" s="16"/>
      <c r="C124" s="17"/>
      <c r="D124" s="18"/>
      <c r="E124" s="16"/>
      <c r="F124" s="56"/>
      <c r="G124" s="16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3.5" x14ac:dyDescent="0.25">
      <c r="A125" s="16"/>
      <c r="B125" s="16"/>
      <c r="C125" s="17"/>
      <c r="D125" s="18"/>
      <c r="E125" s="16"/>
      <c r="F125" s="56"/>
      <c r="G125" s="16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3.5" x14ac:dyDescent="0.25">
      <c r="A126" s="16"/>
      <c r="B126" s="16"/>
      <c r="C126" s="17"/>
      <c r="D126" s="18"/>
      <c r="E126" s="16"/>
      <c r="F126" s="56"/>
      <c r="G126" s="16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3.5" x14ac:dyDescent="0.25">
      <c r="A127" s="16"/>
      <c r="B127" s="16"/>
      <c r="C127" s="17"/>
      <c r="D127" s="18"/>
      <c r="E127" s="16"/>
      <c r="F127" s="56"/>
      <c r="G127" s="16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3.5" x14ac:dyDescent="0.25">
      <c r="A128" s="16"/>
      <c r="B128" s="16"/>
      <c r="C128" s="17"/>
      <c r="D128" s="18"/>
      <c r="E128" s="16"/>
      <c r="F128" s="56"/>
      <c r="G128" s="16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3.5" x14ac:dyDescent="0.25">
      <c r="A129" s="16"/>
      <c r="B129" s="16"/>
      <c r="C129" s="17"/>
      <c r="D129" s="18"/>
      <c r="E129" s="16"/>
      <c r="F129" s="56"/>
      <c r="G129" s="16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3.5" x14ac:dyDescent="0.25">
      <c r="A130" s="16"/>
      <c r="B130" s="16"/>
      <c r="C130" s="17"/>
      <c r="D130" s="18"/>
      <c r="E130" s="16"/>
      <c r="F130" s="56"/>
      <c r="G130" s="16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3.5" x14ac:dyDescent="0.25">
      <c r="A131" s="16"/>
      <c r="B131" s="16"/>
      <c r="C131" s="17"/>
      <c r="D131" s="18"/>
      <c r="E131" s="16"/>
      <c r="F131" s="56"/>
      <c r="G131" s="16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3.5" x14ac:dyDescent="0.25">
      <c r="A132" s="16"/>
      <c r="B132" s="16"/>
      <c r="C132" s="17"/>
      <c r="D132" s="18"/>
      <c r="E132" s="16"/>
      <c r="F132" s="56"/>
      <c r="G132" s="16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3.5" x14ac:dyDescent="0.25">
      <c r="A133" s="16"/>
      <c r="B133" s="16"/>
      <c r="C133" s="17"/>
      <c r="D133" s="18"/>
      <c r="E133" s="16"/>
      <c r="F133" s="56"/>
      <c r="G133" s="16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3.5" x14ac:dyDescent="0.25">
      <c r="A134" s="16"/>
      <c r="B134" s="16"/>
      <c r="C134" s="17"/>
      <c r="D134" s="18"/>
      <c r="E134" s="16"/>
      <c r="F134" s="56"/>
      <c r="G134" s="16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3.5" x14ac:dyDescent="0.25">
      <c r="A135" s="16"/>
      <c r="B135" s="16"/>
      <c r="C135" s="17"/>
      <c r="D135" s="18"/>
      <c r="E135" s="16"/>
      <c r="F135" s="56"/>
      <c r="G135" s="16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3.5" x14ac:dyDescent="0.25">
      <c r="A136" s="16"/>
      <c r="B136" s="16"/>
      <c r="C136" s="17"/>
      <c r="D136" s="18"/>
      <c r="E136" s="16"/>
      <c r="F136" s="56"/>
      <c r="G136" s="16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3.5" x14ac:dyDescent="0.25">
      <c r="A137" s="16"/>
      <c r="B137" s="16"/>
      <c r="C137" s="17"/>
      <c r="D137" s="18"/>
      <c r="E137" s="16"/>
      <c r="F137" s="56"/>
      <c r="G137" s="16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3.5" x14ac:dyDescent="0.25">
      <c r="A138" s="16"/>
      <c r="B138" s="16"/>
      <c r="C138" s="17"/>
      <c r="D138" s="18"/>
      <c r="E138" s="16"/>
      <c r="F138" s="56"/>
      <c r="G138" s="16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3.5" x14ac:dyDescent="0.25">
      <c r="A139" s="16"/>
      <c r="B139" s="16"/>
      <c r="C139" s="17"/>
      <c r="D139" s="18"/>
      <c r="E139" s="16"/>
      <c r="F139" s="56"/>
      <c r="G139" s="16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3.5" x14ac:dyDescent="0.25">
      <c r="A140" s="16"/>
      <c r="B140" s="16"/>
      <c r="C140" s="17"/>
      <c r="D140" s="18"/>
      <c r="E140" s="16"/>
      <c r="F140" s="56"/>
      <c r="G140" s="16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3.5" x14ac:dyDescent="0.25">
      <c r="A141" s="16"/>
      <c r="B141" s="16"/>
      <c r="C141" s="17"/>
      <c r="D141" s="18"/>
      <c r="E141" s="16"/>
      <c r="F141" s="56"/>
      <c r="G141" s="16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3.5" x14ac:dyDescent="0.25">
      <c r="A142" s="16"/>
      <c r="B142" s="16"/>
      <c r="C142" s="17"/>
      <c r="D142" s="18"/>
      <c r="E142" s="16"/>
      <c r="F142" s="56"/>
      <c r="G142" s="16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3.5" x14ac:dyDescent="0.25">
      <c r="A143" s="16"/>
      <c r="B143" s="16"/>
      <c r="C143" s="17"/>
      <c r="D143" s="18"/>
      <c r="E143" s="16"/>
      <c r="F143" s="56"/>
      <c r="G143" s="16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3.5" x14ac:dyDescent="0.25">
      <c r="A144" s="16"/>
      <c r="B144" s="16"/>
      <c r="C144" s="17"/>
      <c r="D144" s="18"/>
      <c r="E144" s="16"/>
      <c r="F144" s="56"/>
      <c r="G144" s="16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3.5" x14ac:dyDescent="0.25">
      <c r="A145" s="16"/>
      <c r="B145" s="16"/>
      <c r="C145" s="17"/>
      <c r="D145" s="18"/>
      <c r="E145" s="16"/>
      <c r="F145" s="56"/>
      <c r="G145" s="16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3.5" x14ac:dyDescent="0.25">
      <c r="A146" s="16"/>
      <c r="B146" s="16"/>
      <c r="C146" s="17"/>
      <c r="D146" s="18"/>
      <c r="E146" s="16"/>
      <c r="F146" s="56"/>
      <c r="G146" s="16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3.5" x14ac:dyDescent="0.25">
      <c r="A147" s="16"/>
      <c r="B147" s="16"/>
      <c r="C147" s="17"/>
      <c r="D147" s="18"/>
      <c r="E147" s="16"/>
      <c r="F147" s="56"/>
      <c r="G147" s="16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3.5" x14ac:dyDescent="0.25">
      <c r="A148" s="16"/>
      <c r="B148" s="16"/>
      <c r="C148" s="17"/>
      <c r="D148" s="18"/>
      <c r="E148" s="16"/>
      <c r="F148" s="56"/>
      <c r="G148" s="16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3.5" x14ac:dyDescent="0.25">
      <c r="A149" s="16"/>
      <c r="B149" s="16"/>
      <c r="C149" s="17"/>
      <c r="D149" s="18"/>
      <c r="E149" s="16"/>
      <c r="F149" s="56"/>
      <c r="G149" s="16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3.5" x14ac:dyDescent="0.25">
      <c r="A150" s="16"/>
      <c r="B150" s="16"/>
      <c r="C150" s="17"/>
      <c r="D150" s="18"/>
      <c r="E150" s="16"/>
      <c r="F150" s="56"/>
      <c r="G150" s="16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3.5" x14ac:dyDescent="0.25">
      <c r="A151" s="16"/>
      <c r="B151" s="16"/>
      <c r="C151" s="17"/>
      <c r="D151" s="18"/>
      <c r="E151" s="16"/>
      <c r="F151" s="56"/>
      <c r="G151" s="16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3.5" x14ac:dyDescent="0.25">
      <c r="A152" s="16"/>
      <c r="B152" s="16"/>
      <c r="C152" s="17"/>
      <c r="D152" s="18"/>
      <c r="E152" s="16"/>
      <c r="F152" s="56"/>
      <c r="G152" s="16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3.5" x14ac:dyDescent="0.25">
      <c r="A153" s="16"/>
      <c r="B153" s="16"/>
      <c r="C153" s="17"/>
      <c r="D153" s="18"/>
      <c r="E153" s="16"/>
      <c r="F153" s="56"/>
      <c r="G153" s="16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3.5" x14ac:dyDescent="0.25">
      <c r="A154" s="16"/>
      <c r="B154" s="16"/>
      <c r="C154" s="17"/>
      <c r="D154" s="18"/>
      <c r="E154" s="16"/>
      <c r="F154" s="56"/>
      <c r="G154" s="16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x14ac:dyDescent="0.2">
      <c r="A155" s="24"/>
      <c r="B155" s="24"/>
      <c r="D155" s="25"/>
      <c r="E155" s="24"/>
      <c r="F155" s="73"/>
      <c r="G155" s="24"/>
    </row>
    <row r="156" spans="1:26" ht="12.75" x14ac:dyDescent="0.2">
      <c r="A156" s="24"/>
      <c r="B156" s="24"/>
      <c r="D156" s="25"/>
      <c r="E156" s="24"/>
      <c r="F156" s="73"/>
      <c r="G156" s="24"/>
    </row>
    <row r="157" spans="1:26" ht="12.75" x14ac:dyDescent="0.2">
      <c r="A157" s="24"/>
      <c r="B157" s="24"/>
      <c r="D157" s="25"/>
      <c r="E157" s="24"/>
      <c r="F157" s="73"/>
      <c r="G157" s="24"/>
    </row>
    <row r="158" spans="1:26" ht="12.75" x14ac:dyDescent="0.2">
      <c r="A158" s="24"/>
      <c r="B158" s="24"/>
      <c r="D158" s="25"/>
      <c r="E158" s="24"/>
      <c r="F158" s="73"/>
      <c r="G158" s="24"/>
    </row>
    <row r="159" spans="1:26" ht="12.75" x14ac:dyDescent="0.2">
      <c r="A159" s="24"/>
      <c r="B159" s="24"/>
      <c r="D159" s="25"/>
      <c r="E159" s="24"/>
      <c r="F159" s="73"/>
      <c r="G159" s="24"/>
    </row>
    <row r="160" spans="1:26" ht="12.75" x14ac:dyDescent="0.2">
      <c r="A160" s="24"/>
      <c r="B160" s="24"/>
      <c r="D160" s="25"/>
      <c r="E160" s="24"/>
      <c r="F160" s="73"/>
      <c r="G160" s="24"/>
    </row>
    <row r="161" spans="1:7" ht="12.75" x14ac:dyDescent="0.2">
      <c r="A161" s="24"/>
      <c r="B161" s="24"/>
      <c r="D161" s="25"/>
      <c r="E161" s="24"/>
      <c r="F161" s="73"/>
      <c r="G161" s="24"/>
    </row>
    <row r="162" spans="1:7" ht="12.75" x14ac:dyDescent="0.2">
      <c r="A162" s="24"/>
      <c r="B162" s="24"/>
      <c r="D162" s="25"/>
      <c r="E162" s="24"/>
      <c r="F162" s="73"/>
      <c r="G162" s="24"/>
    </row>
    <row r="163" spans="1:7" ht="12.75" x14ac:dyDescent="0.2">
      <c r="A163" s="24"/>
      <c r="B163" s="24"/>
      <c r="D163" s="25"/>
      <c r="E163" s="24"/>
      <c r="F163" s="73"/>
      <c r="G163" s="24"/>
    </row>
    <row r="164" spans="1:7" ht="12.75" x14ac:dyDescent="0.2">
      <c r="A164" s="24"/>
      <c r="B164" s="24"/>
      <c r="D164" s="25"/>
      <c r="E164" s="24"/>
      <c r="F164" s="73"/>
      <c r="G164" s="24"/>
    </row>
    <row r="165" spans="1:7" ht="12.75" x14ac:dyDescent="0.2">
      <c r="A165" s="24"/>
      <c r="B165" s="24"/>
      <c r="D165" s="25"/>
      <c r="E165" s="24"/>
      <c r="F165" s="73"/>
      <c r="G165" s="24"/>
    </row>
    <row r="166" spans="1:7" ht="12.75" x14ac:dyDescent="0.2">
      <c r="A166" s="24"/>
      <c r="B166" s="24"/>
      <c r="D166" s="25"/>
      <c r="E166" s="24"/>
      <c r="F166" s="73"/>
      <c r="G166" s="24"/>
    </row>
    <row r="167" spans="1:7" ht="12.75" x14ac:dyDescent="0.2">
      <c r="A167" s="24"/>
      <c r="B167" s="24"/>
      <c r="D167" s="25"/>
      <c r="E167" s="24"/>
      <c r="F167" s="73"/>
      <c r="G167" s="24"/>
    </row>
    <row r="168" spans="1:7" ht="12.75" x14ac:dyDescent="0.2">
      <c r="A168" s="24"/>
      <c r="B168" s="24"/>
      <c r="D168" s="25"/>
      <c r="E168" s="24"/>
      <c r="F168" s="73"/>
      <c r="G168" s="24"/>
    </row>
    <row r="169" spans="1:7" ht="12.75" x14ac:dyDescent="0.2">
      <c r="A169" s="24"/>
      <c r="B169" s="24"/>
      <c r="D169" s="25"/>
      <c r="E169" s="24"/>
      <c r="F169" s="73"/>
      <c r="G169" s="24"/>
    </row>
    <row r="170" spans="1:7" ht="12.75" x14ac:dyDescent="0.2">
      <c r="A170" s="24"/>
      <c r="B170" s="24"/>
      <c r="D170" s="25"/>
      <c r="E170" s="24"/>
      <c r="F170" s="73"/>
      <c r="G170" s="24"/>
    </row>
    <row r="171" spans="1:7" ht="12.75" x14ac:dyDescent="0.2">
      <c r="A171" s="24"/>
      <c r="B171" s="24"/>
      <c r="D171" s="25"/>
      <c r="E171" s="24"/>
      <c r="F171" s="73"/>
      <c r="G171" s="24"/>
    </row>
    <row r="172" spans="1:7" ht="12.75" x14ac:dyDescent="0.2">
      <c r="A172" s="24"/>
      <c r="B172" s="24"/>
      <c r="D172" s="25"/>
      <c r="E172" s="24"/>
      <c r="F172" s="73"/>
      <c r="G172" s="24"/>
    </row>
    <row r="173" spans="1:7" ht="12.75" x14ac:dyDescent="0.2">
      <c r="A173" s="24"/>
      <c r="B173" s="24"/>
      <c r="D173" s="25"/>
      <c r="E173" s="24"/>
      <c r="F173" s="73"/>
      <c r="G173" s="24"/>
    </row>
    <row r="174" spans="1:7" ht="12.75" x14ac:dyDescent="0.2">
      <c r="A174" s="24"/>
      <c r="B174" s="24"/>
      <c r="D174" s="25"/>
      <c r="E174" s="24"/>
      <c r="F174" s="73"/>
      <c r="G174" s="24"/>
    </row>
    <row r="175" spans="1:7" ht="12.75" x14ac:dyDescent="0.2">
      <c r="A175" s="24"/>
      <c r="B175" s="24"/>
      <c r="D175" s="25"/>
      <c r="E175" s="24"/>
      <c r="F175" s="73"/>
      <c r="G175" s="24"/>
    </row>
    <row r="176" spans="1:7" ht="12.75" x14ac:dyDescent="0.2">
      <c r="A176" s="24"/>
      <c r="B176" s="24"/>
      <c r="D176" s="25"/>
      <c r="E176" s="24"/>
      <c r="F176" s="73"/>
      <c r="G176" s="24"/>
    </row>
    <row r="177" spans="1:7" ht="12.75" x14ac:dyDescent="0.2">
      <c r="A177" s="24"/>
      <c r="B177" s="24"/>
      <c r="D177" s="25"/>
      <c r="E177" s="24"/>
      <c r="F177" s="73"/>
      <c r="G177" s="24"/>
    </row>
    <row r="178" spans="1:7" ht="12.75" x14ac:dyDescent="0.2">
      <c r="A178" s="24"/>
      <c r="B178" s="24"/>
      <c r="D178" s="25"/>
      <c r="E178" s="24"/>
      <c r="F178" s="73"/>
      <c r="G178" s="24"/>
    </row>
    <row r="179" spans="1:7" ht="12.75" x14ac:dyDescent="0.2">
      <c r="A179" s="24"/>
      <c r="B179" s="24"/>
      <c r="D179" s="25"/>
      <c r="E179" s="24"/>
      <c r="F179" s="73"/>
      <c r="G179" s="24"/>
    </row>
    <row r="180" spans="1:7" ht="12.75" x14ac:dyDescent="0.2">
      <c r="A180" s="24"/>
      <c r="B180" s="24"/>
      <c r="D180" s="25"/>
      <c r="E180" s="24"/>
      <c r="F180" s="73"/>
      <c r="G180" s="24"/>
    </row>
    <row r="181" spans="1:7" ht="12.75" x14ac:dyDescent="0.2">
      <c r="A181" s="24"/>
      <c r="B181" s="24"/>
      <c r="D181" s="25"/>
      <c r="E181" s="24"/>
      <c r="F181" s="73"/>
      <c r="G181" s="24"/>
    </row>
    <row r="182" spans="1:7" ht="12.75" x14ac:dyDescent="0.2">
      <c r="A182" s="24"/>
      <c r="B182" s="24"/>
      <c r="D182" s="25"/>
      <c r="E182" s="24"/>
      <c r="F182" s="73"/>
      <c r="G182" s="24"/>
    </row>
    <row r="183" spans="1:7" ht="12.75" x14ac:dyDescent="0.2">
      <c r="A183" s="24"/>
      <c r="B183" s="24"/>
      <c r="D183" s="25"/>
      <c r="E183" s="24"/>
      <c r="F183" s="73"/>
      <c r="G183" s="24"/>
    </row>
    <row r="184" spans="1:7" ht="12.75" x14ac:dyDescent="0.2">
      <c r="A184" s="24"/>
      <c r="B184" s="24"/>
      <c r="D184" s="25"/>
      <c r="E184" s="24"/>
      <c r="F184" s="73"/>
      <c r="G184" s="24"/>
    </row>
    <row r="185" spans="1:7" ht="12.75" x14ac:dyDescent="0.2">
      <c r="A185" s="24"/>
      <c r="B185" s="24"/>
      <c r="D185" s="25"/>
      <c r="E185" s="24"/>
      <c r="F185" s="73"/>
      <c r="G185" s="24"/>
    </row>
    <row r="186" spans="1:7" ht="12.75" x14ac:dyDescent="0.2">
      <c r="A186" s="24"/>
      <c r="B186" s="24"/>
      <c r="D186" s="25"/>
      <c r="E186" s="24"/>
      <c r="F186" s="73"/>
      <c r="G186" s="24"/>
    </row>
    <row r="187" spans="1:7" ht="12.75" x14ac:dyDescent="0.2">
      <c r="A187" s="24"/>
      <c r="B187" s="24"/>
      <c r="D187" s="25"/>
      <c r="E187" s="24"/>
      <c r="F187" s="73"/>
      <c r="G187" s="24"/>
    </row>
    <row r="188" spans="1:7" ht="12.75" x14ac:dyDescent="0.2">
      <c r="A188" s="24"/>
      <c r="B188" s="24"/>
      <c r="D188" s="25"/>
      <c r="E188" s="24"/>
      <c r="F188" s="73"/>
      <c r="G188" s="24"/>
    </row>
    <row r="189" spans="1:7" ht="12.75" x14ac:dyDescent="0.2">
      <c r="A189" s="24"/>
      <c r="B189" s="24"/>
      <c r="D189" s="25"/>
      <c r="E189" s="24"/>
      <c r="F189" s="73"/>
      <c r="G189" s="24"/>
    </row>
    <row r="190" spans="1:7" ht="12.75" x14ac:dyDescent="0.2">
      <c r="A190" s="24"/>
      <c r="B190" s="24"/>
      <c r="D190" s="25"/>
      <c r="E190" s="24"/>
      <c r="F190" s="73"/>
      <c r="G190" s="24"/>
    </row>
    <row r="191" spans="1:7" ht="12.75" x14ac:dyDescent="0.2">
      <c r="A191" s="24"/>
      <c r="B191" s="24"/>
      <c r="D191" s="25"/>
      <c r="E191" s="24"/>
      <c r="F191" s="73"/>
      <c r="G191" s="24"/>
    </row>
    <row r="192" spans="1:7" ht="12.75" x14ac:dyDescent="0.2">
      <c r="A192" s="24"/>
      <c r="B192" s="24"/>
      <c r="D192" s="25"/>
      <c r="E192" s="24"/>
      <c r="F192" s="73"/>
      <c r="G192" s="24"/>
    </row>
    <row r="193" spans="1:7" ht="12.75" x14ac:dyDescent="0.2">
      <c r="A193" s="24"/>
      <c r="B193" s="24"/>
      <c r="D193" s="25"/>
      <c r="E193" s="24"/>
      <c r="F193" s="73"/>
      <c r="G193" s="24"/>
    </row>
    <row r="194" spans="1:7" ht="12.75" x14ac:dyDescent="0.2">
      <c r="A194" s="24"/>
      <c r="B194" s="24"/>
      <c r="D194" s="25"/>
      <c r="E194" s="24"/>
      <c r="F194" s="73"/>
      <c r="G194" s="24"/>
    </row>
    <row r="195" spans="1:7" ht="12.75" x14ac:dyDescent="0.2">
      <c r="A195" s="24"/>
      <c r="B195" s="24"/>
      <c r="D195" s="25"/>
      <c r="E195" s="24"/>
      <c r="F195" s="73"/>
      <c r="G195" s="24"/>
    </row>
    <row r="196" spans="1:7" ht="12.75" x14ac:dyDescent="0.2">
      <c r="A196" s="24"/>
      <c r="B196" s="24"/>
      <c r="D196" s="25"/>
      <c r="E196" s="24"/>
      <c r="F196" s="73"/>
      <c r="G196" s="24"/>
    </row>
    <row r="197" spans="1:7" ht="12.75" x14ac:dyDescent="0.2">
      <c r="A197" s="24"/>
      <c r="B197" s="24"/>
      <c r="D197" s="25"/>
      <c r="E197" s="24"/>
      <c r="F197" s="73"/>
      <c r="G197" s="24"/>
    </row>
    <row r="198" spans="1:7" ht="12.75" x14ac:dyDescent="0.2">
      <c r="A198" s="24"/>
      <c r="B198" s="24"/>
      <c r="D198" s="25"/>
      <c r="E198" s="24"/>
      <c r="F198" s="73"/>
      <c r="G198" s="24"/>
    </row>
    <row r="199" spans="1:7" ht="12.75" x14ac:dyDescent="0.2">
      <c r="A199" s="24"/>
      <c r="B199" s="24"/>
      <c r="D199" s="25"/>
      <c r="E199" s="24"/>
      <c r="F199" s="73"/>
      <c r="G199" s="24"/>
    </row>
    <row r="200" spans="1:7" ht="12.75" x14ac:dyDescent="0.2">
      <c r="A200" s="24"/>
      <c r="B200" s="24"/>
      <c r="D200" s="25"/>
      <c r="E200" s="24"/>
      <c r="F200" s="73"/>
      <c r="G200" s="24"/>
    </row>
    <row r="201" spans="1:7" ht="12.75" x14ac:dyDescent="0.2">
      <c r="A201" s="24"/>
      <c r="B201" s="24"/>
      <c r="D201" s="25"/>
      <c r="E201" s="24"/>
      <c r="F201" s="73"/>
      <c r="G201" s="24"/>
    </row>
    <row r="202" spans="1:7" ht="12.75" x14ac:dyDescent="0.2">
      <c r="A202" s="24"/>
      <c r="B202" s="24"/>
      <c r="D202" s="25"/>
      <c r="E202" s="24"/>
      <c r="F202" s="73"/>
      <c r="G202" s="24"/>
    </row>
    <row r="203" spans="1:7" ht="12.75" x14ac:dyDescent="0.2">
      <c r="A203" s="24"/>
      <c r="B203" s="24"/>
      <c r="D203" s="25"/>
      <c r="E203" s="24"/>
      <c r="F203" s="73"/>
      <c r="G203" s="24"/>
    </row>
    <row r="204" spans="1:7" ht="12.75" x14ac:dyDescent="0.2">
      <c r="A204" s="24"/>
      <c r="B204" s="24"/>
      <c r="D204" s="25"/>
      <c r="E204" s="24"/>
      <c r="F204" s="73"/>
      <c r="G204" s="24"/>
    </row>
    <row r="205" spans="1:7" ht="12.75" x14ac:dyDescent="0.2">
      <c r="A205" s="24"/>
      <c r="B205" s="24"/>
      <c r="D205" s="25"/>
      <c r="E205" s="24"/>
      <c r="F205" s="73"/>
      <c r="G205" s="24"/>
    </row>
    <row r="206" spans="1:7" ht="12.75" x14ac:dyDescent="0.2">
      <c r="A206" s="24"/>
      <c r="B206" s="24"/>
      <c r="D206" s="25"/>
      <c r="E206" s="24"/>
      <c r="F206" s="73"/>
      <c r="G206" s="24"/>
    </row>
    <row r="207" spans="1:7" ht="12.75" x14ac:dyDescent="0.2">
      <c r="A207" s="24"/>
      <c r="B207" s="24"/>
      <c r="D207" s="25"/>
      <c r="E207" s="24"/>
      <c r="F207" s="73"/>
      <c r="G207" s="24"/>
    </row>
    <row r="208" spans="1:7" ht="12.75" x14ac:dyDescent="0.2">
      <c r="A208" s="24"/>
      <c r="B208" s="24"/>
      <c r="D208" s="25"/>
      <c r="E208" s="24"/>
      <c r="F208" s="73"/>
      <c r="G208" s="24"/>
    </row>
    <row r="209" spans="1:7" ht="12.75" x14ac:dyDescent="0.2">
      <c r="A209" s="24"/>
      <c r="B209" s="24"/>
      <c r="D209" s="25"/>
      <c r="E209" s="24"/>
      <c r="F209" s="73"/>
      <c r="G209" s="24"/>
    </row>
    <row r="210" spans="1:7" ht="12.75" x14ac:dyDescent="0.2">
      <c r="A210" s="24"/>
      <c r="B210" s="24"/>
      <c r="D210" s="25"/>
      <c r="E210" s="24"/>
      <c r="F210" s="73"/>
      <c r="G210" s="24"/>
    </row>
    <row r="211" spans="1:7" ht="12.75" x14ac:dyDescent="0.2">
      <c r="A211" s="24"/>
      <c r="B211" s="24"/>
      <c r="D211" s="25"/>
      <c r="E211" s="24"/>
      <c r="F211" s="73"/>
      <c r="G211" s="24"/>
    </row>
    <row r="212" spans="1:7" ht="12.75" x14ac:dyDescent="0.2">
      <c r="A212" s="24"/>
      <c r="B212" s="24"/>
      <c r="D212" s="25"/>
      <c r="E212" s="24"/>
      <c r="F212" s="73"/>
      <c r="G212" s="24"/>
    </row>
    <row r="213" spans="1:7" ht="12.75" x14ac:dyDescent="0.2">
      <c r="A213" s="24"/>
      <c r="B213" s="24"/>
      <c r="D213" s="25"/>
      <c r="E213" s="24"/>
      <c r="F213" s="73"/>
      <c r="G213" s="24"/>
    </row>
    <row r="214" spans="1:7" ht="12.75" x14ac:dyDescent="0.2">
      <c r="A214" s="24"/>
      <c r="B214" s="24"/>
      <c r="D214" s="25"/>
      <c r="E214" s="24"/>
      <c r="F214" s="73"/>
      <c r="G214" s="24"/>
    </row>
    <row r="215" spans="1:7" ht="12.75" x14ac:dyDescent="0.2">
      <c r="A215" s="24"/>
      <c r="B215" s="24"/>
      <c r="D215" s="25"/>
      <c r="E215" s="24"/>
      <c r="F215" s="73"/>
      <c r="G215" s="24"/>
    </row>
    <row r="216" spans="1:7" ht="12.75" x14ac:dyDescent="0.2">
      <c r="A216" s="24"/>
      <c r="B216" s="24"/>
      <c r="D216" s="25"/>
      <c r="E216" s="24"/>
      <c r="F216" s="73"/>
      <c r="G216" s="24"/>
    </row>
    <row r="217" spans="1:7" ht="12.75" x14ac:dyDescent="0.2">
      <c r="A217" s="24"/>
      <c r="B217" s="24"/>
      <c r="D217" s="25"/>
      <c r="E217" s="24"/>
      <c r="F217" s="73"/>
      <c r="G217" s="24"/>
    </row>
    <row r="218" spans="1:7" ht="12.75" x14ac:dyDescent="0.2">
      <c r="A218" s="24"/>
      <c r="B218" s="24"/>
      <c r="D218" s="25"/>
      <c r="E218" s="24"/>
      <c r="F218" s="73"/>
      <c r="G218" s="24"/>
    </row>
    <row r="219" spans="1:7" ht="12.75" x14ac:dyDescent="0.2">
      <c r="A219" s="24"/>
      <c r="B219" s="24"/>
      <c r="D219" s="25"/>
      <c r="E219" s="24"/>
      <c r="F219" s="73"/>
      <c r="G219" s="24"/>
    </row>
    <row r="220" spans="1:7" ht="12.75" x14ac:dyDescent="0.2">
      <c r="A220" s="24"/>
      <c r="B220" s="24"/>
      <c r="D220" s="25"/>
      <c r="E220" s="24"/>
      <c r="F220" s="73"/>
      <c r="G220" s="24"/>
    </row>
    <row r="221" spans="1:7" ht="12.75" x14ac:dyDescent="0.2">
      <c r="A221" s="24"/>
      <c r="B221" s="24"/>
      <c r="D221" s="25"/>
      <c r="E221" s="24"/>
      <c r="F221" s="73"/>
      <c r="G221" s="24"/>
    </row>
    <row r="222" spans="1:7" ht="12.75" x14ac:dyDescent="0.2">
      <c r="A222" s="24"/>
      <c r="B222" s="24"/>
      <c r="D222" s="25"/>
      <c r="E222" s="24"/>
      <c r="F222" s="73"/>
      <c r="G222" s="24"/>
    </row>
    <row r="223" spans="1:7" ht="12.75" x14ac:dyDescent="0.2">
      <c r="A223" s="24"/>
      <c r="B223" s="24"/>
      <c r="D223" s="25"/>
      <c r="E223" s="24"/>
      <c r="F223" s="73"/>
      <c r="G223" s="24"/>
    </row>
    <row r="224" spans="1:7" ht="12.75" x14ac:dyDescent="0.2">
      <c r="A224" s="24"/>
      <c r="B224" s="24"/>
      <c r="D224" s="25"/>
      <c r="E224" s="24"/>
      <c r="F224" s="73"/>
      <c r="G224" s="24"/>
    </row>
    <row r="225" spans="1:7" ht="12.75" x14ac:dyDescent="0.2">
      <c r="A225" s="24"/>
      <c r="B225" s="24"/>
      <c r="D225" s="25"/>
      <c r="E225" s="24"/>
      <c r="F225" s="73"/>
      <c r="G225" s="24"/>
    </row>
    <row r="226" spans="1:7" ht="12.75" x14ac:dyDescent="0.2">
      <c r="A226" s="24"/>
      <c r="B226" s="24"/>
      <c r="D226" s="25"/>
      <c r="E226" s="24"/>
      <c r="F226" s="73"/>
      <c r="G226" s="24"/>
    </row>
    <row r="227" spans="1:7" ht="12.75" x14ac:dyDescent="0.2">
      <c r="A227" s="24"/>
      <c r="B227" s="24"/>
      <c r="D227" s="25"/>
      <c r="E227" s="24"/>
      <c r="F227" s="73"/>
      <c r="G227" s="24"/>
    </row>
    <row r="228" spans="1:7" ht="12.75" x14ac:dyDescent="0.2">
      <c r="A228" s="24"/>
      <c r="B228" s="24"/>
      <c r="D228" s="25"/>
      <c r="E228" s="24"/>
      <c r="F228" s="73"/>
      <c r="G228" s="24"/>
    </row>
    <row r="229" spans="1:7" ht="12.75" x14ac:dyDescent="0.2">
      <c r="A229" s="24"/>
      <c r="B229" s="24"/>
      <c r="D229" s="25"/>
      <c r="E229" s="24"/>
      <c r="F229" s="73"/>
      <c r="G229" s="24"/>
    </row>
    <row r="230" spans="1:7" ht="12.75" x14ac:dyDescent="0.2">
      <c r="A230" s="24"/>
      <c r="B230" s="24"/>
      <c r="D230" s="25"/>
      <c r="E230" s="24"/>
      <c r="F230" s="73"/>
      <c r="G230" s="24"/>
    </row>
    <row r="231" spans="1:7" ht="12.75" x14ac:dyDescent="0.2">
      <c r="A231" s="24"/>
      <c r="B231" s="24"/>
      <c r="D231" s="25"/>
      <c r="E231" s="24"/>
      <c r="F231" s="73"/>
      <c r="G231" s="24"/>
    </row>
    <row r="232" spans="1:7" ht="12.75" x14ac:dyDescent="0.2">
      <c r="A232" s="24"/>
      <c r="B232" s="24"/>
      <c r="D232" s="25"/>
      <c r="E232" s="24"/>
      <c r="F232" s="73"/>
      <c r="G232" s="24"/>
    </row>
    <row r="233" spans="1:7" ht="12.75" x14ac:dyDescent="0.2">
      <c r="A233" s="24"/>
      <c r="B233" s="24"/>
      <c r="D233" s="25"/>
      <c r="E233" s="24"/>
      <c r="F233" s="73"/>
      <c r="G233" s="24"/>
    </row>
    <row r="234" spans="1:7" ht="12.75" x14ac:dyDescent="0.2">
      <c r="A234" s="24"/>
      <c r="B234" s="24"/>
      <c r="D234" s="25"/>
      <c r="E234" s="24"/>
      <c r="F234" s="73"/>
      <c r="G234" s="24"/>
    </row>
    <row r="235" spans="1:7" ht="12.75" x14ac:dyDescent="0.2">
      <c r="A235" s="24"/>
      <c r="B235" s="24"/>
      <c r="D235" s="25"/>
      <c r="E235" s="24"/>
      <c r="F235" s="73"/>
      <c r="G235" s="24"/>
    </row>
    <row r="236" spans="1:7" ht="12.75" x14ac:dyDescent="0.2">
      <c r="A236" s="24"/>
      <c r="B236" s="24"/>
      <c r="D236" s="25"/>
      <c r="E236" s="24"/>
      <c r="F236" s="73"/>
      <c r="G236" s="24"/>
    </row>
    <row r="237" spans="1:7" ht="12.75" x14ac:dyDescent="0.2">
      <c r="A237" s="24"/>
      <c r="B237" s="24"/>
      <c r="D237" s="25"/>
      <c r="E237" s="24"/>
      <c r="F237" s="73"/>
      <c r="G237" s="24"/>
    </row>
    <row r="238" spans="1:7" ht="12.75" x14ac:dyDescent="0.2">
      <c r="A238" s="24"/>
      <c r="B238" s="24"/>
      <c r="D238" s="25"/>
      <c r="E238" s="24"/>
      <c r="F238" s="73"/>
      <c r="G238" s="24"/>
    </row>
    <row r="239" spans="1:7" ht="12.75" x14ac:dyDescent="0.2">
      <c r="A239" s="24"/>
      <c r="B239" s="24"/>
      <c r="D239" s="25"/>
      <c r="E239" s="24"/>
      <c r="F239" s="73"/>
      <c r="G239" s="24"/>
    </row>
    <row r="240" spans="1:7" ht="12.75" x14ac:dyDescent="0.2">
      <c r="A240" s="24"/>
      <c r="B240" s="24"/>
      <c r="D240" s="25"/>
      <c r="E240" s="24"/>
      <c r="F240" s="73"/>
      <c r="G240" s="24"/>
    </row>
    <row r="241" spans="1:7" ht="12.75" x14ac:dyDescent="0.2">
      <c r="A241" s="24"/>
      <c r="B241" s="24"/>
      <c r="D241" s="25"/>
      <c r="E241" s="24"/>
      <c r="F241" s="73"/>
      <c r="G241" s="24"/>
    </row>
    <row r="242" spans="1:7" ht="12.75" x14ac:dyDescent="0.2">
      <c r="A242" s="24"/>
      <c r="B242" s="24"/>
      <c r="D242" s="25"/>
      <c r="E242" s="24"/>
      <c r="F242" s="73"/>
      <c r="G242" s="24"/>
    </row>
    <row r="243" spans="1:7" ht="12.75" x14ac:dyDescent="0.2">
      <c r="A243" s="24"/>
      <c r="B243" s="24"/>
      <c r="D243" s="25"/>
      <c r="E243" s="24"/>
      <c r="F243" s="73"/>
      <c r="G243" s="24"/>
    </row>
    <row r="244" spans="1:7" ht="12.75" x14ac:dyDescent="0.2">
      <c r="A244" s="24"/>
      <c r="B244" s="24"/>
      <c r="D244" s="25"/>
      <c r="E244" s="24"/>
      <c r="F244" s="73"/>
      <c r="G244" s="24"/>
    </row>
    <row r="245" spans="1:7" ht="12.75" x14ac:dyDescent="0.2">
      <c r="A245" s="24"/>
      <c r="B245" s="24"/>
      <c r="D245" s="25"/>
      <c r="E245" s="24"/>
      <c r="F245" s="73"/>
      <c r="G245" s="24"/>
    </row>
    <row r="246" spans="1:7" ht="12.75" x14ac:dyDescent="0.2">
      <c r="A246" s="24"/>
      <c r="B246" s="24"/>
      <c r="D246" s="25"/>
      <c r="E246" s="24"/>
      <c r="F246" s="73"/>
      <c r="G246" s="24"/>
    </row>
    <row r="247" spans="1:7" ht="12.75" x14ac:dyDescent="0.2">
      <c r="A247" s="24"/>
      <c r="B247" s="24"/>
      <c r="D247" s="25"/>
      <c r="E247" s="24"/>
      <c r="F247" s="73"/>
      <c r="G247" s="24"/>
    </row>
    <row r="248" spans="1:7" ht="12.75" x14ac:dyDescent="0.2">
      <c r="A248" s="24"/>
      <c r="B248" s="24"/>
      <c r="D248" s="25"/>
      <c r="E248" s="24"/>
      <c r="F248" s="73"/>
      <c r="G248" s="24"/>
    </row>
    <row r="249" spans="1:7" ht="12.75" x14ac:dyDescent="0.2">
      <c r="A249" s="24"/>
      <c r="B249" s="24"/>
      <c r="D249" s="25"/>
      <c r="E249" s="24"/>
      <c r="F249" s="73"/>
      <c r="G249" s="24"/>
    </row>
    <row r="250" spans="1:7" ht="12.75" x14ac:dyDescent="0.2">
      <c r="A250" s="24"/>
      <c r="B250" s="24"/>
      <c r="D250" s="25"/>
      <c r="E250" s="24"/>
      <c r="F250" s="73"/>
      <c r="G250" s="24"/>
    </row>
    <row r="251" spans="1:7" ht="12.75" x14ac:dyDescent="0.2">
      <c r="A251" s="24"/>
      <c r="B251" s="24"/>
      <c r="D251" s="25"/>
      <c r="E251" s="24"/>
      <c r="F251" s="73"/>
      <c r="G251" s="24"/>
    </row>
    <row r="252" spans="1:7" ht="12.75" x14ac:dyDescent="0.2">
      <c r="A252" s="24"/>
      <c r="B252" s="24"/>
      <c r="D252" s="25"/>
      <c r="E252" s="24"/>
      <c r="F252" s="73"/>
      <c r="G252" s="24"/>
    </row>
    <row r="253" spans="1:7" ht="12.75" x14ac:dyDescent="0.2">
      <c r="A253" s="24"/>
      <c r="B253" s="24"/>
      <c r="D253" s="25"/>
      <c r="E253" s="24"/>
      <c r="F253" s="73"/>
      <c r="G253" s="24"/>
    </row>
    <row r="254" spans="1:7" ht="12.75" x14ac:dyDescent="0.2">
      <c r="A254" s="24"/>
      <c r="B254" s="24"/>
      <c r="D254" s="25"/>
      <c r="E254" s="24"/>
      <c r="F254" s="73"/>
      <c r="G254" s="24"/>
    </row>
    <row r="255" spans="1:7" ht="12.75" x14ac:dyDescent="0.2">
      <c r="A255" s="24"/>
      <c r="B255" s="24"/>
      <c r="D255" s="25"/>
      <c r="E255" s="24"/>
      <c r="F255" s="73"/>
      <c r="G255" s="24"/>
    </row>
    <row r="256" spans="1:7" ht="12.75" x14ac:dyDescent="0.2">
      <c r="A256" s="24"/>
      <c r="B256" s="24"/>
      <c r="D256" s="25"/>
      <c r="E256" s="24"/>
      <c r="F256" s="73"/>
      <c r="G256" s="24"/>
    </row>
    <row r="257" spans="1:7" ht="12.75" x14ac:dyDescent="0.2">
      <c r="A257" s="24"/>
      <c r="B257" s="24"/>
      <c r="D257" s="25"/>
      <c r="E257" s="24"/>
      <c r="F257" s="73"/>
      <c r="G257" s="24"/>
    </row>
    <row r="258" spans="1:7" ht="12.75" x14ac:dyDescent="0.2">
      <c r="A258" s="24"/>
      <c r="B258" s="24"/>
      <c r="D258" s="25"/>
      <c r="E258" s="24"/>
      <c r="F258" s="73"/>
      <c r="G258" s="24"/>
    </row>
    <row r="259" spans="1:7" ht="12.75" x14ac:dyDescent="0.2">
      <c r="A259" s="24"/>
      <c r="B259" s="24"/>
      <c r="D259" s="25"/>
      <c r="E259" s="24"/>
      <c r="F259" s="73"/>
      <c r="G259" s="24"/>
    </row>
    <row r="260" spans="1:7" ht="12.75" x14ac:dyDescent="0.2">
      <c r="A260" s="24"/>
      <c r="B260" s="24"/>
      <c r="D260" s="25"/>
      <c r="E260" s="24"/>
      <c r="F260" s="73"/>
      <c r="G260" s="24"/>
    </row>
    <row r="261" spans="1:7" ht="12.75" x14ac:dyDescent="0.2">
      <c r="A261" s="24"/>
      <c r="B261" s="24"/>
      <c r="D261" s="25"/>
      <c r="E261" s="24"/>
      <c r="F261" s="73"/>
      <c r="G261" s="24"/>
    </row>
    <row r="262" spans="1:7" ht="12.75" x14ac:dyDescent="0.2">
      <c r="A262" s="24"/>
      <c r="B262" s="24"/>
      <c r="D262" s="25"/>
      <c r="E262" s="24"/>
      <c r="F262" s="73"/>
      <c r="G262" s="24"/>
    </row>
    <row r="263" spans="1:7" ht="12.75" x14ac:dyDescent="0.2">
      <c r="A263" s="24"/>
      <c r="B263" s="24"/>
      <c r="D263" s="25"/>
      <c r="E263" s="24"/>
      <c r="F263" s="73"/>
      <c r="G263" s="24"/>
    </row>
    <row r="264" spans="1:7" ht="12.75" x14ac:dyDescent="0.2">
      <c r="A264" s="24"/>
      <c r="B264" s="24"/>
      <c r="D264" s="25"/>
      <c r="E264" s="24"/>
      <c r="F264" s="73"/>
      <c r="G264" s="24"/>
    </row>
    <row r="265" spans="1:7" ht="12.75" x14ac:dyDescent="0.2">
      <c r="A265" s="24"/>
      <c r="B265" s="24"/>
      <c r="D265" s="25"/>
      <c r="E265" s="24"/>
      <c r="F265" s="73"/>
      <c r="G265" s="24"/>
    </row>
    <row r="266" spans="1:7" ht="12.75" x14ac:dyDescent="0.2">
      <c r="A266" s="24"/>
      <c r="B266" s="24"/>
      <c r="D266" s="25"/>
      <c r="E266" s="24"/>
      <c r="F266" s="73"/>
      <c r="G266" s="24"/>
    </row>
    <row r="267" spans="1:7" ht="12.75" x14ac:dyDescent="0.2">
      <c r="A267" s="24"/>
      <c r="B267" s="24"/>
      <c r="D267" s="25"/>
      <c r="E267" s="24"/>
      <c r="F267" s="73"/>
      <c r="G267" s="24"/>
    </row>
    <row r="268" spans="1:7" ht="12.75" x14ac:dyDescent="0.2">
      <c r="A268" s="24"/>
      <c r="B268" s="24"/>
      <c r="D268" s="25"/>
      <c r="E268" s="24"/>
      <c r="F268" s="73"/>
      <c r="G268" s="24"/>
    </row>
    <row r="269" spans="1:7" ht="12.75" x14ac:dyDescent="0.2">
      <c r="A269" s="24"/>
      <c r="B269" s="24"/>
      <c r="D269" s="25"/>
      <c r="E269" s="24"/>
      <c r="F269" s="73"/>
      <c r="G269" s="24"/>
    </row>
    <row r="270" spans="1:7" ht="12.75" x14ac:dyDescent="0.2">
      <c r="A270" s="24"/>
      <c r="B270" s="24"/>
      <c r="D270" s="25"/>
      <c r="E270" s="24"/>
      <c r="F270" s="73"/>
      <c r="G270" s="24"/>
    </row>
    <row r="271" spans="1:7" ht="12.75" x14ac:dyDescent="0.2">
      <c r="A271" s="24"/>
      <c r="B271" s="24"/>
      <c r="D271" s="25"/>
      <c r="E271" s="24"/>
      <c r="F271" s="73"/>
      <c r="G271" s="24"/>
    </row>
    <row r="272" spans="1:7" ht="12.75" x14ac:dyDescent="0.2">
      <c r="A272" s="24"/>
      <c r="B272" s="24"/>
      <c r="D272" s="25"/>
      <c r="E272" s="24"/>
      <c r="F272" s="73"/>
      <c r="G272" s="24"/>
    </row>
    <row r="273" spans="1:7" ht="12.75" x14ac:dyDescent="0.2">
      <c r="A273" s="24"/>
      <c r="B273" s="24"/>
      <c r="D273" s="25"/>
      <c r="E273" s="24"/>
      <c r="F273" s="73"/>
      <c r="G273" s="24"/>
    </row>
    <row r="274" spans="1:7" ht="12.75" x14ac:dyDescent="0.2">
      <c r="A274" s="24"/>
      <c r="B274" s="24"/>
      <c r="D274" s="25"/>
      <c r="E274" s="24"/>
      <c r="F274" s="73"/>
      <c r="G274" s="24"/>
    </row>
    <row r="275" spans="1:7" ht="12.75" x14ac:dyDescent="0.2">
      <c r="A275" s="24"/>
      <c r="B275" s="24"/>
      <c r="D275" s="25"/>
      <c r="E275" s="24"/>
      <c r="F275" s="73"/>
      <c r="G275" s="24"/>
    </row>
    <row r="276" spans="1:7" ht="12.75" x14ac:dyDescent="0.2">
      <c r="A276" s="24"/>
      <c r="B276" s="24"/>
      <c r="D276" s="25"/>
      <c r="E276" s="24"/>
      <c r="F276" s="73"/>
      <c r="G276" s="24"/>
    </row>
    <row r="277" spans="1:7" ht="12.75" x14ac:dyDescent="0.2">
      <c r="A277" s="24"/>
      <c r="B277" s="24"/>
      <c r="D277" s="25"/>
      <c r="E277" s="24"/>
      <c r="F277" s="73"/>
      <c r="G277" s="24"/>
    </row>
    <row r="278" spans="1:7" ht="12.75" x14ac:dyDescent="0.2">
      <c r="A278" s="24"/>
      <c r="B278" s="24"/>
      <c r="D278" s="25"/>
      <c r="E278" s="24"/>
      <c r="F278" s="73"/>
      <c r="G278" s="24"/>
    </row>
    <row r="279" spans="1:7" ht="12.75" x14ac:dyDescent="0.2">
      <c r="A279" s="24"/>
      <c r="B279" s="24"/>
      <c r="D279" s="25"/>
      <c r="E279" s="24"/>
      <c r="F279" s="73"/>
      <c r="G279" s="24"/>
    </row>
    <row r="280" spans="1:7" ht="12.75" x14ac:dyDescent="0.2">
      <c r="A280" s="24"/>
      <c r="B280" s="24"/>
      <c r="D280" s="25"/>
      <c r="E280" s="24"/>
      <c r="F280" s="73"/>
      <c r="G280" s="24"/>
    </row>
    <row r="281" spans="1:7" ht="12.75" x14ac:dyDescent="0.2">
      <c r="A281" s="24"/>
      <c r="B281" s="24"/>
      <c r="D281" s="25"/>
      <c r="E281" s="24"/>
      <c r="F281" s="73"/>
      <c r="G281" s="24"/>
    </row>
    <row r="282" spans="1:7" ht="12.75" x14ac:dyDescent="0.2">
      <c r="A282" s="24"/>
      <c r="B282" s="24"/>
      <c r="D282" s="25"/>
      <c r="E282" s="24"/>
      <c r="F282" s="73"/>
      <c r="G282" s="24"/>
    </row>
    <row r="283" spans="1:7" ht="12.75" x14ac:dyDescent="0.2">
      <c r="A283" s="24"/>
      <c r="B283" s="24"/>
      <c r="D283" s="25"/>
      <c r="E283" s="24"/>
      <c r="F283" s="73"/>
      <c r="G283" s="24"/>
    </row>
    <row r="284" spans="1:7" ht="12.75" x14ac:dyDescent="0.2">
      <c r="A284" s="24"/>
      <c r="B284" s="24"/>
      <c r="D284" s="25"/>
      <c r="E284" s="24"/>
      <c r="F284" s="73"/>
      <c r="G284" s="24"/>
    </row>
    <row r="285" spans="1:7" ht="12.75" x14ac:dyDescent="0.2">
      <c r="A285" s="24"/>
      <c r="B285" s="24"/>
      <c r="D285" s="25"/>
      <c r="E285" s="24"/>
      <c r="F285" s="73"/>
      <c r="G285" s="24"/>
    </row>
    <row r="286" spans="1:7" ht="12.75" x14ac:dyDescent="0.2">
      <c r="A286" s="24"/>
      <c r="B286" s="24"/>
      <c r="D286" s="25"/>
      <c r="E286" s="24"/>
      <c r="F286" s="73"/>
      <c r="G286" s="24"/>
    </row>
    <row r="287" spans="1:7" ht="12.75" x14ac:dyDescent="0.2">
      <c r="A287" s="24"/>
      <c r="B287" s="24"/>
      <c r="D287" s="25"/>
      <c r="E287" s="24"/>
      <c r="F287" s="73"/>
      <c r="G287" s="24"/>
    </row>
    <row r="288" spans="1:7" ht="12.75" x14ac:dyDescent="0.2">
      <c r="A288" s="24"/>
      <c r="B288" s="24"/>
      <c r="D288" s="25"/>
      <c r="E288" s="24"/>
      <c r="F288" s="73"/>
      <c r="G288" s="24"/>
    </row>
    <row r="289" spans="1:7" ht="12.75" x14ac:dyDescent="0.2">
      <c r="A289" s="24"/>
      <c r="B289" s="24"/>
      <c r="D289" s="25"/>
      <c r="E289" s="24"/>
      <c r="F289" s="73"/>
      <c r="G289" s="24"/>
    </row>
    <row r="290" spans="1:7" ht="12.75" x14ac:dyDescent="0.2">
      <c r="A290" s="24"/>
      <c r="B290" s="24"/>
      <c r="D290" s="25"/>
      <c r="E290" s="24"/>
      <c r="F290" s="73"/>
      <c r="G290" s="24"/>
    </row>
    <row r="291" spans="1:7" ht="12.75" x14ac:dyDescent="0.2">
      <c r="A291" s="24"/>
      <c r="B291" s="24"/>
      <c r="D291" s="25"/>
      <c r="E291" s="24"/>
      <c r="F291" s="73"/>
      <c r="G291" s="24"/>
    </row>
    <row r="292" spans="1:7" ht="12.75" x14ac:dyDescent="0.2">
      <c r="A292" s="24"/>
      <c r="B292" s="24"/>
      <c r="D292" s="25"/>
      <c r="E292" s="24"/>
      <c r="F292" s="73"/>
      <c r="G292" s="24"/>
    </row>
    <row r="293" spans="1:7" ht="12.75" x14ac:dyDescent="0.2">
      <c r="A293" s="24"/>
      <c r="B293" s="24"/>
      <c r="D293" s="25"/>
      <c r="E293" s="24"/>
      <c r="F293" s="73"/>
      <c r="G293" s="24"/>
    </row>
    <row r="294" spans="1:7" ht="12.75" x14ac:dyDescent="0.2">
      <c r="A294" s="24"/>
      <c r="B294" s="24"/>
      <c r="D294" s="25"/>
      <c r="E294" s="24"/>
      <c r="F294" s="73"/>
      <c r="G294" s="24"/>
    </row>
    <row r="295" spans="1:7" ht="12.75" x14ac:dyDescent="0.2">
      <c r="A295" s="24"/>
      <c r="B295" s="24"/>
      <c r="D295" s="25"/>
      <c r="E295" s="24"/>
      <c r="F295" s="73"/>
      <c r="G295" s="24"/>
    </row>
    <row r="296" spans="1:7" ht="12.75" x14ac:dyDescent="0.2">
      <c r="A296" s="24"/>
      <c r="B296" s="24"/>
      <c r="D296" s="25"/>
      <c r="E296" s="24"/>
      <c r="F296" s="73"/>
      <c r="G296" s="24"/>
    </row>
    <row r="297" spans="1:7" ht="12.75" x14ac:dyDescent="0.2">
      <c r="A297" s="24"/>
      <c r="B297" s="24"/>
      <c r="D297" s="25"/>
      <c r="E297" s="24"/>
      <c r="F297" s="73"/>
      <c r="G297" s="24"/>
    </row>
    <row r="298" spans="1:7" ht="12.75" x14ac:dyDescent="0.2">
      <c r="A298" s="24"/>
      <c r="B298" s="24"/>
      <c r="D298" s="25"/>
      <c r="E298" s="24"/>
      <c r="F298" s="73"/>
      <c r="G298" s="24"/>
    </row>
    <row r="299" spans="1:7" ht="12.75" x14ac:dyDescent="0.2">
      <c r="A299" s="24"/>
      <c r="B299" s="24"/>
      <c r="D299" s="25"/>
      <c r="E299" s="24"/>
      <c r="F299" s="73"/>
      <c r="G299" s="24"/>
    </row>
    <row r="300" spans="1:7" ht="12.75" x14ac:dyDescent="0.2">
      <c r="A300" s="24"/>
      <c r="B300" s="24"/>
      <c r="D300" s="25"/>
      <c r="E300" s="24"/>
      <c r="F300" s="73"/>
      <c r="G300" s="24"/>
    </row>
    <row r="301" spans="1:7" ht="12.75" x14ac:dyDescent="0.2">
      <c r="A301" s="24"/>
      <c r="B301" s="24"/>
      <c r="D301" s="25"/>
      <c r="E301" s="24"/>
      <c r="F301" s="73"/>
      <c r="G301" s="24"/>
    </row>
    <row r="302" spans="1:7" ht="12.75" x14ac:dyDescent="0.2">
      <c r="A302" s="24"/>
      <c r="B302" s="24"/>
      <c r="D302" s="25"/>
      <c r="E302" s="24"/>
      <c r="F302" s="73"/>
      <c r="G302" s="24"/>
    </row>
    <row r="303" spans="1:7" ht="12.75" x14ac:dyDescent="0.2">
      <c r="A303" s="24"/>
      <c r="B303" s="24"/>
      <c r="D303" s="25"/>
      <c r="E303" s="24"/>
      <c r="F303" s="73"/>
      <c r="G303" s="24"/>
    </row>
    <row r="304" spans="1:7" ht="12.75" x14ac:dyDescent="0.2">
      <c r="A304" s="24"/>
      <c r="B304" s="24"/>
      <c r="D304" s="25"/>
      <c r="E304" s="24"/>
      <c r="F304" s="73"/>
      <c r="G304" s="24"/>
    </row>
    <row r="305" spans="1:7" ht="12.75" x14ac:dyDescent="0.2">
      <c r="A305" s="24"/>
      <c r="B305" s="24"/>
      <c r="D305" s="25"/>
      <c r="E305" s="24"/>
      <c r="F305" s="73"/>
      <c r="G305" s="24"/>
    </row>
    <row r="306" spans="1:7" ht="12.75" x14ac:dyDescent="0.2">
      <c r="A306" s="24"/>
      <c r="B306" s="24"/>
      <c r="D306" s="25"/>
      <c r="E306" s="24"/>
      <c r="F306" s="73"/>
      <c r="G306" s="24"/>
    </row>
    <row r="307" spans="1:7" ht="12.75" x14ac:dyDescent="0.2">
      <c r="A307" s="24"/>
      <c r="B307" s="24"/>
      <c r="D307" s="25"/>
      <c r="E307" s="24"/>
      <c r="F307" s="73"/>
      <c r="G307" s="24"/>
    </row>
    <row r="308" spans="1:7" ht="12.75" x14ac:dyDescent="0.2">
      <c r="A308" s="24"/>
      <c r="B308" s="24"/>
      <c r="D308" s="25"/>
      <c r="E308" s="24"/>
      <c r="F308" s="73"/>
      <c r="G308" s="24"/>
    </row>
    <row r="309" spans="1:7" ht="12.75" x14ac:dyDescent="0.2">
      <c r="A309" s="24"/>
      <c r="B309" s="24"/>
      <c r="D309" s="25"/>
      <c r="E309" s="24"/>
      <c r="F309" s="73"/>
      <c r="G309" s="24"/>
    </row>
    <row r="310" spans="1:7" ht="12.75" x14ac:dyDescent="0.2">
      <c r="A310" s="24"/>
      <c r="B310" s="24"/>
      <c r="D310" s="25"/>
      <c r="E310" s="24"/>
      <c r="F310" s="73"/>
      <c r="G310" s="24"/>
    </row>
    <row r="311" spans="1:7" ht="12.75" x14ac:dyDescent="0.2">
      <c r="A311" s="24"/>
      <c r="B311" s="24"/>
      <c r="D311" s="25"/>
      <c r="E311" s="24"/>
      <c r="F311" s="73"/>
      <c r="G311" s="24"/>
    </row>
    <row r="312" spans="1:7" ht="12.75" x14ac:dyDescent="0.2">
      <c r="A312" s="24"/>
      <c r="B312" s="24"/>
      <c r="D312" s="25"/>
      <c r="E312" s="24"/>
      <c r="F312" s="73"/>
      <c r="G312" s="24"/>
    </row>
    <row r="313" spans="1:7" ht="12.75" x14ac:dyDescent="0.2">
      <c r="A313" s="24"/>
      <c r="B313" s="24"/>
      <c r="D313" s="25"/>
      <c r="E313" s="24"/>
      <c r="F313" s="73"/>
      <c r="G313" s="24"/>
    </row>
    <row r="314" spans="1:7" ht="12.75" x14ac:dyDescent="0.2">
      <c r="A314" s="24"/>
      <c r="B314" s="24"/>
      <c r="D314" s="25"/>
      <c r="E314" s="24"/>
      <c r="F314" s="73"/>
      <c r="G314" s="24"/>
    </row>
    <row r="315" spans="1:7" ht="12.75" x14ac:dyDescent="0.2">
      <c r="A315" s="24"/>
      <c r="B315" s="24"/>
      <c r="D315" s="25"/>
      <c r="E315" s="24"/>
      <c r="F315" s="73"/>
      <c r="G315" s="24"/>
    </row>
    <row r="316" spans="1:7" ht="12.75" x14ac:dyDescent="0.2">
      <c r="A316" s="24"/>
      <c r="B316" s="24"/>
      <c r="D316" s="25"/>
      <c r="E316" s="24"/>
      <c r="F316" s="73"/>
      <c r="G316" s="24"/>
    </row>
    <row r="317" spans="1:7" ht="12.75" x14ac:dyDescent="0.2">
      <c r="A317" s="24"/>
      <c r="B317" s="24"/>
      <c r="D317" s="25"/>
      <c r="E317" s="24"/>
      <c r="F317" s="73"/>
      <c r="G317" s="24"/>
    </row>
    <row r="318" spans="1:7" ht="12.75" x14ac:dyDescent="0.2">
      <c r="A318" s="24"/>
      <c r="B318" s="24"/>
      <c r="D318" s="25"/>
      <c r="E318" s="24"/>
      <c r="F318" s="73"/>
      <c r="G318" s="24"/>
    </row>
    <row r="319" spans="1:7" ht="12.75" x14ac:dyDescent="0.2">
      <c r="A319" s="24"/>
      <c r="B319" s="24"/>
      <c r="D319" s="25"/>
      <c r="E319" s="24"/>
      <c r="F319" s="73"/>
      <c r="G319" s="24"/>
    </row>
    <row r="320" spans="1:7" ht="12.75" x14ac:dyDescent="0.2">
      <c r="A320" s="24"/>
      <c r="B320" s="24"/>
      <c r="D320" s="25"/>
      <c r="E320" s="24"/>
      <c r="F320" s="73"/>
      <c r="G320" s="24"/>
    </row>
    <row r="321" spans="1:7" ht="12.75" x14ac:dyDescent="0.2">
      <c r="A321" s="24"/>
      <c r="B321" s="24"/>
      <c r="D321" s="25"/>
      <c r="E321" s="24"/>
      <c r="F321" s="73"/>
      <c r="G321" s="24"/>
    </row>
    <row r="322" spans="1:7" ht="12.75" x14ac:dyDescent="0.2">
      <c r="A322" s="24"/>
      <c r="B322" s="24"/>
      <c r="D322" s="25"/>
      <c r="E322" s="24"/>
      <c r="F322" s="73"/>
      <c r="G322" s="24"/>
    </row>
    <row r="323" spans="1:7" ht="12.75" x14ac:dyDescent="0.2">
      <c r="A323" s="24"/>
      <c r="B323" s="24"/>
      <c r="D323" s="25"/>
      <c r="E323" s="24"/>
      <c r="F323" s="73"/>
      <c r="G323" s="24"/>
    </row>
    <row r="324" spans="1:7" ht="12.75" x14ac:dyDescent="0.2">
      <c r="A324" s="24"/>
      <c r="B324" s="24"/>
      <c r="D324" s="25"/>
      <c r="E324" s="24"/>
      <c r="F324" s="73"/>
      <c r="G324" s="24"/>
    </row>
    <row r="325" spans="1:7" ht="12.75" x14ac:dyDescent="0.2">
      <c r="A325" s="24"/>
      <c r="B325" s="24"/>
      <c r="D325" s="25"/>
      <c r="E325" s="24"/>
      <c r="F325" s="73"/>
      <c r="G325" s="24"/>
    </row>
    <row r="326" spans="1:7" ht="12.75" x14ac:dyDescent="0.2">
      <c r="A326" s="24"/>
      <c r="B326" s="24"/>
      <c r="D326" s="25"/>
      <c r="E326" s="24"/>
      <c r="F326" s="73"/>
      <c r="G326" s="24"/>
    </row>
    <row r="327" spans="1:7" ht="12.75" x14ac:dyDescent="0.2">
      <c r="A327" s="24"/>
      <c r="B327" s="24"/>
      <c r="D327" s="25"/>
      <c r="E327" s="24"/>
      <c r="F327" s="73"/>
      <c r="G327" s="24"/>
    </row>
    <row r="328" spans="1:7" ht="12.75" x14ac:dyDescent="0.2">
      <c r="A328" s="24"/>
      <c r="B328" s="24"/>
      <c r="D328" s="25"/>
      <c r="E328" s="24"/>
      <c r="F328" s="73"/>
      <c r="G328" s="24"/>
    </row>
    <row r="329" spans="1:7" ht="12.75" x14ac:dyDescent="0.2">
      <c r="A329" s="24"/>
      <c r="B329" s="24"/>
      <c r="D329" s="25"/>
      <c r="E329" s="24"/>
      <c r="F329" s="73"/>
      <c r="G329" s="24"/>
    </row>
    <row r="330" spans="1:7" ht="12.75" x14ac:dyDescent="0.2">
      <c r="A330" s="24"/>
      <c r="B330" s="24"/>
      <c r="D330" s="25"/>
      <c r="E330" s="24"/>
      <c r="F330" s="73"/>
      <c r="G330" s="24"/>
    </row>
    <row r="331" spans="1:7" ht="12.75" x14ac:dyDescent="0.2">
      <c r="A331" s="24"/>
      <c r="B331" s="24"/>
      <c r="D331" s="25"/>
      <c r="E331" s="24"/>
      <c r="F331" s="73"/>
      <c r="G331" s="24"/>
    </row>
    <row r="332" spans="1:7" ht="12.75" x14ac:dyDescent="0.2">
      <c r="A332" s="24"/>
      <c r="B332" s="24"/>
      <c r="D332" s="25"/>
      <c r="E332" s="24"/>
      <c r="F332" s="73"/>
      <c r="G332" s="24"/>
    </row>
    <row r="333" spans="1:7" ht="12.75" x14ac:dyDescent="0.2">
      <c r="A333" s="24"/>
      <c r="B333" s="24"/>
      <c r="D333" s="25"/>
      <c r="E333" s="24"/>
      <c r="F333" s="73"/>
      <c r="G333" s="24"/>
    </row>
    <row r="334" spans="1:7" ht="12.75" x14ac:dyDescent="0.2">
      <c r="A334" s="24"/>
      <c r="B334" s="24"/>
      <c r="D334" s="25"/>
      <c r="E334" s="24"/>
      <c r="F334" s="73"/>
      <c r="G334" s="24"/>
    </row>
    <row r="335" spans="1:7" ht="12.75" x14ac:dyDescent="0.2">
      <c r="A335" s="24"/>
      <c r="B335" s="24"/>
      <c r="D335" s="25"/>
      <c r="E335" s="24"/>
      <c r="F335" s="73"/>
      <c r="G335" s="24"/>
    </row>
    <row r="336" spans="1:7" ht="12.75" x14ac:dyDescent="0.2">
      <c r="A336" s="24"/>
      <c r="B336" s="24"/>
      <c r="D336" s="25"/>
      <c r="E336" s="24"/>
      <c r="F336" s="73"/>
      <c r="G336" s="24"/>
    </row>
    <row r="337" spans="1:7" ht="12.75" x14ac:dyDescent="0.2">
      <c r="A337" s="24"/>
      <c r="B337" s="24"/>
      <c r="D337" s="25"/>
      <c r="E337" s="24"/>
      <c r="F337" s="73"/>
      <c r="G337" s="24"/>
    </row>
    <row r="338" spans="1:7" ht="12.75" x14ac:dyDescent="0.2">
      <c r="A338" s="24"/>
      <c r="B338" s="24"/>
      <c r="D338" s="25"/>
      <c r="E338" s="24"/>
      <c r="F338" s="73"/>
      <c r="G338" s="24"/>
    </row>
    <row r="339" spans="1:7" ht="12.75" x14ac:dyDescent="0.2">
      <c r="A339" s="24"/>
      <c r="B339" s="24"/>
      <c r="D339" s="25"/>
      <c r="E339" s="24"/>
      <c r="F339" s="73"/>
      <c r="G339" s="24"/>
    </row>
    <row r="340" spans="1:7" ht="12.75" x14ac:dyDescent="0.2">
      <c r="A340" s="24"/>
      <c r="B340" s="24"/>
      <c r="D340" s="25"/>
      <c r="E340" s="24"/>
      <c r="F340" s="73"/>
      <c r="G340" s="24"/>
    </row>
    <row r="341" spans="1:7" ht="12.75" x14ac:dyDescent="0.2">
      <c r="A341" s="24"/>
      <c r="B341" s="24"/>
      <c r="D341" s="25"/>
      <c r="E341" s="24"/>
      <c r="F341" s="73"/>
      <c r="G341" s="24"/>
    </row>
    <row r="342" spans="1:7" ht="12.75" x14ac:dyDescent="0.2">
      <c r="A342" s="24"/>
      <c r="B342" s="24"/>
      <c r="D342" s="25"/>
      <c r="E342" s="24"/>
      <c r="F342" s="73"/>
      <c r="G342" s="24"/>
    </row>
    <row r="343" spans="1:7" ht="12.75" x14ac:dyDescent="0.2">
      <c r="A343" s="24"/>
      <c r="B343" s="24"/>
      <c r="D343" s="25"/>
      <c r="E343" s="24"/>
      <c r="F343" s="73"/>
      <c r="G343" s="24"/>
    </row>
    <row r="344" spans="1:7" ht="12.75" x14ac:dyDescent="0.2">
      <c r="A344" s="24"/>
      <c r="B344" s="24"/>
      <c r="D344" s="25"/>
      <c r="E344" s="24"/>
      <c r="F344" s="73"/>
      <c r="G344" s="24"/>
    </row>
    <row r="345" spans="1:7" ht="12.75" x14ac:dyDescent="0.2">
      <c r="A345" s="24"/>
      <c r="B345" s="24"/>
      <c r="D345" s="25"/>
      <c r="E345" s="24"/>
      <c r="F345" s="73"/>
      <c r="G345" s="24"/>
    </row>
    <row r="346" spans="1:7" ht="12.75" x14ac:dyDescent="0.2">
      <c r="A346" s="24"/>
      <c r="B346" s="24"/>
      <c r="D346" s="25"/>
      <c r="E346" s="24"/>
      <c r="F346" s="73"/>
      <c r="G346" s="24"/>
    </row>
    <row r="347" spans="1:7" ht="12.75" x14ac:dyDescent="0.2">
      <c r="A347" s="24"/>
      <c r="B347" s="24"/>
      <c r="D347" s="25"/>
      <c r="E347" s="24"/>
      <c r="F347" s="73"/>
      <c r="G347" s="24"/>
    </row>
    <row r="348" spans="1:7" ht="12.75" x14ac:dyDescent="0.2">
      <c r="A348" s="24"/>
      <c r="B348" s="24"/>
      <c r="D348" s="25"/>
      <c r="E348" s="24"/>
      <c r="F348" s="73"/>
      <c r="G348" s="24"/>
    </row>
    <row r="349" spans="1:7" ht="12.75" x14ac:dyDescent="0.2">
      <c r="A349" s="24"/>
      <c r="B349" s="24"/>
      <c r="D349" s="25"/>
      <c r="E349" s="24"/>
      <c r="F349" s="73"/>
      <c r="G349" s="24"/>
    </row>
    <row r="350" spans="1:7" ht="12.75" x14ac:dyDescent="0.2">
      <c r="A350" s="24"/>
      <c r="B350" s="24"/>
      <c r="D350" s="25"/>
      <c r="E350" s="24"/>
      <c r="F350" s="73"/>
      <c r="G350" s="24"/>
    </row>
    <row r="351" spans="1:7" ht="12.75" x14ac:dyDescent="0.2">
      <c r="A351" s="24"/>
      <c r="B351" s="24"/>
      <c r="D351" s="25"/>
      <c r="E351" s="24"/>
      <c r="F351" s="73"/>
      <c r="G351" s="24"/>
    </row>
    <row r="352" spans="1:7" ht="12.75" x14ac:dyDescent="0.2">
      <c r="A352" s="24"/>
      <c r="B352" s="24"/>
      <c r="D352" s="25"/>
      <c r="E352" s="24"/>
      <c r="F352" s="73"/>
      <c r="G352" s="24"/>
    </row>
    <row r="353" spans="1:7" ht="12.75" x14ac:dyDescent="0.2">
      <c r="A353" s="24"/>
      <c r="B353" s="24"/>
      <c r="D353" s="25"/>
      <c r="E353" s="24"/>
      <c r="F353" s="73"/>
      <c r="G353" s="24"/>
    </row>
    <row r="354" spans="1:7" ht="12.75" x14ac:dyDescent="0.2">
      <c r="A354" s="24"/>
      <c r="B354" s="24"/>
      <c r="D354" s="25"/>
      <c r="E354" s="24"/>
      <c r="F354" s="73"/>
      <c r="G354" s="24"/>
    </row>
    <row r="355" spans="1:7" ht="12.75" x14ac:dyDescent="0.2">
      <c r="A355" s="24"/>
      <c r="B355" s="24"/>
      <c r="D355" s="25"/>
      <c r="E355" s="24"/>
      <c r="F355" s="73"/>
      <c r="G355" s="24"/>
    </row>
    <row r="356" spans="1:7" ht="12.75" x14ac:dyDescent="0.2">
      <c r="A356" s="24"/>
      <c r="B356" s="24"/>
      <c r="D356" s="25"/>
      <c r="E356" s="24"/>
      <c r="F356" s="73"/>
      <c r="G356" s="24"/>
    </row>
    <row r="357" spans="1:7" ht="12.75" x14ac:dyDescent="0.2">
      <c r="A357" s="24"/>
      <c r="B357" s="24"/>
      <c r="D357" s="25"/>
      <c r="E357" s="24"/>
      <c r="F357" s="73"/>
      <c r="G357" s="24"/>
    </row>
    <row r="358" spans="1:7" ht="12.75" x14ac:dyDescent="0.2">
      <c r="A358" s="24"/>
      <c r="B358" s="24"/>
      <c r="D358" s="25"/>
      <c r="E358" s="24"/>
      <c r="F358" s="73"/>
      <c r="G358" s="24"/>
    </row>
    <row r="359" spans="1:7" ht="12.75" x14ac:dyDescent="0.2">
      <c r="A359" s="24"/>
      <c r="B359" s="24"/>
      <c r="D359" s="25"/>
      <c r="E359" s="24"/>
      <c r="F359" s="73"/>
      <c r="G359" s="24"/>
    </row>
    <row r="360" spans="1:7" ht="12.75" x14ac:dyDescent="0.2">
      <c r="A360" s="24"/>
      <c r="B360" s="24"/>
      <c r="D360" s="25"/>
      <c r="E360" s="24"/>
      <c r="F360" s="73"/>
      <c r="G360" s="24"/>
    </row>
    <row r="361" spans="1:7" ht="12.75" x14ac:dyDescent="0.2">
      <c r="A361" s="24"/>
      <c r="B361" s="24"/>
      <c r="D361" s="25"/>
      <c r="E361" s="24"/>
      <c r="F361" s="73"/>
      <c r="G361" s="24"/>
    </row>
    <row r="362" spans="1:7" ht="12.75" x14ac:dyDescent="0.2">
      <c r="A362" s="24"/>
      <c r="B362" s="24"/>
      <c r="D362" s="25"/>
      <c r="E362" s="24"/>
      <c r="F362" s="73"/>
      <c r="G362" s="24"/>
    </row>
    <row r="363" spans="1:7" ht="12.75" x14ac:dyDescent="0.2">
      <c r="A363" s="24"/>
      <c r="B363" s="24"/>
      <c r="D363" s="25"/>
      <c r="E363" s="24"/>
      <c r="F363" s="73"/>
      <c r="G363" s="24"/>
    </row>
    <row r="364" spans="1:7" ht="12.75" x14ac:dyDescent="0.2">
      <c r="A364" s="24"/>
      <c r="B364" s="24"/>
      <c r="D364" s="25"/>
      <c r="E364" s="24"/>
      <c r="F364" s="73"/>
      <c r="G364" s="24"/>
    </row>
    <row r="365" spans="1:7" ht="12.75" x14ac:dyDescent="0.2">
      <c r="A365" s="24"/>
      <c r="B365" s="24"/>
      <c r="D365" s="25"/>
      <c r="E365" s="24"/>
      <c r="F365" s="73"/>
      <c r="G365" s="24"/>
    </row>
    <row r="366" spans="1:7" ht="12.75" x14ac:dyDescent="0.2">
      <c r="A366" s="24"/>
      <c r="B366" s="24"/>
      <c r="D366" s="25"/>
      <c r="E366" s="24"/>
      <c r="F366" s="73"/>
      <c r="G366" s="24"/>
    </row>
    <row r="367" spans="1:7" ht="12.75" x14ac:dyDescent="0.2">
      <c r="A367" s="24"/>
      <c r="B367" s="24"/>
      <c r="D367" s="25"/>
      <c r="E367" s="24"/>
      <c r="F367" s="73"/>
      <c r="G367" s="24"/>
    </row>
    <row r="368" spans="1:7" ht="12.75" x14ac:dyDescent="0.2">
      <c r="A368" s="24"/>
      <c r="B368" s="24"/>
      <c r="D368" s="25"/>
      <c r="E368" s="24"/>
      <c r="F368" s="73"/>
      <c r="G368" s="24"/>
    </row>
    <row r="369" spans="1:7" ht="12.75" x14ac:dyDescent="0.2">
      <c r="A369" s="24"/>
      <c r="B369" s="24"/>
      <c r="D369" s="25"/>
      <c r="E369" s="24"/>
      <c r="F369" s="73"/>
      <c r="G369" s="24"/>
    </row>
    <row r="370" spans="1:7" ht="12.75" x14ac:dyDescent="0.2">
      <c r="A370" s="24"/>
      <c r="B370" s="24"/>
      <c r="D370" s="25"/>
      <c r="E370" s="24"/>
      <c r="F370" s="73"/>
      <c r="G370" s="24"/>
    </row>
    <row r="371" spans="1:7" ht="12.75" x14ac:dyDescent="0.2">
      <c r="A371" s="24"/>
      <c r="B371" s="24"/>
      <c r="D371" s="25"/>
      <c r="E371" s="24"/>
      <c r="F371" s="73"/>
      <c r="G371" s="24"/>
    </row>
    <row r="372" spans="1:7" ht="12.75" x14ac:dyDescent="0.2">
      <c r="A372" s="24"/>
      <c r="B372" s="24"/>
      <c r="D372" s="25"/>
      <c r="E372" s="24"/>
      <c r="F372" s="73"/>
      <c r="G372" s="24"/>
    </row>
    <row r="373" spans="1:7" ht="12.75" x14ac:dyDescent="0.2">
      <c r="A373" s="24"/>
      <c r="B373" s="24"/>
      <c r="D373" s="25"/>
      <c r="E373" s="24"/>
      <c r="F373" s="73"/>
      <c r="G373" s="24"/>
    </row>
    <row r="374" spans="1:7" ht="12.75" x14ac:dyDescent="0.2">
      <c r="A374" s="24"/>
      <c r="B374" s="24"/>
      <c r="D374" s="25"/>
      <c r="E374" s="24"/>
      <c r="F374" s="73"/>
      <c r="G374" s="24"/>
    </row>
    <row r="375" spans="1:7" ht="12.75" x14ac:dyDescent="0.2">
      <c r="A375" s="24"/>
      <c r="B375" s="24"/>
      <c r="D375" s="25"/>
      <c r="E375" s="24"/>
      <c r="F375" s="73"/>
      <c r="G375" s="24"/>
    </row>
    <row r="376" spans="1:7" ht="12.75" x14ac:dyDescent="0.2">
      <c r="A376" s="24"/>
      <c r="B376" s="24"/>
      <c r="D376" s="25"/>
      <c r="E376" s="24"/>
      <c r="F376" s="73"/>
      <c r="G376" s="24"/>
    </row>
    <row r="377" spans="1:7" ht="12.75" x14ac:dyDescent="0.2">
      <c r="A377" s="24"/>
      <c r="B377" s="24"/>
      <c r="D377" s="25"/>
      <c r="E377" s="24"/>
      <c r="F377" s="73"/>
      <c r="G377" s="24"/>
    </row>
    <row r="378" spans="1:7" ht="12.75" x14ac:dyDescent="0.2">
      <c r="A378" s="24"/>
      <c r="B378" s="24"/>
      <c r="D378" s="25"/>
      <c r="E378" s="24"/>
      <c r="F378" s="73"/>
      <c r="G378" s="24"/>
    </row>
    <row r="379" spans="1:7" ht="12.75" x14ac:dyDescent="0.2">
      <c r="A379" s="24"/>
      <c r="B379" s="24"/>
      <c r="D379" s="25"/>
      <c r="E379" s="24"/>
      <c r="F379" s="73"/>
      <c r="G379" s="24"/>
    </row>
    <row r="380" spans="1:7" ht="12.75" x14ac:dyDescent="0.2">
      <c r="A380" s="24"/>
      <c r="B380" s="24"/>
      <c r="D380" s="25"/>
      <c r="E380" s="24"/>
      <c r="F380" s="73"/>
      <c r="G380" s="24"/>
    </row>
    <row r="381" spans="1:7" ht="12.75" x14ac:dyDescent="0.2">
      <c r="A381" s="24"/>
      <c r="B381" s="24"/>
      <c r="D381" s="25"/>
      <c r="E381" s="24"/>
      <c r="F381" s="73"/>
      <c r="G381" s="24"/>
    </row>
    <row r="382" spans="1:7" ht="12.75" x14ac:dyDescent="0.2">
      <c r="A382" s="24"/>
      <c r="B382" s="24"/>
      <c r="D382" s="25"/>
      <c r="E382" s="24"/>
      <c r="F382" s="73"/>
      <c r="G382" s="24"/>
    </row>
    <row r="383" spans="1:7" ht="12.75" x14ac:dyDescent="0.2">
      <c r="A383" s="24"/>
      <c r="B383" s="24"/>
      <c r="D383" s="25"/>
      <c r="E383" s="24"/>
      <c r="F383" s="73"/>
      <c r="G383" s="24"/>
    </row>
    <row r="384" spans="1:7" ht="12.75" x14ac:dyDescent="0.2">
      <c r="A384" s="24"/>
      <c r="B384" s="24"/>
      <c r="D384" s="25"/>
      <c r="E384" s="24"/>
      <c r="F384" s="73"/>
      <c r="G384" s="24"/>
    </row>
    <row r="385" spans="1:7" ht="12.75" x14ac:dyDescent="0.2">
      <c r="A385" s="24"/>
      <c r="B385" s="24"/>
      <c r="D385" s="25"/>
      <c r="E385" s="24"/>
      <c r="F385" s="73"/>
      <c r="G385" s="24"/>
    </row>
    <row r="386" spans="1:7" ht="12.75" x14ac:dyDescent="0.2">
      <c r="A386" s="24"/>
      <c r="B386" s="24"/>
      <c r="D386" s="25"/>
      <c r="E386" s="24"/>
      <c r="F386" s="73"/>
      <c r="G386" s="24"/>
    </row>
    <row r="387" spans="1:7" ht="12.75" x14ac:dyDescent="0.2">
      <c r="A387" s="24"/>
      <c r="B387" s="24"/>
      <c r="D387" s="25"/>
      <c r="E387" s="24"/>
      <c r="F387" s="73"/>
      <c r="G387" s="24"/>
    </row>
    <row r="388" spans="1:7" ht="12.75" x14ac:dyDescent="0.2">
      <c r="A388" s="24"/>
      <c r="B388" s="24"/>
      <c r="D388" s="25"/>
      <c r="E388" s="24"/>
      <c r="F388" s="73"/>
      <c r="G388" s="24"/>
    </row>
    <row r="389" spans="1:7" ht="12.75" x14ac:dyDescent="0.2">
      <c r="A389" s="24"/>
      <c r="B389" s="24"/>
      <c r="D389" s="25"/>
      <c r="E389" s="24"/>
      <c r="F389" s="73"/>
      <c r="G389" s="24"/>
    </row>
    <row r="390" spans="1:7" ht="12.75" x14ac:dyDescent="0.2">
      <c r="A390" s="24"/>
      <c r="B390" s="24"/>
      <c r="D390" s="25"/>
      <c r="E390" s="24"/>
      <c r="F390" s="73"/>
      <c r="G390" s="24"/>
    </row>
    <row r="391" spans="1:7" ht="12.75" x14ac:dyDescent="0.2">
      <c r="A391" s="24"/>
      <c r="B391" s="24"/>
      <c r="D391" s="25"/>
      <c r="E391" s="24"/>
      <c r="F391" s="73"/>
      <c r="G391" s="24"/>
    </row>
    <row r="392" spans="1:7" ht="12.75" x14ac:dyDescent="0.2">
      <c r="A392" s="24"/>
      <c r="B392" s="24"/>
      <c r="D392" s="25"/>
      <c r="E392" s="24"/>
      <c r="F392" s="73"/>
      <c r="G392" s="24"/>
    </row>
    <row r="393" spans="1:7" ht="12.75" x14ac:dyDescent="0.2">
      <c r="A393" s="24"/>
      <c r="B393" s="24"/>
      <c r="D393" s="25"/>
      <c r="E393" s="24"/>
      <c r="F393" s="73"/>
      <c r="G393" s="24"/>
    </row>
    <row r="394" spans="1:7" ht="12.75" x14ac:dyDescent="0.2">
      <c r="A394" s="24"/>
      <c r="B394" s="24"/>
      <c r="D394" s="25"/>
      <c r="E394" s="24"/>
      <c r="F394" s="73"/>
      <c r="G394" s="24"/>
    </row>
    <row r="395" spans="1:7" ht="12.75" x14ac:dyDescent="0.2">
      <c r="A395" s="24"/>
      <c r="B395" s="24"/>
      <c r="D395" s="25"/>
      <c r="E395" s="24"/>
      <c r="F395" s="73"/>
      <c r="G395" s="24"/>
    </row>
    <row r="396" spans="1:7" ht="12.75" x14ac:dyDescent="0.2">
      <c r="A396" s="24"/>
      <c r="B396" s="24"/>
      <c r="D396" s="25"/>
      <c r="E396" s="24"/>
      <c r="F396" s="73"/>
      <c r="G396" s="24"/>
    </row>
    <row r="397" spans="1:7" ht="12.75" x14ac:dyDescent="0.2">
      <c r="A397" s="24"/>
      <c r="B397" s="24"/>
      <c r="D397" s="25"/>
      <c r="E397" s="24"/>
      <c r="F397" s="73"/>
      <c r="G397" s="24"/>
    </row>
    <row r="398" spans="1:7" ht="12.75" x14ac:dyDescent="0.2">
      <c r="A398" s="24"/>
      <c r="B398" s="24"/>
      <c r="D398" s="25"/>
      <c r="E398" s="24"/>
      <c r="F398" s="73"/>
      <c r="G398" s="24"/>
    </row>
    <row r="399" spans="1:7" ht="12.75" x14ac:dyDescent="0.2">
      <c r="A399" s="24"/>
      <c r="B399" s="24"/>
      <c r="D399" s="25"/>
      <c r="E399" s="24"/>
      <c r="F399" s="73"/>
      <c r="G399" s="24"/>
    </row>
    <row r="400" spans="1:7" ht="12.75" x14ac:dyDescent="0.2">
      <c r="A400" s="24"/>
      <c r="B400" s="24"/>
      <c r="D400" s="25"/>
      <c r="E400" s="24"/>
      <c r="F400" s="73"/>
      <c r="G400" s="24"/>
    </row>
    <row r="401" spans="1:7" ht="12.75" x14ac:dyDescent="0.2">
      <c r="A401" s="24"/>
      <c r="B401" s="24"/>
      <c r="D401" s="25"/>
      <c r="E401" s="24"/>
      <c r="F401" s="73"/>
      <c r="G401" s="24"/>
    </row>
    <row r="402" spans="1:7" ht="12.75" x14ac:dyDescent="0.2">
      <c r="A402" s="24"/>
      <c r="B402" s="24"/>
      <c r="D402" s="25"/>
      <c r="E402" s="24"/>
      <c r="F402" s="73"/>
      <c r="G402" s="24"/>
    </row>
    <row r="403" spans="1:7" ht="12.75" x14ac:dyDescent="0.2">
      <c r="A403" s="24"/>
      <c r="B403" s="24"/>
      <c r="D403" s="25"/>
      <c r="E403" s="24"/>
      <c r="F403" s="73"/>
      <c r="G403" s="24"/>
    </row>
    <row r="404" spans="1:7" ht="12.75" x14ac:dyDescent="0.2">
      <c r="A404" s="24"/>
      <c r="B404" s="24"/>
      <c r="D404" s="25"/>
      <c r="E404" s="24"/>
      <c r="F404" s="73"/>
      <c r="G404" s="24"/>
    </row>
    <row r="405" spans="1:7" ht="12.75" x14ac:dyDescent="0.2">
      <c r="A405" s="24"/>
      <c r="B405" s="24"/>
      <c r="D405" s="25"/>
      <c r="E405" s="24"/>
      <c r="F405" s="73"/>
      <c r="G405" s="24"/>
    </row>
    <row r="406" spans="1:7" ht="12.75" x14ac:dyDescent="0.2">
      <c r="A406" s="24"/>
      <c r="B406" s="24"/>
      <c r="D406" s="25"/>
      <c r="E406" s="24"/>
      <c r="F406" s="73"/>
      <c r="G406" s="24"/>
    </row>
    <row r="407" spans="1:7" ht="12.75" x14ac:dyDescent="0.2">
      <c r="A407" s="24"/>
      <c r="B407" s="24"/>
      <c r="D407" s="25"/>
      <c r="E407" s="24"/>
      <c r="F407" s="73"/>
      <c r="G407" s="24"/>
    </row>
    <row r="408" spans="1:7" ht="12.75" x14ac:dyDescent="0.2">
      <c r="A408" s="24"/>
      <c r="B408" s="24"/>
      <c r="D408" s="25"/>
      <c r="E408" s="24"/>
      <c r="F408" s="73"/>
      <c r="G408" s="24"/>
    </row>
    <row r="409" spans="1:7" ht="12.75" x14ac:dyDescent="0.2">
      <c r="A409" s="24"/>
      <c r="B409" s="24"/>
      <c r="D409" s="25"/>
      <c r="E409" s="24"/>
      <c r="F409" s="73"/>
      <c r="G409" s="24"/>
    </row>
    <row r="410" spans="1:7" ht="12.75" x14ac:dyDescent="0.2">
      <c r="A410" s="24"/>
      <c r="B410" s="24"/>
      <c r="D410" s="25"/>
      <c r="E410" s="24"/>
      <c r="F410" s="73"/>
      <c r="G410" s="24"/>
    </row>
    <row r="411" spans="1:7" ht="12.75" x14ac:dyDescent="0.2">
      <c r="A411" s="24"/>
      <c r="B411" s="24"/>
      <c r="D411" s="25"/>
      <c r="E411" s="24"/>
      <c r="F411" s="73"/>
      <c r="G411" s="24"/>
    </row>
    <row r="412" spans="1:7" ht="12.75" x14ac:dyDescent="0.2">
      <c r="A412" s="24"/>
      <c r="B412" s="24"/>
      <c r="D412" s="25"/>
      <c r="E412" s="24"/>
      <c r="F412" s="73"/>
      <c r="G412" s="24"/>
    </row>
    <row r="413" spans="1:7" ht="12.75" x14ac:dyDescent="0.2">
      <c r="A413" s="24"/>
      <c r="B413" s="24"/>
      <c r="D413" s="25"/>
      <c r="E413" s="24"/>
      <c r="F413" s="73"/>
      <c r="G413" s="24"/>
    </row>
    <row r="414" spans="1:7" ht="12.75" x14ac:dyDescent="0.2">
      <c r="A414" s="24"/>
      <c r="B414" s="24"/>
      <c r="D414" s="25"/>
      <c r="E414" s="24"/>
      <c r="F414" s="73"/>
      <c r="G414" s="24"/>
    </row>
    <row r="415" spans="1:7" ht="12.75" x14ac:dyDescent="0.2">
      <c r="A415" s="24"/>
      <c r="B415" s="24"/>
      <c r="D415" s="25"/>
      <c r="E415" s="24"/>
      <c r="F415" s="73"/>
      <c r="G415" s="24"/>
    </row>
    <row r="416" spans="1:7" ht="12.75" x14ac:dyDescent="0.2">
      <c r="A416" s="24"/>
      <c r="B416" s="24"/>
      <c r="D416" s="25"/>
      <c r="E416" s="24"/>
      <c r="F416" s="73"/>
      <c r="G416" s="24"/>
    </row>
    <row r="417" spans="1:7" ht="12.75" x14ac:dyDescent="0.2">
      <c r="A417" s="24"/>
      <c r="B417" s="24"/>
      <c r="D417" s="25"/>
      <c r="E417" s="24"/>
      <c r="F417" s="73"/>
      <c r="G417" s="24"/>
    </row>
    <row r="418" spans="1:7" ht="12.75" x14ac:dyDescent="0.2">
      <c r="A418" s="24"/>
      <c r="B418" s="24"/>
      <c r="D418" s="25"/>
      <c r="E418" s="24"/>
      <c r="F418" s="73"/>
      <c r="G418" s="24"/>
    </row>
    <row r="419" spans="1:7" ht="12.75" x14ac:dyDescent="0.2">
      <c r="A419" s="24"/>
      <c r="B419" s="24"/>
      <c r="D419" s="25"/>
      <c r="E419" s="24"/>
      <c r="F419" s="73"/>
      <c r="G419" s="24"/>
    </row>
    <row r="420" spans="1:7" ht="12.75" x14ac:dyDescent="0.2">
      <c r="A420" s="24"/>
      <c r="B420" s="24"/>
      <c r="D420" s="25"/>
      <c r="E420" s="24"/>
      <c r="F420" s="73"/>
      <c r="G420" s="24"/>
    </row>
    <row r="421" spans="1:7" ht="12.75" x14ac:dyDescent="0.2">
      <c r="A421" s="24"/>
      <c r="B421" s="24"/>
      <c r="D421" s="25"/>
      <c r="E421" s="24"/>
      <c r="F421" s="73"/>
      <c r="G421" s="24"/>
    </row>
    <row r="422" spans="1:7" ht="12.75" x14ac:dyDescent="0.2">
      <c r="A422" s="24"/>
      <c r="B422" s="24"/>
      <c r="D422" s="25"/>
      <c r="E422" s="24"/>
      <c r="F422" s="73"/>
      <c r="G422" s="24"/>
    </row>
    <row r="423" spans="1:7" ht="12.75" x14ac:dyDescent="0.2">
      <c r="A423" s="24"/>
      <c r="B423" s="24"/>
      <c r="D423" s="25"/>
      <c r="E423" s="24"/>
      <c r="F423" s="73"/>
      <c r="G423" s="24"/>
    </row>
    <row r="424" spans="1:7" ht="12.75" x14ac:dyDescent="0.2">
      <c r="A424" s="24"/>
      <c r="B424" s="24"/>
      <c r="D424" s="25"/>
      <c r="E424" s="24"/>
      <c r="F424" s="73"/>
      <c r="G424" s="24"/>
    </row>
    <row r="425" spans="1:7" ht="12.75" x14ac:dyDescent="0.2">
      <c r="A425" s="24"/>
      <c r="B425" s="24"/>
      <c r="D425" s="25"/>
      <c r="E425" s="24"/>
      <c r="F425" s="73"/>
      <c r="G425" s="24"/>
    </row>
    <row r="426" spans="1:7" ht="12.75" x14ac:dyDescent="0.2">
      <c r="A426" s="24"/>
      <c r="B426" s="24"/>
      <c r="D426" s="25"/>
      <c r="E426" s="24"/>
      <c r="F426" s="73"/>
      <c r="G426" s="24"/>
    </row>
    <row r="427" spans="1:7" ht="12.75" x14ac:dyDescent="0.2">
      <c r="A427" s="24"/>
      <c r="B427" s="24"/>
      <c r="D427" s="25"/>
      <c r="E427" s="24"/>
      <c r="F427" s="73"/>
      <c r="G427" s="24"/>
    </row>
    <row r="428" spans="1:7" ht="12.75" x14ac:dyDescent="0.2">
      <c r="A428" s="24"/>
      <c r="B428" s="24"/>
      <c r="D428" s="25"/>
      <c r="E428" s="24"/>
      <c r="F428" s="73"/>
      <c r="G428" s="24"/>
    </row>
    <row r="429" spans="1:7" ht="12.75" x14ac:dyDescent="0.2">
      <c r="A429" s="24"/>
      <c r="B429" s="24"/>
      <c r="D429" s="25"/>
      <c r="E429" s="24"/>
      <c r="F429" s="73"/>
      <c r="G429" s="24"/>
    </row>
    <row r="430" spans="1:7" ht="12.75" x14ac:dyDescent="0.2">
      <c r="A430" s="24"/>
      <c r="B430" s="24"/>
      <c r="D430" s="25"/>
      <c r="E430" s="24"/>
      <c r="F430" s="73"/>
      <c r="G430" s="24"/>
    </row>
    <row r="431" spans="1:7" ht="12.75" x14ac:dyDescent="0.2">
      <c r="A431" s="24"/>
      <c r="B431" s="24"/>
      <c r="D431" s="25"/>
      <c r="E431" s="24"/>
      <c r="F431" s="73"/>
      <c r="G431" s="24"/>
    </row>
    <row r="432" spans="1:7" ht="12.75" x14ac:dyDescent="0.2">
      <c r="A432" s="24"/>
      <c r="B432" s="24"/>
      <c r="D432" s="25"/>
      <c r="E432" s="24"/>
      <c r="F432" s="73"/>
      <c r="G432" s="24"/>
    </row>
    <row r="433" spans="1:7" ht="12.75" x14ac:dyDescent="0.2">
      <c r="A433" s="24"/>
      <c r="B433" s="24"/>
      <c r="D433" s="25"/>
      <c r="E433" s="24"/>
      <c r="F433" s="73"/>
      <c r="G433" s="24"/>
    </row>
    <row r="434" spans="1:7" ht="12.75" x14ac:dyDescent="0.2">
      <c r="A434" s="24"/>
      <c r="B434" s="24"/>
      <c r="D434" s="25"/>
      <c r="E434" s="24"/>
      <c r="F434" s="73"/>
      <c r="G434" s="24"/>
    </row>
    <row r="435" spans="1:7" ht="12.75" x14ac:dyDescent="0.2">
      <c r="A435" s="24"/>
      <c r="B435" s="24"/>
      <c r="D435" s="25"/>
      <c r="E435" s="24"/>
      <c r="F435" s="73"/>
      <c r="G435" s="24"/>
    </row>
    <row r="436" spans="1:7" ht="12.75" x14ac:dyDescent="0.2">
      <c r="A436" s="24"/>
      <c r="B436" s="24"/>
      <c r="D436" s="25"/>
      <c r="E436" s="24"/>
      <c r="F436" s="73"/>
      <c r="G436" s="24"/>
    </row>
    <row r="437" spans="1:7" ht="12.75" x14ac:dyDescent="0.2">
      <c r="A437" s="24"/>
      <c r="B437" s="24"/>
      <c r="D437" s="25"/>
      <c r="E437" s="24"/>
      <c r="F437" s="73"/>
      <c r="G437" s="24"/>
    </row>
    <row r="438" spans="1:7" ht="12.75" x14ac:dyDescent="0.2">
      <c r="A438" s="24"/>
      <c r="B438" s="24"/>
      <c r="D438" s="25"/>
      <c r="E438" s="24"/>
      <c r="F438" s="73"/>
      <c r="G438" s="24"/>
    </row>
    <row r="439" spans="1:7" ht="12.75" x14ac:dyDescent="0.2">
      <c r="A439" s="24"/>
      <c r="B439" s="24"/>
      <c r="D439" s="25"/>
      <c r="E439" s="24"/>
      <c r="F439" s="73"/>
      <c r="G439" s="24"/>
    </row>
    <row r="440" spans="1:7" ht="12.75" x14ac:dyDescent="0.2">
      <c r="A440" s="24"/>
      <c r="B440" s="24"/>
      <c r="D440" s="25"/>
      <c r="E440" s="24"/>
      <c r="F440" s="73"/>
      <c r="G440" s="24"/>
    </row>
    <row r="441" spans="1:7" ht="12.75" x14ac:dyDescent="0.2">
      <c r="A441" s="24"/>
      <c r="B441" s="24"/>
      <c r="D441" s="25"/>
      <c r="E441" s="24"/>
      <c r="F441" s="73"/>
      <c r="G441" s="24"/>
    </row>
    <row r="442" spans="1:7" ht="12.75" x14ac:dyDescent="0.2">
      <c r="A442" s="24"/>
      <c r="B442" s="24"/>
      <c r="D442" s="25"/>
      <c r="E442" s="24"/>
      <c r="F442" s="73"/>
      <c r="G442" s="24"/>
    </row>
    <row r="443" spans="1:7" ht="12.75" x14ac:dyDescent="0.2">
      <c r="A443" s="24"/>
      <c r="B443" s="24"/>
      <c r="D443" s="25"/>
      <c r="E443" s="24"/>
      <c r="F443" s="73"/>
      <c r="G443" s="24"/>
    </row>
    <row r="444" spans="1:7" ht="12.75" x14ac:dyDescent="0.2">
      <c r="A444" s="24"/>
      <c r="B444" s="24"/>
      <c r="D444" s="25"/>
      <c r="E444" s="24"/>
      <c r="F444" s="73"/>
      <c r="G444" s="24"/>
    </row>
    <row r="445" spans="1:7" ht="12.75" x14ac:dyDescent="0.2">
      <c r="A445" s="24"/>
      <c r="B445" s="24"/>
      <c r="D445" s="25"/>
      <c r="E445" s="24"/>
      <c r="F445" s="73"/>
      <c r="G445" s="24"/>
    </row>
    <row r="446" spans="1:7" ht="12.75" x14ac:dyDescent="0.2">
      <c r="A446" s="24"/>
      <c r="B446" s="24"/>
      <c r="D446" s="25"/>
      <c r="E446" s="24"/>
      <c r="F446" s="73"/>
      <c r="G446" s="24"/>
    </row>
    <row r="447" spans="1:7" ht="12.75" x14ac:dyDescent="0.2">
      <c r="A447" s="24"/>
      <c r="B447" s="24"/>
      <c r="D447" s="25"/>
      <c r="E447" s="24"/>
      <c r="F447" s="73"/>
      <c r="G447" s="24"/>
    </row>
    <row r="448" spans="1:7" ht="12.75" x14ac:dyDescent="0.2">
      <c r="A448" s="24"/>
      <c r="B448" s="24"/>
      <c r="D448" s="25"/>
      <c r="E448" s="24"/>
      <c r="F448" s="73"/>
      <c r="G448" s="24"/>
    </row>
    <row r="449" spans="1:7" ht="12.75" x14ac:dyDescent="0.2">
      <c r="A449" s="24"/>
      <c r="B449" s="24"/>
      <c r="D449" s="25"/>
      <c r="E449" s="24"/>
      <c r="F449" s="73"/>
      <c r="G449" s="24"/>
    </row>
    <row r="450" spans="1:7" ht="12.75" x14ac:dyDescent="0.2">
      <c r="A450" s="24"/>
      <c r="B450" s="24"/>
      <c r="D450" s="25"/>
      <c r="E450" s="24"/>
      <c r="F450" s="73"/>
      <c r="G450" s="24"/>
    </row>
    <row r="451" spans="1:7" ht="12.75" x14ac:dyDescent="0.2">
      <c r="A451" s="24"/>
      <c r="B451" s="24"/>
      <c r="D451" s="25"/>
      <c r="E451" s="24"/>
      <c r="F451" s="73"/>
      <c r="G451" s="24"/>
    </row>
    <row r="452" spans="1:7" ht="12.75" x14ac:dyDescent="0.2">
      <c r="A452" s="24"/>
      <c r="B452" s="24"/>
      <c r="D452" s="25"/>
      <c r="E452" s="24"/>
      <c r="F452" s="73"/>
      <c r="G452" s="24"/>
    </row>
    <row r="453" spans="1:7" ht="12.75" x14ac:dyDescent="0.2">
      <c r="A453" s="24"/>
      <c r="B453" s="24"/>
      <c r="D453" s="25"/>
      <c r="E453" s="24"/>
      <c r="F453" s="73"/>
      <c r="G453" s="24"/>
    </row>
    <row r="454" spans="1:7" ht="12.75" x14ac:dyDescent="0.2">
      <c r="A454" s="24"/>
      <c r="B454" s="24"/>
      <c r="D454" s="25"/>
      <c r="E454" s="24"/>
      <c r="F454" s="73"/>
      <c r="G454" s="24"/>
    </row>
    <row r="455" spans="1:7" ht="12.75" x14ac:dyDescent="0.2">
      <c r="A455" s="24"/>
      <c r="B455" s="24"/>
      <c r="D455" s="25"/>
      <c r="E455" s="24"/>
      <c r="F455" s="73"/>
      <c r="G455" s="24"/>
    </row>
    <row r="456" spans="1:7" ht="12.75" x14ac:dyDescent="0.2">
      <c r="A456" s="24"/>
      <c r="B456" s="24"/>
      <c r="D456" s="25"/>
      <c r="E456" s="24"/>
      <c r="F456" s="73"/>
      <c r="G456" s="24"/>
    </row>
    <row r="457" spans="1:7" ht="12.75" x14ac:dyDescent="0.2">
      <c r="A457" s="24"/>
      <c r="B457" s="24"/>
      <c r="D457" s="25"/>
      <c r="E457" s="24"/>
      <c r="F457" s="73"/>
      <c r="G457" s="24"/>
    </row>
    <row r="458" spans="1:7" ht="12.75" x14ac:dyDescent="0.2">
      <c r="A458" s="24"/>
      <c r="B458" s="24"/>
      <c r="D458" s="25"/>
      <c r="E458" s="24"/>
      <c r="F458" s="73"/>
      <c r="G458" s="24"/>
    </row>
    <row r="459" spans="1:7" ht="12.75" x14ac:dyDescent="0.2">
      <c r="A459" s="24"/>
      <c r="B459" s="24"/>
      <c r="D459" s="25"/>
      <c r="E459" s="24"/>
      <c r="F459" s="73"/>
      <c r="G459" s="24"/>
    </row>
    <row r="460" spans="1:7" ht="12.75" x14ac:dyDescent="0.2">
      <c r="A460" s="24"/>
      <c r="B460" s="24"/>
      <c r="D460" s="25"/>
      <c r="E460" s="24"/>
      <c r="F460" s="73"/>
      <c r="G460" s="24"/>
    </row>
    <row r="461" spans="1:7" ht="12.75" x14ac:dyDescent="0.2">
      <c r="A461" s="24"/>
      <c r="B461" s="24"/>
      <c r="D461" s="25"/>
      <c r="E461" s="24"/>
      <c r="F461" s="73"/>
      <c r="G461" s="24"/>
    </row>
    <row r="462" spans="1:7" ht="12.75" x14ac:dyDescent="0.2">
      <c r="A462" s="24"/>
      <c r="B462" s="24"/>
      <c r="D462" s="25"/>
      <c r="E462" s="24"/>
      <c r="F462" s="73"/>
      <c r="G462" s="24"/>
    </row>
    <row r="463" spans="1:7" ht="12.75" x14ac:dyDescent="0.2">
      <c r="A463" s="24"/>
      <c r="B463" s="24"/>
      <c r="D463" s="25"/>
      <c r="E463" s="24"/>
      <c r="F463" s="73"/>
      <c r="G463" s="24"/>
    </row>
    <row r="464" spans="1:7" ht="12.75" x14ac:dyDescent="0.2">
      <c r="A464" s="24"/>
      <c r="B464" s="24"/>
      <c r="D464" s="25"/>
      <c r="E464" s="24"/>
      <c r="F464" s="73"/>
      <c r="G464" s="24"/>
    </row>
    <row r="465" spans="1:7" ht="12.75" x14ac:dyDescent="0.2">
      <c r="A465" s="24"/>
      <c r="B465" s="24"/>
      <c r="D465" s="25"/>
      <c r="E465" s="24"/>
      <c r="F465" s="73"/>
      <c r="G465" s="24"/>
    </row>
    <row r="466" spans="1:7" ht="12.75" x14ac:dyDescent="0.2">
      <c r="A466" s="24"/>
      <c r="B466" s="24"/>
      <c r="D466" s="25"/>
      <c r="E466" s="24"/>
      <c r="F466" s="73"/>
      <c r="G466" s="24"/>
    </row>
    <row r="467" spans="1:7" ht="12.75" x14ac:dyDescent="0.2">
      <c r="A467" s="24"/>
      <c r="B467" s="24"/>
      <c r="D467" s="25"/>
      <c r="E467" s="24"/>
      <c r="F467" s="73"/>
      <c r="G467" s="24"/>
    </row>
    <row r="468" spans="1:7" ht="12.75" x14ac:dyDescent="0.2">
      <c r="A468" s="24"/>
      <c r="B468" s="24"/>
      <c r="D468" s="25"/>
      <c r="E468" s="24"/>
      <c r="F468" s="73"/>
      <c r="G468" s="24"/>
    </row>
    <row r="469" spans="1:7" ht="12.75" x14ac:dyDescent="0.2">
      <c r="A469" s="24"/>
      <c r="B469" s="24"/>
      <c r="D469" s="25"/>
      <c r="E469" s="24"/>
      <c r="F469" s="73"/>
      <c r="G469" s="24"/>
    </row>
    <row r="470" spans="1:7" ht="12.75" x14ac:dyDescent="0.2">
      <c r="A470" s="24"/>
      <c r="B470" s="24"/>
      <c r="D470" s="25"/>
      <c r="E470" s="24"/>
      <c r="F470" s="73"/>
      <c r="G470" s="24"/>
    </row>
    <row r="471" spans="1:7" ht="12.75" x14ac:dyDescent="0.2">
      <c r="A471" s="24"/>
      <c r="B471" s="24"/>
      <c r="D471" s="25"/>
      <c r="E471" s="24"/>
      <c r="F471" s="73"/>
      <c r="G471" s="24"/>
    </row>
    <row r="472" spans="1:7" ht="12.75" x14ac:dyDescent="0.2">
      <c r="A472" s="24"/>
      <c r="B472" s="24"/>
      <c r="D472" s="25"/>
      <c r="E472" s="24"/>
      <c r="F472" s="73"/>
      <c r="G472" s="24"/>
    </row>
    <row r="473" spans="1:7" ht="12.75" x14ac:dyDescent="0.2">
      <c r="A473" s="24"/>
      <c r="B473" s="24"/>
      <c r="D473" s="25"/>
      <c r="E473" s="24"/>
      <c r="F473" s="73"/>
      <c r="G473" s="24"/>
    </row>
    <row r="474" spans="1:7" ht="12.75" x14ac:dyDescent="0.2">
      <c r="A474" s="24"/>
      <c r="B474" s="24"/>
      <c r="D474" s="25"/>
      <c r="E474" s="24"/>
      <c r="F474" s="73"/>
      <c r="G474" s="24"/>
    </row>
    <row r="475" spans="1:7" ht="12.75" x14ac:dyDescent="0.2">
      <c r="A475" s="24"/>
      <c r="B475" s="24"/>
      <c r="D475" s="25"/>
      <c r="E475" s="24"/>
      <c r="F475" s="73"/>
      <c r="G475" s="24"/>
    </row>
    <row r="476" spans="1:7" ht="12.75" x14ac:dyDescent="0.2">
      <c r="A476" s="24"/>
      <c r="B476" s="24"/>
      <c r="D476" s="25"/>
      <c r="E476" s="24"/>
      <c r="F476" s="73"/>
      <c r="G476" s="24"/>
    </row>
    <row r="477" spans="1:7" ht="12.75" x14ac:dyDescent="0.2">
      <c r="A477" s="24"/>
      <c r="B477" s="24"/>
      <c r="D477" s="25"/>
      <c r="E477" s="24"/>
      <c r="F477" s="73"/>
      <c r="G477" s="24"/>
    </row>
    <row r="478" spans="1:7" ht="12.75" x14ac:dyDescent="0.2">
      <c r="A478" s="24"/>
      <c r="B478" s="24"/>
      <c r="D478" s="25"/>
      <c r="E478" s="24"/>
      <c r="F478" s="73"/>
      <c r="G478" s="24"/>
    </row>
    <row r="479" spans="1:7" ht="12.75" x14ac:dyDescent="0.2">
      <c r="A479" s="24"/>
      <c r="B479" s="24"/>
      <c r="D479" s="25"/>
      <c r="E479" s="24"/>
      <c r="F479" s="73"/>
      <c r="G479" s="24"/>
    </row>
    <row r="480" spans="1:7" ht="12.75" x14ac:dyDescent="0.2">
      <c r="A480" s="24"/>
      <c r="B480" s="24"/>
      <c r="D480" s="25"/>
      <c r="E480" s="24"/>
      <c r="F480" s="73"/>
      <c r="G480" s="24"/>
    </row>
    <row r="481" spans="1:7" ht="12.75" x14ac:dyDescent="0.2">
      <c r="A481" s="24"/>
      <c r="B481" s="24"/>
      <c r="D481" s="25"/>
      <c r="E481" s="24"/>
      <c r="F481" s="73"/>
      <c r="G481" s="24"/>
    </row>
    <row r="482" spans="1:7" ht="12.75" x14ac:dyDescent="0.2">
      <c r="A482" s="24"/>
      <c r="B482" s="24"/>
      <c r="D482" s="25"/>
      <c r="E482" s="24"/>
      <c r="F482" s="73"/>
      <c r="G482" s="24"/>
    </row>
    <row r="483" spans="1:7" ht="12.75" x14ac:dyDescent="0.2">
      <c r="A483" s="24"/>
      <c r="B483" s="24"/>
      <c r="D483" s="25"/>
      <c r="E483" s="24"/>
      <c r="F483" s="73"/>
      <c r="G483" s="24"/>
    </row>
    <row r="484" spans="1:7" ht="12.75" x14ac:dyDescent="0.2">
      <c r="A484" s="24"/>
      <c r="B484" s="24"/>
      <c r="D484" s="25"/>
      <c r="E484" s="24"/>
      <c r="F484" s="73"/>
      <c r="G484" s="24"/>
    </row>
    <row r="485" spans="1:7" ht="12.75" x14ac:dyDescent="0.2">
      <c r="A485" s="24"/>
      <c r="B485" s="24"/>
      <c r="D485" s="25"/>
      <c r="E485" s="24"/>
      <c r="F485" s="73"/>
      <c r="G485" s="24"/>
    </row>
    <row r="486" spans="1:7" ht="12.75" x14ac:dyDescent="0.2">
      <c r="A486" s="24"/>
      <c r="B486" s="24"/>
      <c r="D486" s="25"/>
      <c r="E486" s="24"/>
      <c r="F486" s="73"/>
      <c r="G486" s="24"/>
    </row>
    <row r="487" spans="1:7" ht="12.75" x14ac:dyDescent="0.2">
      <c r="A487" s="24"/>
      <c r="B487" s="24"/>
      <c r="D487" s="25"/>
      <c r="E487" s="24"/>
      <c r="F487" s="73"/>
      <c r="G487" s="24"/>
    </row>
    <row r="488" spans="1:7" ht="12.75" x14ac:dyDescent="0.2">
      <c r="A488" s="24"/>
      <c r="B488" s="24"/>
      <c r="D488" s="25"/>
      <c r="E488" s="24"/>
      <c r="F488" s="73"/>
      <c r="G488" s="24"/>
    </row>
    <row r="489" spans="1:7" ht="12.75" x14ac:dyDescent="0.2">
      <c r="A489" s="24"/>
      <c r="B489" s="24"/>
      <c r="D489" s="25"/>
      <c r="E489" s="24"/>
      <c r="F489" s="73"/>
      <c r="G489" s="24"/>
    </row>
    <row r="490" spans="1:7" ht="12.75" x14ac:dyDescent="0.2">
      <c r="A490" s="24"/>
      <c r="B490" s="24"/>
      <c r="D490" s="25"/>
      <c r="E490" s="24"/>
      <c r="F490" s="73"/>
      <c r="G490" s="24"/>
    </row>
    <row r="491" spans="1:7" ht="12.75" x14ac:dyDescent="0.2">
      <c r="A491" s="24"/>
      <c r="B491" s="24"/>
      <c r="D491" s="25"/>
      <c r="E491" s="24"/>
      <c r="F491" s="73"/>
      <c r="G491" s="24"/>
    </row>
    <row r="492" spans="1:7" ht="12.75" x14ac:dyDescent="0.2">
      <c r="A492" s="24"/>
      <c r="B492" s="24"/>
      <c r="D492" s="25"/>
      <c r="E492" s="24"/>
      <c r="F492" s="73"/>
      <c r="G492" s="24"/>
    </row>
    <row r="493" spans="1:7" ht="12.75" x14ac:dyDescent="0.2">
      <c r="A493" s="24"/>
      <c r="B493" s="24"/>
      <c r="D493" s="25"/>
      <c r="E493" s="24"/>
      <c r="F493" s="73"/>
      <c r="G493" s="24"/>
    </row>
    <row r="494" spans="1:7" ht="12.75" x14ac:dyDescent="0.2">
      <c r="A494" s="24"/>
      <c r="B494" s="24"/>
      <c r="D494" s="25"/>
      <c r="E494" s="24"/>
      <c r="F494" s="73"/>
      <c r="G494" s="24"/>
    </row>
    <row r="495" spans="1:7" ht="12.75" x14ac:dyDescent="0.2">
      <c r="A495" s="24"/>
      <c r="B495" s="24"/>
      <c r="D495" s="25"/>
      <c r="E495" s="24"/>
      <c r="F495" s="73"/>
      <c r="G495" s="24"/>
    </row>
    <row r="496" spans="1:7" ht="12.75" x14ac:dyDescent="0.2">
      <c r="A496" s="24"/>
      <c r="B496" s="24"/>
      <c r="D496" s="25"/>
      <c r="E496" s="24"/>
      <c r="F496" s="73"/>
      <c r="G496" s="24"/>
    </row>
    <row r="497" spans="1:7" ht="12.75" x14ac:dyDescent="0.2">
      <c r="A497" s="24"/>
      <c r="B497" s="24"/>
      <c r="D497" s="25"/>
      <c r="E497" s="24"/>
      <c r="F497" s="73"/>
      <c r="G497" s="24"/>
    </row>
    <row r="498" spans="1:7" ht="12.75" x14ac:dyDescent="0.2">
      <c r="A498" s="24"/>
      <c r="B498" s="24"/>
      <c r="D498" s="25"/>
      <c r="E498" s="24"/>
      <c r="F498" s="73"/>
      <c r="G498" s="24"/>
    </row>
    <row r="499" spans="1:7" ht="12.75" x14ac:dyDescent="0.2">
      <c r="A499" s="24"/>
      <c r="B499" s="24"/>
      <c r="D499" s="25"/>
      <c r="E499" s="24"/>
      <c r="F499" s="73"/>
      <c r="G499" s="24"/>
    </row>
    <row r="500" spans="1:7" ht="12.75" x14ac:dyDescent="0.2">
      <c r="A500" s="24"/>
      <c r="B500" s="24"/>
      <c r="D500" s="25"/>
      <c r="E500" s="24"/>
      <c r="F500" s="73"/>
      <c r="G500" s="24"/>
    </row>
    <row r="501" spans="1:7" ht="12.75" x14ac:dyDescent="0.2">
      <c r="A501" s="24"/>
      <c r="B501" s="24"/>
      <c r="D501" s="25"/>
      <c r="E501" s="24"/>
      <c r="F501" s="73"/>
      <c r="G501" s="24"/>
    </row>
    <row r="502" spans="1:7" ht="12.75" x14ac:dyDescent="0.2">
      <c r="A502" s="24"/>
      <c r="B502" s="24"/>
      <c r="D502" s="25"/>
      <c r="E502" s="24"/>
      <c r="F502" s="73"/>
      <c r="G502" s="24"/>
    </row>
    <row r="503" spans="1:7" ht="12.75" x14ac:dyDescent="0.2">
      <c r="A503" s="24"/>
      <c r="B503" s="24"/>
      <c r="D503" s="25"/>
      <c r="E503" s="24"/>
      <c r="F503" s="73"/>
      <c r="G503" s="24"/>
    </row>
    <row r="504" spans="1:7" ht="12.75" x14ac:dyDescent="0.2">
      <c r="A504" s="24"/>
      <c r="B504" s="24"/>
      <c r="D504" s="25"/>
      <c r="E504" s="24"/>
      <c r="F504" s="73"/>
      <c r="G504" s="24"/>
    </row>
    <row r="505" spans="1:7" ht="12.75" x14ac:dyDescent="0.2">
      <c r="A505" s="24"/>
      <c r="B505" s="24"/>
      <c r="D505" s="25"/>
      <c r="E505" s="24"/>
      <c r="F505" s="73"/>
      <c r="G505" s="24"/>
    </row>
    <row r="506" spans="1:7" ht="12.75" x14ac:dyDescent="0.2">
      <c r="A506" s="24"/>
      <c r="B506" s="24"/>
      <c r="D506" s="25"/>
      <c r="E506" s="24"/>
      <c r="F506" s="73"/>
      <c r="G506" s="24"/>
    </row>
    <row r="507" spans="1:7" ht="12.75" x14ac:dyDescent="0.2">
      <c r="A507" s="24"/>
      <c r="B507" s="24"/>
      <c r="D507" s="25"/>
      <c r="E507" s="24"/>
      <c r="F507" s="73"/>
      <c r="G507" s="24"/>
    </row>
    <row r="508" spans="1:7" ht="12.75" x14ac:dyDescent="0.2">
      <c r="A508" s="24"/>
      <c r="B508" s="24"/>
      <c r="D508" s="25"/>
      <c r="E508" s="24"/>
      <c r="F508" s="73"/>
      <c r="G508" s="24"/>
    </row>
    <row r="509" spans="1:7" ht="12.75" x14ac:dyDescent="0.2">
      <c r="A509" s="24"/>
      <c r="B509" s="24"/>
      <c r="D509" s="25"/>
      <c r="E509" s="24"/>
      <c r="F509" s="73"/>
      <c r="G509" s="24"/>
    </row>
    <row r="510" spans="1:7" ht="12.75" x14ac:dyDescent="0.2">
      <c r="A510" s="24"/>
      <c r="B510" s="24"/>
      <c r="D510" s="25"/>
      <c r="E510" s="24"/>
      <c r="F510" s="73"/>
      <c r="G510" s="24"/>
    </row>
    <row r="511" spans="1:7" ht="12.75" x14ac:dyDescent="0.2">
      <c r="A511" s="24"/>
      <c r="B511" s="24"/>
      <c r="D511" s="25"/>
      <c r="E511" s="24"/>
      <c r="F511" s="73"/>
      <c r="G511" s="24"/>
    </row>
    <row r="512" spans="1:7" ht="12.75" x14ac:dyDescent="0.2">
      <c r="A512" s="24"/>
      <c r="B512" s="24"/>
      <c r="D512" s="25"/>
      <c r="E512" s="24"/>
      <c r="F512" s="73"/>
      <c r="G512" s="24"/>
    </row>
    <row r="513" spans="1:7" ht="12.75" x14ac:dyDescent="0.2">
      <c r="A513" s="24"/>
      <c r="B513" s="24"/>
      <c r="D513" s="25"/>
      <c r="E513" s="24"/>
      <c r="F513" s="73"/>
      <c r="G513" s="24"/>
    </row>
    <row r="514" spans="1:7" ht="12.75" x14ac:dyDescent="0.2">
      <c r="A514" s="24"/>
      <c r="B514" s="24"/>
      <c r="D514" s="25"/>
      <c r="E514" s="24"/>
      <c r="F514" s="73"/>
      <c r="G514" s="24"/>
    </row>
    <row r="515" spans="1:7" ht="12.75" x14ac:dyDescent="0.2">
      <c r="A515" s="24"/>
      <c r="B515" s="24"/>
      <c r="D515" s="25"/>
      <c r="E515" s="24"/>
      <c r="F515" s="73"/>
      <c r="G515" s="24"/>
    </row>
    <row r="516" spans="1:7" ht="12.75" x14ac:dyDescent="0.2">
      <c r="A516" s="24"/>
      <c r="B516" s="24"/>
      <c r="D516" s="25"/>
      <c r="E516" s="24"/>
      <c r="F516" s="73"/>
      <c r="G516" s="24"/>
    </row>
    <row r="517" spans="1:7" ht="12.75" x14ac:dyDescent="0.2">
      <c r="A517" s="24"/>
      <c r="B517" s="24"/>
      <c r="D517" s="25"/>
      <c r="E517" s="24"/>
      <c r="F517" s="73"/>
      <c r="G517" s="24"/>
    </row>
    <row r="518" spans="1:7" ht="12.75" x14ac:dyDescent="0.2">
      <c r="A518" s="24"/>
      <c r="B518" s="24"/>
      <c r="D518" s="25"/>
      <c r="E518" s="24"/>
      <c r="F518" s="73"/>
      <c r="G518" s="24"/>
    </row>
    <row r="519" spans="1:7" ht="12.75" x14ac:dyDescent="0.2">
      <c r="A519" s="24"/>
      <c r="B519" s="24"/>
      <c r="D519" s="25"/>
      <c r="E519" s="24"/>
      <c r="F519" s="73"/>
      <c r="G519" s="24"/>
    </row>
    <row r="520" spans="1:7" ht="12.75" x14ac:dyDescent="0.2">
      <c r="A520" s="24"/>
      <c r="B520" s="24"/>
      <c r="D520" s="25"/>
      <c r="E520" s="24"/>
      <c r="F520" s="73"/>
      <c r="G520" s="24"/>
    </row>
    <row r="521" spans="1:7" ht="12.75" x14ac:dyDescent="0.2">
      <c r="A521" s="24"/>
      <c r="B521" s="24"/>
      <c r="D521" s="25"/>
      <c r="E521" s="24"/>
      <c r="F521" s="73"/>
      <c r="G521" s="24"/>
    </row>
    <row r="522" spans="1:7" ht="12.75" x14ac:dyDescent="0.2">
      <c r="A522" s="24"/>
      <c r="B522" s="24"/>
      <c r="D522" s="25"/>
      <c r="E522" s="24"/>
      <c r="F522" s="73"/>
      <c r="G522" s="24"/>
    </row>
    <row r="523" spans="1:7" ht="12.75" x14ac:dyDescent="0.2">
      <c r="A523" s="24"/>
      <c r="B523" s="24"/>
      <c r="D523" s="25"/>
      <c r="E523" s="24"/>
      <c r="F523" s="73"/>
      <c r="G523" s="24"/>
    </row>
    <row r="524" spans="1:7" ht="12.75" x14ac:dyDescent="0.2">
      <c r="A524" s="24"/>
      <c r="B524" s="24"/>
      <c r="D524" s="25"/>
      <c r="E524" s="24"/>
      <c r="F524" s="73"/>
      <c r="G524" s="24"/>
    </row>
    <row r="525" spans="1:7" ht="12.75" x14ac:dyDescent="0.2">
      <c r="A525" s="24"/>
      <c r="B525" s="24"/>
      <c r="D525" s="25"/>
      <c r="E525" s="24"/>
      <c r="F525" s="73"/>
      <c r="G525" s="24"/>
    </row>
    <row r="526" spans="1:7" ht="12.75" x14ac:dyDescent="0.2">
      <c r="A526" s="24"/>
      <c r="B526" s="24"/>
      <c r="D526" s="25"/>
      <c r="E526" s="24"/>
      <c r="F526" s="73"/>
      <c r="G526" s="24"/>
    </row>
    <row r="527" spans="1:7" ht="12.75" x14ac:dyDescent="0.2">
      <c r="A527" s="24"/>
      <c r="B527" s="24"/>
      <c r="D527" s="25"/>
      <c r="E527" s="24"/>
      <c r="F527" s="73"/>
      <c r="G527" s="24"/>
    </row>
    <row r="528" spans="1:7" ht="12.75" x14ac:dyDescent="0.2">
      <c r="A528" s="24"/>
      <c r="B528" s="24"/>
      <c r="D528" s="25"/>
      <c r="E528" s="24"/>
      <c r="F528" s="73"/>
      <c r="G528" s="24"/>
    </row>
    <row r="529" spans="1:7" ht="12.75" x14ac:dyDescent="0.2">
      <c r="A529" s="24"/>
      <c r="B529" s="24"/>
      <c r="D529" s="25"/>
      <c r="E529" s="24"/>
      <c r="F529" s="73"/>
      <c r="G529" s="24"/>
    </row>
    <row r="530" spans="1:7" ht="12.75" x14ac:dyDescent="0.2">
      <c r="A530" s="24"/>
      <c r="B530" s="24"/>
      <c r="D530" s="25"/>
      <c r="E530" s="24"/>
      <c r="F530" s="73"/>
      <c r="G530" s="24"/>
    </row>
    <row r="531" spans="1:7" ht="12.75" x14ac:dyDescent="0.2">
      <c r="A531" s="24"/>
      <c r="B531" s="24"/>
      <c r="D531" s="25"/>
      <c r="E531" s="24"/>
      <c r="F531" s="73"/>
      <c r="G531" s="24"/>
    </row>
    <row r="532" spans="1:7" ht="12.75" x14ac:dyDescent="0.2">
      <c r="A532" s="24"/>
      <c r="B532" s="24"/>
      <c r="D532" s="25"/>
      <c r="E532" s="24"/>
      <c r="F532" s="73"/>
      <c r="G532" s="24"/>
    </row>
    <row r="533" spans="1:7" ht="12.75" x14ac:dyDescent="0.2">
      <c r="A533" s="24"/>
      <c r="B533" s="24"/>
      <c r="D533" s="25"/>
      <c r="E533" s="24"/>
      <c r="F533" s="73"/>
      <c r="G533" s="24"/>
    </row>
    <row r="534" spans="1:7" ht="12.75" x14ac:dyDescent="0.2">
      <c r="A534" s="24"/>
      <c r="B534" s="24"/>
      <c r="D534" s="25"/>
      <c r="E534" s="24"/>
      <c r="F534" s="73"/>
      <c r="G534" s="24"/>
    </row>
    <row r="535" spans="1:7" ht="12.75" x14ac:dyDescent="0.2">
      <c r="A535" s="24"/>
      <c r="B535" s="24"/>
      <c r="D535" s="25"/>
      <c r="E535" s="24"/>
      <c r="F535" s="73"/>
      <c r="G535" s="24"/>
    </row>
    <row r="536" spans="1:7" ht="12.75" x14ac:dyDescent="0.2">
      <c r="A536" s="24"/>
      <c r="B536" s="24"/>
      <c r="D536" s="25"/>
      <c r="E536" s="24"/>
      <c r="F536" s="73"/>
      <c r="G536" s="24"/>
    </row>
    <row r="537" spans="1:7" ht="12.75" x14ac:dyDescent="0.2">
      <c r="A537" s="24"/>
      <c r="B537" s="24"/>
      <c r="D537" s="25"/>
      <c r="E537" s="24"/>
      <c r="F537" s="73"/>
      <c r="G537" s="24"/>
    </row>
    <row r="538" spans="1:7" ht="12.75" x14ac:dyDescent="0.2">
      <c r="A538" s="24"/>
      <c r="B538" s="24"/>
      <c r="D538" s="25"/>
      <c r="E538" s="24"/>
      <c r="F538" s="73"/>
      <c r="G538" s="24"/>
    </row>
    <row r="539" spans="1:7" ht="12.75" x14ac:dyDescent="0.2">
      <c r="A539" s="24"/>
      <c r="B539" s="24"/>
      <c r="D539" s="25"/>
      <c r="E539" s="24"/>
      <c r="F539" s="73"/>
      <c r="G539" s="24"/>
    </row>
    <row r="540" spans="1:7" ht="12.75" x14ac:dyDescent="0.2">
      <c r="A540" s="24"/>
      <c r="B540" s="24"/>
      <c r="D540" s="25"/>
      <c r="E540" s="24"/>
      <c r="F540" s="73"/>
      <c r="G540" s="24"/>
    </row>
    <row r="541" spans="1:7" ht="12.75" x14ac:dyDescent="0.2">
      <c r="A541" s="24"/>
      <c r="B541" s="24"/>
      <c r="D541" s="25"/>
      <c r="E541" s="24"/>
      <c r="F541" s="73"/>
      <c r="G541" s="24"/>
    </row>
    <row r="542" spans="1:7" ht="12.75" x14ac:dyDescent="0.2">
      <c r="A542" s="24"/>
      <c r="B542" s="24"/>
      <c r="D542" s="25"/>
      <c r="E542" s="24"/>
      <c r="F542" s="73"/>
      <c r="G542" s="24"/>
    </row>
    <row r="543" spans="1:7" ht="12.75" x14ac:dyDescent="0.2">
      <c r="A543" s="24"/>
      <c r="B543" s="24"/>
      <c r="D543" s="25"/>
      <c r="E543" s="24"/>
      <c r="F543" s="73"/>
      <c r="G543" s="24"/>
    </row>
    <row r="544" spans="1:7" ht="12.75" x14ac:dyDescent="0.2">
      <c r="A544" s="24"/>
      <c r="B544" s="24"/>
      <c r="D544" s="25"/>
      <c r="E544" s="24"/>
      <c r="F544" s="73"/>
      <c r="G544" s="24"/>
    </row>
    <row r="545" spans="1:7" ht="12.75" x14ac:dyDescent="0.2">
      <c r="A545" s="24"/>
      <c r="B545" s="24"/>
      <c r="D545" s="25"/>
      <c r="E545" s="24"/>
      <c r="F545" s="73"/>
      <c r="G545" s="24"/>
    </row>
    <row r="546" spans="1:7" ht="12.75" x14ac:dyDescent="0.2">
      <c r="A546" s="24"/>
      <c r="B546" s="24"/>
      <c r="D546" s="25"/>
      <c r="E546" s="24"/>
      <c r="F546" s="73"/>
      <c r="G546" s="24"/>
    </row>
    <row r="547" spans="1:7" ht="12.75" x14ac:dyDescent="0.2">
      <c r="A547" s="24"/>
      <c r="B547" s="24"/>
      <c r="D547" s="25"/>
      <c r="E547" s="24"/>
      <c r="F547" s="73"/>
      <c r="G547" s="24"/>
    </row>
    <row r="548" spans="1:7" ht="12.75" x14ac:dyDescent="0.2">
      <c r="A548" s="24"/>
      <c r="B548" s="24"/>
      <c r="D548" s="25"/>
      <c r="E548" s="24"/>
      <c r="F548" s="73"/>
      <c r="G548" s="24"/>
    </row>
    <row r="549" spans="1:7" ht="12.75" x14ac:dyDescent="0.2">
      <c r="A549" s="24"/>
      <c r="B549" s="24"/>
      <c r="D549" s="25"/>
      <c r="E549" s="24"/>
      <c r="F549" s="73"/>
      <c r="G549" s="24"/>
    </row>
    <row r="550" spans="1:7" ht="12.75" x14ac:dyDescent="0.2">
      <c r="A550" s="24"/>
      <c r="B550" s="24"/>
      <c r="D550" s="25"/>
      <c r="E550" s="24"/>
      <c r="F550" s="73"/>
      <c r="G550" s="24"/>
    </row>
    <row r="551" spans="1:7" ht="12.75" x14ac:dyDescent="0.2">
      <c r="A551" s="24"/>
      <c r="B551" s="24"/>
      <c r="D551" s="25"/>
      <c r="E551" s="24"/>
      <c r="F551" s="73"/>
      <c r="G551" s="24"/>
    </row>
    <row r="552" spans="1:7" ht="12.75" x14ac:dyDescent="0.2">
      <c r="A552" s="24"/>
      <c r="B552" s="24"/>
      <c r="D552" s="25"/>
      <c r="E552" s="24"/>
      <c r="F552" s="73"/>
      <c r="G552" s="24"/>
    </row>
    <row r="553" spans="1:7" ht="12.75" x14ac:dyDescent="0.2">
      <c r="A553" s="24"/>
      <c r="B553" s="24"/>
      <c r="D553" s="25"/>
      <c r="E553" s="24"/>
      <c r="F553" s="73"/>
      <c r="G553" s="24"/>
    </row>
    <row r="554" spans="1:7" ht="12.75" x14ac:dyDescent="0.2">
      <c r="A554" s="24"/>
      <c r="B554" s="24"/>
      <c r="D554" s="25"/>
      <c r="E554" s="24"/>
      <c r="F554" s="73"/>
      <c r="G554" s="24"/>
    </row>
    <row r="555" spans="1:7" ht="12.75" x14ac:dyDescent="0.2">
      <c r="A555" s="24"/>
      <c r="B555" s="24"/>
      <c r="D555" s="25"/>
      <c r="E555" s="24"/>
      <c r="F555" s="73"/>
      <c r="G555" s="24"/>
    </row>
    <row r="556" spans="1:7" ht="12.75" x14ac:dyDescent="0.2">
      <c r="A556" s="24"/>
      <c r="B556" s="24"/>
      <c r="D556" s="25"/>
      <c r="E556" s="24"/>
      <c r="F556" s="73"/>
      <c r="G556" s="24"/>
    </row>
    <row r="557" spans="1:7" ht="12.75" x14ac:dyDescent="0.2">
      <c r="A557" s="24"/>
      <c r="B557" s="24"/>
      <c r="D557" s="25"/>
      <c r="E557" s="24"/>
      <c r="F557" s="73"/>
      <c r="G557" s="24"/>
    </row>
    <row r="558" spans="1:7" ht="12.75" x14ac:dyDescent="0.2">
      <c r="A558" s="24"/>
      <c r="B558" s="24"/>
      <c r="D558" s="25"/>
      <c r="E558" s="24"/>
      <c r="F558" s="73"/>
      <c r="G558" s="24"/>
    </row>
    <row r="559" spans="1:7" ht="12.75" x14ac:dyDescent="0.2">
      <c r="A559" s="24"/>
      <c r="B559" s="24"/>
      <c r="D559" s="25"/>
      <c r="E559" s="24"/>
      <c r="F559" s="73"/>
      <c r="G559" s="24"/>
    </row>
    <row r="560" spans="1:7" ht="12.75" x14ac:dyDescent="0.2">
      <c r="A560" s="24"/>
      <c r="B560" s="24"/>
      <c r="D560" s="25"/>
      <c r="E560" s="24"/>
      <c r="F560" s="73"/>
      <c r="G560" s="24"/>
    </row>
    <row r="561" spans="1:7" ht="12.75" x14ac:dyDescent="0.2">
      <c r="A561" s="24"/>
      <c r="B561" s="24"/>
      <c r="D561" s="25"/>
      <c r="E561" s="24"/>
      <c r="F561" s="73"/>
      <c r="G561" s="24"/>
    </row>
    <row r="562" spans="1:7" ht="12.75" x14ac:dyDescent="0.2">
      <c r="A562" s="24"/>
      <c r="B562" s="24"/>
      <c r="D562" s="25"/>
      <c r="E562" s="24"/>
      <c r="F562" s="73"/>
      <c r="G562" s="24"/>
    </row>
    <row r="563" spans="1:7" ht="12.75" x14ac:dyDescent="0.2">
      <c r="A563" s="24"/>
      <c r="B563" s="24"/>
      <c r="D563" s="25"/>
      <c r="E563" s="24"/>
      <c r="F563" s="73"/>
      <c r="G563" s="24"/>
    </row>
    <row r="564" spans="1:7" ht="12.75" x14ac:dyDescent="0.2">
      <c r="A564" s="24"/>
      <c r="B564" s="24"/>
      <c r="D564" s="25"/>
      <c r="E564" s="24"/>
      <c r="F564" s="73"/>
      <c r="G564" s="24"/>
    </row>
    <row r="565" spans="1:7" ht="12.75" x14ac:dyDescent="0.2">
      <c r="A565" s="24"/>
      <c r="B565" s="24"/>
      <c r="D565" s="25"/>
      <c r="E565" s="24"/>
      <c r="F565" s="73"/>
      <c r="G565" s="24"/>
    </row>
    <row r="566" spans="1:7" ht="12.75" x14ac:dyDescent="0.2">
      <c r="A566" s="24"/>
      <c r="B566" s="24"/>
      <c r="D566" s="25"/>
      <c r="E566" s="24"/>
      <c r="F566" s="73"/>
      <c r="G566" s="24"/>
    </row>
    <row r="567" spans="1:7" ht="12.75" x14ac:dyDescent="0.2">
      <c r="A567" s="24"/>
      <c r="B567" s="24"/>
      <c r="D567" s="25"/>
      <c r="E567" s="24"/>
      <c r="F567" s="73"/>
      <c r="G567" s="24"/>
    </row>
    <row r="568" spans="1:7" ht="12.75" x14ac:dyDescent="0.2">
      <c r="A568" s="24"/>
      <c r="B568" s="24"/>
      <c r="D568" s="25"/>
      <c r="E568" s="24"/>
      <c r="F568" s="73"/>
      <c r="G568" s="24"/>
    </row>
    <row r="569" spans="1:7" ht="12.75" x14ac:dyDescent="0.2">
      <c r="A569" s="24"/>
      <c r="B569" s="24"/>
      <c r="D569" s="25"/>
      <c r="E569" s="24"/>
      <c r="F569" s="73"/>
      <c r="G569" s="24"/>
    </row>
    <row r="570" spans="1:7" ht="12.75" x14ac:dyDescent="0.2">
      <c r="A570" s="24"/>
      <c r="B570" s="24"/>
      <c r="D570" s="25"/>
      <c r="E570" s="24"/>
      <c r="F570" s="73"/>
      <c r="G570" s="24"/>
    </row>
    <row r="571" spans="1:7" ht="12.75" x14ac:dyDescent="0.2">
      <c r="A571" s="24"/>
      <c r="B571" s="24"/>
      <c r="D571" s="25"/>
      <c r="E571" s="24"/>
      <c r="F571" s="73"/>
      <c r="G571" s="24"/>
    </row>
    <row r="572" spans="1:7" ht="12.75" x14ac:dyDescent="0.2">
      <c r="A572" s="24"/>
      <c r="B572" s="24"/>
      <c r="D572" s="25"/>
      <c r="E572" s="24"/>
      <c r="F572" s="73"/>
      <c r="G572" s="24"/>
    </row>
    <row r="573" spans="1:7" ht="12.75" x14ac:dyDescent="0.2">
      <c r="A573" s="24"/>
      <c r="B573" s="24"/>
      <c r="D573" s="25"/>
      <c r="E573" s="24"/>
      <c r="F573" s="73"/>
      <c r="G573" s="24"/>
    </row>
    <row r="574" spans="1:7" ht="12.75" x14ac:dyDescent="0.2">
      <c r="A574" s="24"/>
      <c r="B574" s="24"/>
      <c r="D574" s="25"/>
      <c r="E574" s="24"/>
      <c r="F574" s="73"/>
      <c r="G574" s="24"/>
    </row>
    <row r="575" spans="1:7" ht="12.75" x14ac:dyDescent="0.2">
      <c r="A575" s="24"/>
      <c r="B575" s="24"/>
      <c r="D575" s="25"/>
      <c r="E575" s="24"/>
      <c r="F575" s="73"/>
      <c r="G575" s="24"/>
    </row>
    <row r="576" spans="1:7" ht="12.75" x14ac:dyDescent="0.2">
      <c r="A576" s="24"/>
      <c r="B576" s="24"/>
      <c r="D576" s="25"/>
      <c r="E576" s="24"/>
      <c r="F576" s="73"/>
      <c r="G576" s="24"/>
    </row>
    <row r="577" spans="1:7" ht="12.75" x14ac:dyDescent="0.2">
      <c r="A577" s="24"/>
      <c r="B577" s="24"/>
      <c r="D577" s="25"/>
      <c r="E577" s="24"/>
      <c r="F577" s="73"/>
      <c r="G577" s="24"/>
    </row>
    <row r="578" spans="1:7" ht="12.75" x14ac:dyDescent="0.2">
      <c r="A578" s="24"/>
      <c r="B578" s="24"/>
      <c r="D578" s="25"/>
      <c r="E578" s="24"/>
      <c r="F578" s="73"/>
      <c r="G578" s="24"/>
    </row>
    <row r="579" spans="1:7" ht="12.75" x14ac:dyDescent="0.2">
      <c r="A579" s="24"/>
      <c r="B579" s="24"/>
      <c r="D579" s="25"/>
      <c r="E579" s="24"/>
      <c r="F579" s="73"/>
      <c r="G579" s="24"/>
    </row>
    <row r="580" spans="1:7" ht="12.75" x14ac:dyDescent="0.2">
      <c r="A580" s="24"/>
      <c r="B580" s="24"/>
      <c r="D580" s="25"/>
      <c r="E580" s="24"/>
      <c r="F580" s="73"/>
      <c r="G580" s="24"/>
    </row>
    <row r="581" spans="1:7" ht="12.75" x14ac:dyDescent="0.2">
      <c r="A581" s="24"/>
      <c r="B581" s="24"/>
      <c r="D581" s="25"/>
      <c r="E581" s="24"/>
      <c r="F581" s="73"/>
      <c r="G581" s="24"/>
    </row>
    <row r="582" spans="1:7" ht="12.75" x14ac:dyDescent="0.2">
      <c r="A582" s="24"/>
      <c r="B582" s="24"/>
      <c r="D582" s="25"/>
      <c r="E582" s="24"/>
      <c r="F582" s="73"/>
      <c r="G582" s="24"/>
    </row>
    <row r="583" spans="1:7" ht="12.75" x14ac:dyDescent="0.2">
      <c r="A583" s="24"/>
      <c r="B583" s="24"/>
      <c r="D583" s="25"/>
      <c r="E583" s="24"/>
      <c r="F583" s="73"/>
      <c r="G583" s="24"/>
    </row>
    <row r="584" spans="1:7" ht="12.75" x14ac:dyDescent="0.2">
      <c r="A584" s="24"/>
      <c r="B584" s="24"/>
      <c r="D584" s="25"/>
      <c r="E584" s="24"/>
      <c r="F584" s="73"/>
      <c r="G584" s="24"/>
    </row>
    <row r="585" spans="1:7" ht="12.75" x14ac:dyDescent="0.2">
      <c r="A585" s="24"/>
      <c r="B585" s="24"/>
      <c r="D585" s="25"/>
      <c r="E585" s="24"/>
      <c r="F585" s="73"/>
      <c r="G585" s="24"/>
    </row>
    <row r="586" spans="1:7" ht="12.75" x14ac:dyDescent="0.2">
      <c r="A586" s="24"/>
      <c r="B586" s="24"/>
      <c r="D586" s="25"/>
      <c r="E586" s="24"/>
      <c r="F586" s="73"/>
      <c r="G586" s="24"/>
    </row>
    <row r="587" spans="1:7" ht="12.75" x14ac:dyDescent="0.2">
      <c r="A587" s="24"/>
      <c r="B587" s="24"/>
      <c r="D587" s="25"/>
      <c r="E587" s="24"/>
      <c r="F587" s="73"/>
      <c r="G587" s="24"/>
    </row>
    <row r="588" spans="1:7" ht="12.75" x14ac:dyDescent="0.2">
      <c r="A588" s="24"/>
      <c r="B588" s="24"/>
      <c r="D588" s="25"/>
      <c r="E588" s="24"/>
      <c r="F588" s="73"/>
      <c r="G588" s="24"/>
    </row>
    <row r="589" spans="1:7" ht="12.75" x14ac:dyDescent="0.2">
      <c r="A589" s="24"/>
      <c r="B589" s="24"/>
      <c r="D589" s="25"/>
      <c r="E589" s="24"/>
      <c r="F589" s="73"/>
      <c r="G589" s="24"/>
    </row>
    <row r="590" spans="1:7" ht="12.75" x14ac:dyDescent="0.2">
      <c r="A590" s="24"/>
      <c r="B590" s="24"/>
      <c r="D590" s="25"/>
      <c r="E590" s="24"/>
      <c r="F590" s="73"/>
      <c r="G590" s="24"/>
    </row>
    <row r="591" spans="1:7" ht="12.75" x14ac:dyDescent="0.2">
      <c r="A591" s="24"/>
      <c r="B591" s="24"/>
      <c r="D591" s="25"/>
      <c r="E591" s="24"/>
      <c r="F591" s="73"/>
      <c r="G591" s="24"/>
    </row>
    <row r="592" spans="1:7" ht="12.75" x14ac:dyDescent="0.2">
      <c r="A592" s="24"/>
      <c r="B592" s="24"/>
      <c r="D592" s="25"/>
      <c r="E592" s="24"/>
      <c r="F592" s="73"/>
      <c r="G592" s="24"/>
    </row>
    <row r="593" spans="1:7" ht="12.75" x14ac:dyDescent="0.2">
      <c r="A593" s="24"/>
      <c r="B593" s="24"/>
      <c r="D593" s="25"/>
      <c r="E593" s="24"/>
      <c r="F593" s="73"/>
      <c r="G593" s="24"/>
    </row>
    <row r="594" spans="1:7" ht="12.75" x14ac:dyDescent="0.2">
      <c r="A594" s="24"/>
      <c r="B594" s="24"/>
      <c r="D594" s="25"/>
      <c r="E594" s="24"/>
      <c r="F594" s="73"/>
      <c r="G594" s="24"/>
    </row>
    <row r="595" spans="1:7" ht="12.75" x14ac:dyDescent="0.2">
      <c r="A595" s="24"/>
      <c r="B595" s="24"/>
      <c r="D595" s="25"/>
      <c r="E595" s="24"/>
      <c r="F595" s="73"/>
      <c r="G595" s="24"/>
    </row>
    <row r="596" spans="1:7" ht="12.75" x14ac:dyDescent="0.2">
      <c r="A596" s="24"/>
      <c r="B596" s="24"/>
      <c r="D596" s="25"/>
      <c r="E596" s="24"/>
      <c r="F596" s="73"/>
      <c r="G596" s="24"/>
    </row>
    <row r="597" spans="1:7" ht="12.75" x14ac:dyDescent="0.2">
      <c r="A597" s="24"/>
      <c r="B597" s="24"/>
      <c r="D597" s="25"/>
      <c r="E597" s="24"/>
      <c r="F597" s="73"/>
      <c r="G597" s="24"/>
    </row>
    <row r="598" spans="1:7" ht="12.75" x14ac:dyDescent="0.2">
      <c r="A598" s="24"/>
      <c r="B598" s="24"/>
      <c r="D598" s="25"/>
      <c r="E598" s="24"/>
      <c r="F598" s="73"/>
      <c r="G598" s="24"/>
    </row>
    <row r="599" spans="1:7" ht="12.75" x14ac:dyDescent="0.2">
      <c r="A599" s="24"/>
      <c r="B599" s="24"/>
      <c r="D599" s="25"/>
      <c r="E599" s="24"/>
      <c r="F599" s="73"/>
      <c r="G599" s="24"/>
    </row>
    <row r="600" spans="1:7" ht="12.75" x14ac:dyDescent="0.2">
      <c r="A600" s="24"/>
      <c r="B600" s="24"/>
      <c r="D600" s="25"/>
      <c r="E600" s="24"/>
      <c r="F600" s="73"/>
      <c r="G600" s="24"/>
    </row>
    <row r="601" spans="1:7" ht="12.75" x14ac:dyDescent="0.2">
      <c r="A601" s="24"/>
      <c r="B601" s="24"/>
      <c r="D601" s="25"/>
      <c r="E601" s="24"/>
      <c r="F601" s="73"/>
      <c r="G601" s="24"/>
    </row>
    <row r="602" spans="1:7" ht="12.75" x14ac:dyDescent="0.2">
      <c r="A602" s="24"/>
      <c r="B602" s="24"/>
      <c r="D602" s="25"/>
      <c r="E602" s="24"/>
      <c r="F602" s="73"/>
      <c r="G602" s="24"/>
    </row>
    <row r="603" spans="1:7" ht="12.75" x14ac:dyDescent="0.2">
      <c r="A603" s="24"/>
      <c r="B603" s="24"/>
      <c r="D603" s="25"/>
      <c r="E603" s="24"/>
      <c r="F603" s="73"/>
      <c r="G603" s="24"/>
    </row>
    <row r="604" spans="1:7" ht="12.75" x14ac:dyDescent="0.2">
      <c r="A604" s="24"/>
      <c r="B604" s="24"/>
      <c r="D604" s="25"/>
      <c r="E604" s="24"/>
      <c r="F604" s="73"/>
      <c r="G604" s="24"/>
    </row>
    <row r="605" spans="1:7" ht="12.75" x14ac:dyDescent="0.2">
      <c r="A605" s="24"/>
      <c r="B605" s="24"/>
      <c r="D605" s="25"/>
      <c r="E605" s="24"/>
      <c r="F605" s="73"/>
      <c r="G605" s="24"/>
    </row>
    <row r="606" spans="1:7" ht="12.75" x14ac:dyDescent="0.2">
      <c r="A606" s="24"/>
      <c r="B606" s="24"/>
      <c r="D606" s="25"/>
      <c r="E606" s="24"/>
      <c r="F606" s="73"/>
      <c r="G606" s="24"/>
    </row>
    <row r="607" spans="1:7" ht="12.75" x14ac:dyDescent="0.2">
      <c r="A607" s="24"/>
      <c r="B607" s="24"/>
      <c r="D607" s="25"/>
      <c r="E607" s="24"/>
      <c r="F607" s="73"/>
      <c r="G607" s="24"/>
    </row>
    <row r="608" spans="1:7" ht="12.75" x14ac:dyDescent="0.2">
      <c r="A608" s="24"/>
      <c r="B608" s="24"/>
      <c r="D608" s="25"/>
      <c r="E608" s="24"/>
      <c r="F608" s="73"/>
      <c r="G608" s="24"/>
    </row>
    <row r="609" spans="1:7" ht="12.75" x14ac:dyDescent="0.2">
      <c r="A609" s="24"/>
      <c r="B609" s="24"/>
      <c r="D609" s="25"/>
      <c r="E609" s="24"/>
      <c r="F609" s="73"/>
      <c r="G609" s="24"/>
    </row>
    <row r="610" spans="1:7" ht="12.75" x14ac:dyDescent="0.2">
      <c r="A610" s="24"/>
      <c r="B610" s="24"/>
      <c r="D610" s="25"/>
      <c r="E610" s="24"/>
      <c r="F610" s="73"/>
      <c r="G610" s="24"/>
    </row>
    <row r="611" spans="1:7" ht="12.75" x14ac:dyDescent="0.2">
      <c r="A611" s="24"/>
      <c r="B611" s="24"/>
      <c r="D611" s="25"/>
      <c r="E611" s="24"/>
      <c r="F611" s="73"/>
      <c r="G611" s="24"/>
    </row>
    <row r="612" spans="1:7" ht="12.75" x14ac:dyDescent="0.2">
      <c r="A612" s="24"/>
      <c r="B612" s="24"/>
      <c r="D612" s="25"/>
      <c r="E612" s="24"/>
      <c r="F612" s="73"/>
      <c r="G612" s="24"/>
    </row>
    <row r="613" spans="1:7" ht="12.75" x14ac:dyDescent="0.2">
      <c r="A613" s="24"/>
      <c r="B613" s="24"/>
      <c r="D613" s="25"/>
      <c r="E613" s="24"/>
      <c r="F613" s="73"/>
      <c r="G613" s="24"/>
    </row>
    <row r="614" spans="1:7" ht="12.75" x14ac:dyDescent="0.2">
      <c r="A614" s="24"/>
      <c r="B614" s="24"/>
      <c r="D614" s="25"/>
      <c r="E614" s="24"/>
      <c r="F614" s="73"/>
      <c r="G614" s="24"/>
    </row>
    <row r="615" spans="1:7" ht="12.75" x14ac:dyDescent="0.2">
      <c r="A615" s="24"/>
      <c r="B615" s="24"/>
      <c r="D615" s="25"/>
      <c r="E615" s="24"/>
      <c r="F615" s="73"/>
      <c r="G615" s="24"/>
    </row>
    <row r="616" spans="1:7" ht="12.75" x14ac:dyDescent="0.2">
      <c r="A616" s="24"/>
      <c r="B616" s="24"/>
      <c r="D616" s="25"/>
      <c r="E616" s="24"/>
      <c r="F616" s="73"/>
      <c r="G616" s="24"/>
    </row>
    <row r="617" spans="1:7" ht="12.75" x14ac:dyDescent="0.2">
      <c r="A617" s="24"/>
      <c r="B617" s="24"/>
      <c r="D617" s="25"/>
      <c r="E617" s="24"/>
      <c r="F617" s="73"/>
      <c r="G617" s="24"/>
    </row>
    <row r="618" spans="1:7" ht="12.75" x14ac:dyDescent="0.2">
      <c r="A618" s="24"/>
      <c r="B618" s="24"/>
      <c r="D618" s="25"/>
      <c r="E618" s="24"/>
      <c r="F618" s="73"/>
      <c r="G618" s="24"/>
    </row>
    <row r="619" spans="1:7" ht="12.75" x14ac:dyDescent="0.2">
      <c r="A619" s="24"/>
      <c r="B619" s="24"/>
      <c r="D619" s="25"/>
      <c r="E619" s="24"/>
      <c r="F619" s="73"/>
      <c r="G619" s="24"/>
    </row>
    <row r="620" spans="1:7" ht="12.75" x14ac:dyDescent="0.2">
      <c r="A620" s="24"/>
      <c r="B620" s="24"/>
      <c r="D620" s="25"/>
      <c r="E620" s="24"/>
      <c r="F620" s="73"/>
      <c r="G620" s="24"/>
    </row>
    <row r="621" spans="1:7" ht="12.75" x14ac:dyDescent="0.2">
      <c r="A621" s="24"/>
      <c r="B621" s="24"/>
      <c r="D621" s="25"/>
      <c r="E621" s="24"/>
      <c r="F621" s="73"/>
      <c r="G621" s="24"/>
    </row>
    <row r="622" spans="1:7" ht="12.75" x14ac:dyDescent="0.2">
      <c r="A622" s="24"/>
      <c r="B622" s="24"/>
      <c r="D622" s="25"/>
      <c r="E622" s="24"/>
      <c r="F622" s="73"/>
      <c r="G622" s="24"/>
    </row>
    <row r="623" spans="1:7" ht="12.75" x14ac:dyDescent="0.2">
      <c r="A623" s="24"/>
      <c r="B623" s="24"/>
      <c r="D623" s="25"/>
      <c r="E623" s="24"/>
      <c r="F623" s="73"/>
      <c r="G623" s="24"/>
    </row>
    <row r="624" spans="1:7" ht="12.75" x14ac:dyDescent="0.2">
      <c r="A624" s="24"/>
      <c r="B624" s="24"/>
      <c r="D624" s="25"/>
      <c r="E624" s="24"/>
      <c r="F624" s="73"/>
      <c r="G624" s="24"/>
    </row>
    <row r="625" spans="1:7" ht="12.75" x14ac:dyDescent="0.2">
      <c r="A625" s="24"/>
      <c r="B625" s="24"/>
      <c r="D625" s="25"/>
      <c r="E625" s="24"/>
      <c r="F625" s="73"/>
      <c r="G625" s="24"/>
    </row>
    <row r="626" spans="1:7" ht="12.75" x14ac:dyDescent="0.2">
      <c r="A626" s="24"/>
      <c r="B626" s="24"/>
      <c r="D626" s="25"/>
      <c r="E626" s="24"/>
      <c r="F626" s="73"/>
      <c r="G626" s="24"/>
    </row>
    <row r="627" spans="1:7" ht="12.75" x14ac:dyDescent="0.2">
      <c r="A627" s="24"/>
      <c r="B627" s="24"/>
      <c r="D627" s="25"/>
      <c r="E627" s="24"/>
      <c r="F627" s="73"/>
      <c r="G627" s="24"/>
    </row>
    <row r="628" spans="1:7" ht="12.75" x14ac:dyDescent="0.2">
      <c r="A628" s="24"/>
      <c r="B628" s="24"/>
      <c r="D628" s="25"/>
      <c r="E628" s="24"/>
      <c r="F628" s="73"/>
      <c r="G628" s="24"/>
    </row>
    <row r="629" spans="1:7" ht="12.75" x14ac:dyDescent="0.2">
      <c r="A629" s="24"/>
      <c r="B629" s="24"/>
      <c r="D629" s="25"/>
      <c r="E629" s="24"/>
      <c r="F629" s="73"/>
      <c r="G629" s="24"/>
    </row>
    <row r="630" spans="1:7" ht="12.75" x14ac:dyDescent="0.2">
      <c r="A630" s="24"/>
      <c r="B630" s="24"/>
      <c r="D630" s="25"/>
      <c r="E630" s="24"/>
      <c r="F630" s="73"/>
      <c r="G630" s="24"/>
    </row>
    <row r="631" spans="1:7" ht="12.75" x14ac:dyDescent="0.2">
      <c r="A631" s="24"/>
      <c r="B631" s="24"/>
      <c r="D631" s="25"/>
      <c r="E631" s="24"/>
      <c r="F631" s="73"/>
      <c r="G631" s="24"/>
    </row>
    <row r="632" spans="1:7" ht="12.75" x14ac:dyDescent="0.2">
      <c r="A632" s="24"/>
      <c r="B632" s="24"/>
      <c r="D632" s="25"/>
      <c r="E632" s="24"/>
      <c r="F632" s="73"/>
      <c r="G632" s="24"/>
    </row>
    <row r="633" spans="1:7" ht="12.75" x14ac:dyDescent="0.2">
      <c r="A633" s="24"/>
      <c r="B633" s="24"/>
      <c r="D633" s="25"/>
      <c r="E633" s="24"/>
      <c r="F633" s="73"/>
      <c r="G633" s="24"/>
    </row>
    <row r="634" spans="1:7" ht="12.75" x14ac:dyDescent="0.2">
      <c r="A634" s="24"/>
      <c r="B634" s="24"/>
      <c r="D634" s="25"/>
      <c r="E634" s="24"/>
      <c r="F634" s="73"/>
      <c r="G634" s="24"/>
    </row>
    <row r="635" spans="1:7" ht="12.75" x14ac:dyDescent="0.2">
      <c r="A635" s="24"/>
      <c r="B635" s="24"/>
      <c r="D635" s="25"/>
      <c r="E635" s="24"/>
      <c r="F635" s="73"/>
      <c r="G635" s="24"/>
    </row>
    <row r="636" spans="1:7" ht="12.75" x14ac:dyDescent="0.2">
      <c r="A636" s="24"/>
      <c r="B636" s="24"/>
      <c r="D636" s="25"/>
      <c r="E636" s="24"/>
      <c r="F636" s="73"/>
      <c r="G636" s="24"/>
    </row>
    <row r="637" spans="1:7" ht="12.75" x14ac:dyDescent="0.2">
      <c r="A637" s="24"/>
      <c r="B637" s="24"/>
      <c r="D637" s="25"/>
      <c r="E637" s="24"/>
      <c r="F637" s="73"/>
      <c r="G637" s="24"/>
    </row>
    <row r="638" spans="1:7" ht="12.75" x14ac:dyDescent="0.2">
      <c r="A638" s="24"/>
      <c r="B638" s="24"/>
      <c r="D638" s="25"/>
      <c r="E638" s="24"/>
      <c r="F638" s="73"/>
      <c r="G638" s="24"/>
    </row>
    <row r="639" spans="1:7" ht="12.75" x14ac:dyDescent="0.2">
      <c r="A639" s="24"/>
      <c r="B639" s="24"/>
      <c r="D639" s="25"/>
      <c r="E639" s="24"/>
      <c r="F639" s="73"/>
      <c r="G639" s="24"/>
    </row>
    <row r="640" spans="1:7" ht="12.75" x14ac:dyDescent="0.2">
      <c r="A640" s="24"/>
      <c r="B640" s="24"/>
      <c r="D640" s="25"/>
      <c r="E640" s="24"/>
      <c r="F640" s="73"/>
      <c r="G640" s="24"/>
    </row>
    <row r="641" spans="1:7" ht="12.75" x14ac:dyDescent="0.2">
      <c r="A641" s="24"/>
      <c r="B641" s="24"/>
      <c r="D641" s="25"/>
      <c r="E641" s="24"/>
      <c r="F641" s="73"/>
      <c r="G641" s="24"/>
    </row>
    <row r="642" spans="1:7" ht="12.75" x14ac:dyDescent="0.2">
      <c r="A642" s="24"/>
      <c r="B642" s="24"/>
      <c r="D642" s="25"/>
      <c r="E642" s="24"/>
      <c r="F642" s="73"/>
      <c r="G642" s="24"/>
    </row>
    <row r="643" spans="1:7" ht="12.75" x14ac:dyDescent="0.2">
      <c r="A643" s="24"/>
      <c r="B643" s="24"/>
      <c r="D643" s="25"/>
      <c r="E643" s="24"/>
      <c r="F643" s="73"/>
      <c r="G643" s="24"/>
    </row>
    <row r="644" spans="1:7" ht="12.75" x14ac:dyDescent="0.2">
      <c r="A644" s="24"/>
      <c r="B644" s="24"/>
      <c r="D644" s="25"/>
      <c r="E644" s="24"/>
      <c r="F644" s="73"/>
      <c r="G644" s="24"/>
    </row>
    <row r="645" spans="1:7" ht="12.75" x14ac:dyDescent="0.2">
      <c r="A645" s="24"/>
      <c r="B645" s="24"/>
      <c r="D645" s="25"/>
      <c r="E645" s="24"/>
      <c r="F645" s="73"/>
      <c r="G645" s="24"/>
    </row>
    <row r="646" spans="1:7" ht="12.75" x14ac:dyDescent="0.2">
      <c r="A646" s="24"/>
      <c r="B646" s="24"/>
      <c r="D646" s="25"/>
      <c r="E646" s="24"/>
      <c r="F646" s="73"/>
      <c r="G646" s="24"/>
    </row>
    <row r="647" spans="1:7" ht="12.75" x14ac:dyDescent="0.2">
      <c r="A647" s="24"/>
      <c r="B647" s="24"/>
      <c r="D647" s="25"/>
      <c r="E647" s="24"/>
      <c r="F647" s="73"/>
      <c r="G647" s="24"/>
    </row>
    <row r="648" spans="1:7" ht="12.75" x14ac:dyDescent="0.2">
      <c r="A648" s="24"/>
      <c r="B648" s="24"/>
      <c r="D648" s="25"/>
      <c r="E648" s="24"/>
      <c r="F648" s="73"/>
      <c r="G648" s="24"/>
    </row>
    <row r="649" spans="1:7" ht="12.75" x14ac:dyDescent="0.2">
      <c r="A649" s="24"/>
      <c r="B649" s="24"/>
      <c r="D649" s="25"/>
      <c r="E649" s="24"/>
      <c r="F649" s="73"/>
      <c r="G649" s="24"/>
    </row>
    <row r="650" spans="1:7" ht="12.75" x14ac:dyDescent="0.2">
      <c r="A650" s="24"/>
      <c r="B650" s="24"/>
      <c r="D650" s="25"/>
      <c r="E650" s="24"/>
      <c r="F650" s="73"/>
      <c r="G650" s="24"/>
    </row>
    <row r="651" spans="1:7" ht="12.75" x14ac:dyDescent="0.2">
      <c r="A651" s="24"/>
      <c r="B651" s="24"/>
      <c r="D651" s="25"/>
      <c r="E651" s="24"/>
      <c r="F651" s="73"/>
      <c r="G651" s="24"/>
    </row>
    <row r="652" spans="1:7" ht="12.75" x14ac:dyDescent="0.2">
      <c r="A652" s="24"/>
      <c r="B652" s="24"/>
      <c r="D652" s="25"/>
      <c r="E652" s="24"/>
      <c r="F652" s="73"/>
      <c r="G652" s="24"/>
    </row>
    <row r="653" spans="1:7" ht="12.75" x14ac:dyDescent="0.2">
      <c r="A653" s="24"/>
      <c r="B653" s="24"/>
      <c r="D653" s="25"/>
      <c r="E653" s="24"/>
      <c r="F653" s="73"/>
      <c r="G653" s="24"/>
    </row>
    <row r="654" spans="1:7" ht="12.75" x14ac:dyDescent="0.2">
      <c r="A654" s="24"/>
      <c r="B654" s="24"/>
      <c r="D654" s="25"/>
      <c r="E654" s="24"/>
      <c r="F654" s="73"/>
      <c r="G654" s="24"/>
    </row>
    <row r="655" spans="1:7" ht="12.75" x14ac:dyDescent="0.2">
      <c r="A655" s="24"/>
      <c r="B655" s="24"/>
      <c r="D655" s="25"/>
      <c r="E655" s="24"/>
      <c r="F655" s="73"/>
      <c r="G655" s="24"/>
    </row>
    <row r="656" spans="1:7" ht="12.75" x14ac:dyDescent="0.2">
      <c r="A656" s="24"/>
      <c r="B656" s="24"/>
      <c r="D656" s="25"/>
      <c r="E656" s="24"/>
      <c r="F656" s="73"/>
      <c r="G656" s="24"/>
    </row>
    <row r="657" spans="1:7" ht="12.75" x14ac:dyDescent="0.2">
      <c r="A657" s="24"/>
      <c r="B657" s="24"/>
      <c r="D657" s="25"/>
      <c r="E657" s="24"/>
      <c r="F657" s="73"/>
      <c r="G657" s="24"/>
    </row>
    <row r="658" spans="1:7" ht="12.75" x14ac:dyDescent="0.2">
      <c r="A658" s="24"/>
      <c r="B658" s="24"/>
      <c r="D658" s="25"/>
      <c r="E658" s="24"/>
      <c r="F658" s="73"/>
      <c r="G658" s="24"/>
    </row>
    <row r="659" spans="1:7" ht="12.75" x14ac:dyDescent="0.2">
      <c r="A659" s="24"/>
      <c r="B659" s="24"/>
      <c r="D659" s="25"/>
      <c r="E659" s="24"/>
      <c r="F659" s="73"/>
      <c r="G659" s="24"/>
    </row>
    <row r="660" spans="1:7" ht="12.75" x14ac:dyDescent="0.2">
      <c r="A660" s="24"/>
      <c r="B660" s="24"/>
      <c r="D660" s="25"/>
      <c r="E660" s="24"/>
      <c r="F660" s="73"/>
      <c r="G660" s="24"/>
    </row>
    <row r="661" spans="1:7" ht="12.75" x14ac:dyDescent="0.2">
      <c r="A661" s="24"/>
      <c r="B661" s="24"/>
      <c r="D661" s="25"/>
      <c r="E661" s="24"/>
      <c r="F661" s="73"/>
      <c r="G661" s="24"/>
    </row>
    <row r="662" spans="1:7" ht="12.75" x14ac:dyDescent="0.2">
      <c r="A662" s="24"/>
      <c r="B662" s="24"/>
      <c r="D662" s="25"/>
      <c r="E662" s="24"/>
      <c r="F662" s="73"/>
      <c r="G662" s="24"/>
    </row>
    <row r="663" spans="1:7" ht="12.75" x14ac:dyDescent="0.2">
      <c r="A663" s="24"/>
      <c r="B663" s="24"/>
      <c r="D663" s="25"/>
      <c r="E663" s="24"/>
      <c r="F663" s="73"/>
      <c r="G663" s="24"/>
    </row>
    <row r="664" spans="1:7" ht="12.75" x14ac:dyDescent="0.2">
      <c r="A664" s="24"/>
      <c r="B664" s="24"/>
      <c r="D664" s="25"/>
      <c r="E664" s="24"/>
      <c r="F664" s="73"/>
      <c r="G664" s="24"/>
    </row>
    <row r="665" spans="1:7" ht="12.75" x14ac:dyDescent="0.2">
      <c r="A665" s="24"/>
      <c r="B665" s="24"/>
      <c r="D665" s="25"/>
      <c r="E665" s="24"/>
      <c r="F665" s="73"/>
      <c r="G665" s="24"/>
    </row>
    <row r="666" spans="1:7" ht="12.75" x14ac:dyDescent="0.2">
      <c r="A666" s="24"/>
      <c r="B666" s="24"/>
      <c r="D666" s="25"/>
      <c r="E666" s="24"/>
      <c r="F666" s="73"/>
      <c r="G666" s="24"/>
    </row>
    <row r="667" spans="1:7" ht="12.75" x14ac:dyDescent="0.2">
      <c r="A667" s="24"/>
      <c r="B667" s="24"/>
      <c r="D667" s="25"/>
      <c r="E667" s="24"/>
      <c r="F667" s="73"/>
      <c r="G667" s="24"/>
    </row>
    <row r="668" spans="1:7" ht="12.75" x14ac:dyDescent="0.2">
      <c r="A668" s="24"/>
      <c r="B668" s="24"/>
      <c r="D668" s="25"/>
      <c r="E668" s="24"/>
      <c r="F668" s="73"/>
      <c r="G668" s="24"/>
    </row>
    <row r="669" spans="1:7" ht="12.75" x14ac:dyDescent="0.2">
      <c r="A669" s="24"/>
      <c r="B669" s="24"/>
      <c r="D669" s="25"/>
      <c r="E669" s="24"/>
      <c r="F669" s="73"/>
      <c r="G669" s="24"/>
    </row>
    <row r="670" spans="1:7" ht="12.75" x14ac:dyDescent="0.2">
      <c r="A670" s="24"/>
      <c r="B670" s="24"/>
      <c r="D670" s="25"/>
      <c r="E670" s="24"/>
      <c r="F670" s="73"/>
      <c r="G670" s="24"/>
    </row>
    <row r="671" spans="1:7" ht="12.75" x14ac:dyDescent="0.2">
      <c r="A671" s="24"/>
      <c r="B671" s="24"/>
      <c r="D671" s="25"/>
      <c r="E671" s="24"/>
      <c r="F671" s="73"/>
      <c r="G671" s="24"/>
    </row>
    <row r="672" spans="1:7" ht="12.75" x14ac:dyDescent="0.2">
      <c r="A672" s="24"/>
      <c r="B672" s="24"/>
      <c r="D672" s="25"/>
      <c r="E672" s="24"/>
      <c r="F672" s="73"/>
      <c r="G672" s="24"/>
    </row>
    <row r="673" spans="1:7" ht="12.75" x14ac:dyDescent="0.2">
      <c r="A673" s="24"/>
      <c r="B673" s="24"/>
      <c r="D673" s="25"/>
      <c r="E673" s="24"/>
      <c r="F673" s="73"/>
      <c r="G673" s="24"/>
    </row>
    <row r="674" spans="1:7" ht="12.75" x14ac:dyDescent="0.2">
      <c r="A674" s="24"/>
      <c r="B674" s="24"/>
      <c r="D674" s="25"/>
      <c r="E674" s="24"/>
      <c r="F674" s="73"/>
      <c r="G674" s="24"/>
    </row>
    <row r="675" spans="1:7" ht="12.75" x14ac:dyDescent="0.2">
      <c r="A675" s="24"/>
      <c r="B675" s="24"/>
      <c r="D675" s="25"/>
      <c r="E675" s="24"/>
      <c r="F675" s="73"/>
      <c r="G675" s="24"/>
    </row>
    <row r="676" spans="1:7" ht="12.75" x14ac:dyDescent="0.2">
      <c r="A676" s="24"/>
      <c r="B676" s="24"/>
      <c r="D676" s="25"/>
      <c r="E676" s="24"/>
      <c r="F676" s="73"/>
      <c r="G676" s="24"/>
    </row>
    <row r="677" spans="1:7" ht="12.75" x14ac:dyDescent="0.2">
      <c r="A677" s="24"/>
      <c r="B677" s="24"/>
      <c r="D677" s="25"/>
      <c r="E677" s="24"/>
      <c r="F677" s="73"/>
      <c r="G677" s="24"/>
    </row>
    <row r="678" spans="1:7" ht="12.75" x14ac:dyDescent="0.2">
      <c r="A678" s="24"/>
      <c r="B678" s="24"/>
      <c r="D678" s="25"/>
      <c r="E678" s="24"/>
      <c r="F678" s="73"/>
      <c r="G678" s="24"/>
    </row>
    <row r="679" spans="1:7" ht="12.75" x14ac:dyDescent="0.2">
      <c r="A679" s="24"/>
      <c r="B679" s="24"/>
      <c r="D679" s="25"/>
      <c r="E679" s="24"/>
      <c r="F679" s="73"/>
      <c r="G679" s="24"/>
    </row>
    <row r="680" spans="1:7" ht="12.75" x14ac:dyDescent="0.2">
      <c r="A680" s="24"/>
      <c r="B680" s="24"/>
      <c r="D680" s="25"/>
      <c r="E680" s="24"/>
      <c r="F680" s="73"/>
      <c r="G680" s="24"/>
    </row>
    <row r="681" spans="1:7" ht="12.75" x14ac:dyDescent="0.2">
      <c r="A681" s="24"/>
      <c r="B681" s="24"/>
      <c r="D681" s="25"/>
      <c r="E681" s="24"/>
      <c r="F681" s="73"/>
      <c r="G681" s="24"/>
    </row>
    <row r="682" spans="1:7" ht="12.75" x14ac:dyDescent="0.2">
      <c r="A682" s="24"/>
      <c r="B682" s="24"/>
      <c r="D682" s="25"/>
      <c r="E682" s="24"/>
      <c r="F682" s="73"/>
      <c r="G682" s="24"/>
    </row>
    <row r="683" spans="1:7" ht="12.75" x14ac:dyDescent="0.2">
      <c r="A683" s="24"/>
      <c r="B683" s="24"/>
      <c r="D683" s="25"/>
      <c r="E683" s="24"/>
      <c r="F683" s="73"/>
      <c r="G683" s="24"/>
    </row>
    <row r="684" spans="1:7" ht="12.75" x14ac:dyDescent="0.2">
      <c r="A684" s="24"/>
      <c r="B684" s="24"/>
      <c r="D684" s="25"/>
      <c r="E684" s="24"/>
      <c r="F684" s="73"/>
      <c r="G684" s="24"/>
    </row>
    <row r="685" spans="1:7" ht="12.75" x14ac:dyDescent="0.2">
      <c r="A685" s="24"/>
      <c r="B685" s="24"/>
      <c r="D685" s="25"/>
      <c r="E685" s="24"/>
      <c r="F685" s="73"/>
      <c r="G685" s="24"/>
    </row>
    <row r="686" spans="1:7" ht="12.75" x14ac:dyDescent="0.2">
      <c r="A686" s="24"/>
      <c r="B686" s="24"/>
      <c r="D686" s="25"/>
      <c r="E686" s="24"/>
      <c r="F686" s="73"/>
      <c r="G686" s="24"/>
    </row>
    <row r="687" spans="1:7" ht="12.75" x14ac:dyDescent="0.2">
      <c r="A687" s="24"/>
      <c r="B687" s="24"/>
      <c r="D687" s="25"/>
      <c r="E687" s="24"/>
      <c r="F687" s="73"/>
      <c r="G687" s="24"/>
    </row>
    <row r="688" spans="1:7" ht="12.75" x14ac:dyDescent="0.2">
      <c r="A688" s="24"/>
      <c r="B688" s="24"/>
      <c r="D688" s="25"/>
      <c r="E688" s="24"/>
      <c r="F688" s="73"/>
      <c r="G688" s="24"/>
    </row>
    <row r="689" spans="1:7" ht="12.75" x14ac:dyDescent="0.2">
      <c r="A689" s="24"/>
      <c r="B689" s="24"/>
      <c r="D689" s="25"/>
      <c r="E689" s="24"/>
      <c r="F689" s="73"/>
      <c r="G689" s="24"/>
    </row>
    <row r="690" spans="1:7" ht="12.75" x14ac:dyDescent="0.2">
      <c r="A690" s="24"/>
      <c r="B690" s="24"/>
      <c r="D690" s="25"/>
      <c r="E690" s="24"/>
      <c r="F690" s="73"/>
      <c r="G690" s="24"/>
    </row>
    <row r="691" spans="1:7" ht="12.75" x14ac:dyDescent="0.2">
      <c r="A691" s="24"/>
      <c r="B691" s="24"/>
      <c r="D691" s="25"/>
      <c r="E691" s="24"/>
      <c r="F691" s="73"/>
      <c r="G691" s="24"/>
    </row>
    <row r="692" spans="1:7" ht="12.75" x14ac:dyDescent="0.2">
      <c r="A692" s="24"/>
      <c r="B692" s="24"/>
      <c r="D692" s="25"/>
      <c r="E692" s="24"/>
      <c r="F692" s="73"/>
      <c r="G692" s="24"/>
    </row>
    <row r="693" spans="1:7" ht="12.75" x14ac:dyDescent="0.2">
      <c r="A693" s="24"/>
      <c r="B693" s="24"/>
      <c r="D693" s="25"/>
      <c r="E693" s="24"/>
      <c r="F693" s="73"/>
      <c r="G693" s="24"/>
    </row>
    <row r="694" spans="1:7" ht="12.75" x14ac:dyDescent="0.2">
      <c r="A694" s="24"/>
      <c r="B694" s="24"/>
      <c r="D694" s="25"/>
      <c r="E694" s="24"/>
      <c r="F694" s="73"/>
      <c r="G694" s="24"/>
    </row>
    <row r="695" spans="1:7" ht="12.75" x14ac:dyDescent="0.2">
      <c r="A695" s="24"/>
      <c r="B695" s="24"/>
      <c r="D695" s="25"/>
      <c r="E695" s="24"/>
      <c r="F695" s="73"/>
      <c r="G695" s="24"/>
    </row>
    <row r="696" spans="1:7" ht="12.75" x14ac:dyDescent="0.2">
      <c r="A696" s="24"/>
      <c r="B696" s="24"/>
      <c r="D696" s="25"/>
      <c r="E696" s="24"/>
      <c r="F696" s="73"/>
      <c r="G696" s="24"/>
    </row>
    <row r="697" spans="1:7" ht="12.75" x14ac:dyDescent="0.2">
      <c r="A697" s="24"/>
      <c r="B697" s="24"/>
      <c r="D697" s="25"/>
      <c r="E697" s="24"/>
      <c r="F697" s="73"/>
      <c r="G697" s="24"/>
    </row>
    <row r="698" spans="1:7" ht="12.75" x14ac:dyDescent="0.2">
      <c r="A698" s="24"/>
      <c r="B698" s="24"/>
      <c r="D698" s="25"/>
      <c r="E698" s="24"/>
      <c r="F698" s="73"/>
      <c r="G698" s="24"/>
    </row>
    <row r="699" spans="1:7" ht="12.75" x14ac:dyDescent="0.2">
      <c r="A699" s="24"/>
      <c r="B699" s="24"/>
      <c r="D699" s="25"/>
      <c r="E699" s="24"/>
      <c r="F699" s="73"/>
      <c r="G699" s="24"/>
    </row>
    <row r="700" spans="1:7" ht="12.75" x14ac:dyDescent="0.2">
      <c r="A700" s="24"/>
      <c r="B700" s="24"/>
      <c r="D700" s="25"/>
      <c r="E700" s="24"/>
      <c r="F700" s="73"/>
      <c r="G700" s="24"/>
    </row>
    <row r="701" spans="1:7" ht="12.75" x14ac:dyDescent="0.2">
      <c r="A701" s="24"/>
      <c r="B701" s="24"/>
      <c r="D701" s="25"/>
      <c r="E701" s="24"/>
      <c r="F701" s="73"/>
      <c r="G701" s="24"/>
    </row>
    <row r="702" spans="1:7" ht="12.75" x14ac:dyDescent="0.2">
      <c r="A702" s="24"/>
      <c r="B702" s="24"/>
      <c r="D702" s="25"/>
      <c r="E702" s="24"/>
      <c r="F702" s="73"/>
      <c r="G702" s="24"/>
    </row>
    <row r="703" spans="1:7" ht="12.75" x14ac:dyDescent="0.2">
      <c r="A703" s="24"/>
      <c r="B703" s="24"/>
      <c r="D703" s="25"/>
      <c r="E703" s="24"/>
      <c r="F703" s="73"/>
      <c r="G703" s="24"/>
    </row>
    <row r="704" spans="1:7" ht="12.75" x14ac:dyDescent="0.2">
      <c r="A704" s="24"/>
      <c r="B704" s="24"/>
      <c r="D704" s="25"/>
      <c r="E704" s="24"/>
      <c r="F704" s="73"/>
      <c r="G704" s="24"/>
    </row>
    <row r="705" spans="1:7" ht="12.75" x14ac:dyDescent="0.2">
      <c r="A705" s="24"/>
      <c r="B705" s="24"/>
      <c r="D705" s="25"/>
      <c r="E705" s="24"/>
      <c r="F705" s="73"/>
      <c r="G705" s="24"/>
    </row>
    <row r="706" spans="1:7" ht="12.75" x14ac:dyDescent="0.2">
      <c r="A706" s="24"/>
      <c r="B706" s="24"/>
      <c r="D706" s="25"/>
      <c r="E706" s="24"/>
      <c r="F706" s="73"/>
      <c r="G706" s="24"/>
    </row>
    <row r="707" spans="1:7" ht="12.75" x14ac:dyDescent="0.2">
      <c r="A707" s="24"/>
      <c r="B707" s="24"/>
      <c r="D707" s="25"/>
      <c r="E707" s="24"/>
      <c r="F707" s="73"/>
      <c r="G707" s="24"/>
    </row>
    <row r="708" spans="1:7" ht="12.75" x14ac:dyDescent="0.2">
      <c r="A708" s="24"/>
      <c r="B708" s="24"/>
      <c r="D708" s="25"/>
      <c r="E708" s="24"/>
      <c r="F708" s="73"/>
      <c r="G708" s="24"/>
    </row>
    <row r="709" spans="1:7" ht="12.75" x14ac:dyDescent="0.2">
      <c r="A709" s="24"/>
      <c r="B709" s="24"/>
      <c r="D709" s="25"/>
      <c r="E709" s="24"/>
      <c r="F709" s="73"/>
      <c r="G709" s="24"/>
    </row>
    <row r="710" spans="1:7" ht="12.75" x14ac:dyDescent="0.2">
      <c r="A710" s="24"/>
      <c r="B710" s="24"/>
      <c r="D710" s="25"/>
      <c r="E710" s="24"/>
      <c r="F710" s="73"/>
      <c r="G710" s="24"/>
    </row>
    <row r="711" spans="1:7" ht="12.75" x14ac:dyDescent="0.2">
      <c r="A711" s="24"/>
      <c r="B711" s="24"/>
      <c r="D711" s="25"/>
      <c r="E711" s="24"/>
      <c r="F711" s="73"/>
      <c r="G711" s="24"/>
    </row>
    <row r="712" spans="1:7" ht="12.75" x14ac:dyDescent="0.2">
      <c r="A712" s="24"/>
      <c r="B712" s="24"/>
      <c r="D712" s="25"/>
      <c r="E712" s="24"/>
      <c r="F712" s="73"/>
      <c r="G712" s="24"/>
    </row>
    <row r="713" spans="1:7" ht="12.75" x14ac:dyDescent="0.2">
      <c r="A713" s="24"/>
      <c r="B713" s="24"/>
      <c r="D713" s="25"/>
      <c r="E713" s="24"/>
      <c r="F713" s="73"/>
      <c r="G713" s="24"/>
    </row>
    <row r="714" spans="1:7" ht="12.75" x14ac:dyDescent="0.2">
      <c r="A714" s="24"/>
      <c r="B714" s="24"/>
      <c r="D714" s="25"/>
      <c r="E714" s="24"/>
      <c r="F714" s="73"/>
      <c r="G714" s="24"/>
    </row>
    <row r="715" spans="1:7" ht="12.75" x14ac:dyDescent="0.2">
      <c r="A715" s="24"/>
      <c r="B715" s="24"/>
      <c r="D715" s="25"/>
      <c r="E715" s="24"/>
      <c r="F715" s="73"/>
      <c r="G715" s="24"/>
    </row>
    <row r="716" spans="1:7" ht="12.75" x14ac:dyDescent="0.2">
      <c r="A716" s="24"/>
      <c r="B716" s="24"/>
      <c r="D716" s="25"/>
      <c r="E716" s="24"/>
      <c r="F716" s="73"/>
      <c r="G716" s="24"/>
    </row>
    <row r="717" spans="1:7" ht="12.75" x14ac:dyDescent="0.2">
      <c r="A717" s="24"/>
      <c r="B717" s="24"/>
      <c r="D717" s="25"/>
      <c r="E717" s="24"/>
      <c r="F717" s="73"/>
      <c r="G717" s="24"/>
    </row>
    <row r="718" spans="1:7" ht="12.75" x14ac:dyDescent="0.2">
      <c r="A718" s="24"/>
      <c r="B718" s="24"/>
      <c r="D718" s="25"/>
      <c r="E718" s="24"/>
      <c r="F718" s="73"/>
      <c r="G718" s="24"/>
    </row>
    <row r="719" spans="1:7" ht="12.75" x14ac:dyDescent="0.2">
      <c r="A719" s="24"/>
      <c r="B719" s="24"/>
      <c r="D719" s="25"/>
      <c r="E719" s="24"/>
      <c r="F719" s="73"/>
      <c r="G719" s="24"/>
    </row>
    <row r="720" spans="1:7" ht="12.75" x14ac:dyDescent="0.2">
      <c r="A720" s="24"/>
      <c r="B720" s="24"/>
      <c r="D720" s="25"/>
      <c r="E720" s="24"/>
      <c r="F720" s="73"/>
      <c r="G720" s="24"/>
    </row>
    <row r="721" spans="1:7" ht="12.75" x14ac:dyDescent="0.2">
      <c r="A721" s="24"/>
      <c r="B721" s="24"/>
      <c r="D721" s="25"/>
      <c r="E721" s="24"/>
      <c r="F721" s="73"/>
      <c r="G721" s="24"/>
    </row>
    <row r="722" spans="1:7" ht="12.75" x14ac:dyDescent="0.2">
      <c r="A722" s="24"/>
      <c r="B722" s="24"/>
      <c r="D722" s="25"/>
      <c r="E722" s="24"/>
      <c r="F722" s="73"/>
      <c r="G722" s="24"/>
    </row>
    <row r="723" spans="1:7" ht="12.75" x14ac:dyDescent="0.2">
      <c r="A723" s="24"/>
      <c r="B723" s="24"/>
      <c r="D723" s="25"/>
      <c r="E723" s="24"/>
      <c r="F723" s="73"/>
      <c r="G723" s="24"/>
    </row>
    <row r="724" spans="1:7" ht="12.75" x14ac:dyDescent="0.2">
      <c r="A724" s="24"/>
      <c r="B724" s="24"/>
      <c r="D724" s="25"/>
      <c r="E724" s="24"/>
      <c r="F724" s="73"/>
      <c r="G724" s="24"/>
    </row>
    <row r="725" spans="1:7" ht="12.75" x14ac:dyDescent="0.2">
      <c r="A725" s="24"/>
      <c r="B725" s="24"/>
      <c r="D725" s="25"/>
      <c r="E725" s="24"/>
      <c r="F725" s="73"/>
      <c r="G725" s="24"/>
    </row>
    <row r="726" spans="1:7" ht="12.75" x14ac:dyDescent="0.2">
      <c r="A726" s="24"/>
      <c r="B726" s="24"/>
      <c r="D726" s="25"/>
      <c r="E726" s="24"/>
      <c r="F726" s="73"/>
      <c r="G726" s="24"/>
    </row>
    <row r="727" spans="1:7" ht="12.75" x14ac:dyDescent="0.2">
      <c r="A727" s="24"/>
      <c r="B727" s="24"/>
      <c r="D727" s="25"/>
      <c r="E727" s="24"/>
      <c r="F727" s="73"/>
      <c r="G727" s="24"/>
    </row>
    <row r="728" spans="1:7" ht="12.75" x14ac:dyDescent="0.2">
      <c r="A728" s="24"/>
      <c r="B728" s="24"/>
      <c r="D728" s="25"/>
      <c r="E728" s="24"/>
      <c r="F728" s="73"/>
      <c r="G728" s="24"/>
    </row>
    <row r="729" spans="1:7" ht="12.75" x14ac:dyDescent="0.2">
      <c r="A729" s="24"/>
      <c r="B729" s="24"/>
      <c r="D729" s="25"/>
      <c r="E729" s="24"/>
      <c r="F729" s="73"/>
      <c r="G729" s="24"/>
    </row>
    <row r="730" spans="1:7" ht="12.75" x14ac:dyDescent="0.2">
      <c r="A730" s="24"/>
      <c r="B730" s="24"/>
      <c r="D730" s="25"/>
      <c r="E730" s="24"/>
      <c r="F730" s="73"/>
      <c r="G730" s="24"/>
    </row>
    <row r="731" spans="1:7" ht="12.75" x14ac:dyDescent="0.2">
      <c r="A731" s="24"/>
      <c r="B731" s="24"/>
      <c r="D731" s="25"/>
      <c r="E731" s="24"/>
      <c r="F731" s="73"/>
      <c r="G731" s="24"/>
    </row>
    <row r="732" spans="1:7" ht="12.75" x14ac:dyDescent="0.2">
      <c r="A732" s="24"/>
      <c r="B732" s="24"/>
      <c r="D732" s="25"/>
      <c r="E732" s="24"/>
      <c r="F732" s="73"/>
      <c r="G732" s="24"/>
    </row>
    <row r="733" spans="1:7" ht="12.75" x14ac:dyDescent="0.2">
      <c r="A733" s="24"/>
      <c r="B733" s="24"/>
      <c r="D733" s="25"/>
      <c r="E733" s="24"/>
      <c r="F733" s="73"/>
      <c r="G733" s="24"/>
    </row>
    <row r="734" spans="1:7" ht="12.75" x14ac:dyDescent="0.2">
      <c r="A734" s="24"/>
      <c r="B734" s="24"/>
      <c r="D734" s="25"/>
      <c r="E734" s="24"/>
      <c r="F734" s="73"/>
      <c r="G734" s="24"/>
    </row>
    <row r="735" spans="1:7" ht="12.75" x14ac:dyDescent="0.2">
      <c r="A735" s="24"/>
      <c r="B735" s="24"/>
      <c r="D735" s="25"/>
      <c r="E735" s="24"/>
      <c r="F735" s="73"/>
      <c r="G735" s="24"/>
    </row>
    <row r="736" spans="1:7" ht="12.75" x14ac:dyDescent="0.2">
      <c r="A736" s="24"/>
      <c r="B736" s="24"/>
      <c r="D736" s="25"/>
      <c r="E736" s="24"/>
      <c r="F736" s="73"/>
      <c r="G736" s="24"/>
    </row>
    <row r="737" spans="1:7" ht="12.75" x14ac:dyDescent="0.2">
      <c r="A737" s="24"/>
      <c r="B737" s="24"/>
      <c r="D737" s="25"/>
      <c r="E737" s="24"/>
      <c r="F737" s="73"/>
      <c r="G737" s="24"/>
    </row>
    <row r="738" spans="1:7" ht="12.75" x14ac:dyDescent="0.2">
      <c r="A738" s="24"/>
      <c r="B738" s="24"/>
      <c r="D738" s="25"/>
      <c r="E738" s="24"/>
      <c r="F738" s="73"/>
      <c r="G738" s="24"/>
    </row>
    <row r="739" spans="1:7" ht="12.75" x14ac:dyDescent="0.2">
      <c r="A739" s="24"/>
      <c r="B739" s="24"/>
      <c r="D739" s="25"/>
      <c r="E739" s="24"/>
      <c r="F739" s="73"/>
      <c r="G739" s="24"/>
    </row>
    <row r="740" spans="1:7" ht="12.75" x14ac:dyDescent="0.2">
      <c r="A740" s="24"/>
      <c r="B740" s="24"/>
      <c r="D740" s="25"/>
      <c r="E740" s="24"/>
      <c r="F740" s="73"/>
      <c r="G740" s="24"/>
    </row>
    <row r="741" spans="1:7" ht="12.75" x14ac:dyDescent="0.2">
      <c r="A741" s="24"/>
      <c r="B741" s="24"/>
      <c r="D741" s="25"/>
      <c r="E741" s="24"/>
      <c r="F741" s="73"/>
      <c r="G741" s="24"/>
    </row>
    <row r="742" spans="1:7" ht="12.75" x14ac:dyDescent="0.2">
      <c r="A742" s="24"/>
      <c r="B742" s="24"/>
      <c r="D742" s="25"/>
      <c r="E742" s="24"/>
      <c r="F742" s="73"/>
      <c r="G742" s="24"/>
    </row>
    <row r="743" spans="1:7" ht="12.75" x14ac:dyDescent="0.2">
      <c r="A743" s="24"/>
      <c r="B743" s="24"/>
      <c r="D743" s="25"/>
      <c r="E743" s="24"/>
      <c r="F743" s="73"/>
      <c r="G743" s="24"/>
    </row>
    <row r="744" spans="1:7" ht="12.75" x14ac:dyDescent="0.2">
      <c r="A744" s="24"/>
      <c r="B744" s="24"/>
      <c r="D744" s="25"/>
      <c r="E744" s="24"/>
      <c r="F744" s="73"/>
      <c r="G744" s="24"/>
    </row>
    <row r="745" spans="1:7" ht="12.75" x14ac:dyDescent="0.2">
      <c r="A745" s="24"/>
      <c r="B745" s="24"/>
      <c r="D745" s="25"/>
      <c r="E745" s="24"/>
      <c r="F745" s="73"/>
      <c r="G745" s="24"/>
    </row>
    <row r="746" spans="1:7" ht="12.75" x14ac:dyDescent="0.2">
      <c r="A746" s="24"/>
      <c r="B746" s="24"/>
      <c r="D746" s="25"/>
      <c r="E746" s="24"/>
      <c r="F746" s="73"/>
      <c r="G746" s="24"/>
    </row>
    <row r="747" spans="1:7" ht="12.75" x14ac:dyDescent="0.2">
      <c r="A747" s="24"/>
      <c r="B747" s="24"/>
      <c r="D747" s="25"/>
      <c r="E747" s="24"/>
      <c r="F747" s="73"/>
      <c r="G747" s="24"/>
    </row>
    <row r="748" spans="1:7" ht="12.75" x14ac:dyDescent="0.2">
      <c r="A748" s="24"/>
      <c r="B748" s="24"/>
      <c r="D748" s="25"/>
      <c r="E748" s="24"/>
      <c r="F748" s="73"/>
      <c r="G748" s="24"/>
    </row>
    <row r="749" spans="1:7" ht="12.75" x14ac:dyDescent="0.2">
      <c r="A749" s="24"/>
      <c r="B749" s="24"/>
      <c r="D749" s="25"/>
      <c r="E749" s="24"/>
      <c r="F749" s="73"/>
      <c r="G749" s="24"/>
    </row>
    <row r="750" spans="1:7" ht="12.75" x14ac:dyDescent="0.2">
      <c r="A750" s="24"/>
      <c r="B750" s="24"/>
      <c r="D750" s="25"/>
      <c r="E750" s="24"/>
      <c r="F750" s="73"/>
      <c r="G750" s="24"/>
    </row>
    <row r="751" spans="1:7" ht="12.75" x14ac:dyDescent="0.2">
      <c r="A751" s="24"/>
      <c r="B751" s="24"/>
      <c r="D751" s="25"/>
      <c r="E751" s="24"/>
      <c r="F751" s="73"/>
      <c r="G751" s="24"/>
    </row>
    <row r="752" spans="1:7" ht="12.75" x14ac:dyDescent="0.2">
      <c r="A752" s="24"/>
      <c r="B752" s="24"/>
      <c r="D752" s="25"/>
      <c r="E752" s="24"/>
      <c r="F752" s="73"/>
      <c r="G752" s="24"/>
    </row>
    <row r="753" spans="1:7" ht="12.75" x14ac:dyDescent="0.2">
      <c r="A753" s="24"/>
      <c r="B753" s="24"/>
      <c r="D753" s="25"/>
      <c r="E753" s="24"/>
      <c r="F753" s="73"/>
      <c r="G753" s="24"/>
    </row>
    <row r="754" spans="1:7" ht="12.75" x14ac:dyDescent="0.2">
      <c r="A754" s="24"/>
      <c r="B754" s="24"/>
      <c r="D754" s="25"/>
      <c r="E754" s="24"/>
      <c r="F754" s="73"/>
      <c r="G754" s="24"/>
    </row>
    <row r="755" spans="1:7" ht="12.75" x14ac:dyDescent="0.2">
      <c r="A755" s="24"/>
      <c r="B755" s="24"/>
      <c r="D755" s="25"/>
      <c r="E755" s="24"/>
      <c r="F755" s="73"/>
      <c r="G755" s="24"/>
    </row>
    <row r="756" spans="1:7" ht="12.75" x14ac:dyDescent="0.2">
      <c r="A756" s="24"/>
      <c r="B756" s="24"/>
      <c r="D756" s="25"/>
      <c r="E756" s="24"/>
      <c r="F756" s="73"/>
      <c r="G756" s="24"/>
    </row>
    <row r="757" spans="1:7" ht="12.75" x14ac:dyDescent="0.2">
      <c r="A757" s="24"/>
      <c r="B757" s="24"/>
      <c r="D757" s="25"/>
      <c r="E757" s="24"/>
      <c r="F757" s="73"/>
      <c r="G757" s="24"/>
    </row>
    <row r="758" spans="1:7" ht="12.75" x14ac:dyDescent="0.2">
      <c r="A758" s="24"/>
      <c r="B758" s="24"/>
      <c r="D758" s="25"/>
      <c r="E758" s="24"/>
      <c r="F758" s="73"/>
      <c r="G758" s="24"/>
    </row>
    <row r="759" spans="1:7" ht="12.75" x14ac:dyDescent="0.2">
      <c r="A759" s="24"/>
      <c r="B759" s="24"/>
      <c r="D759" s="25"/>
      <c r="E759" s="24"/>
      <c r="F759" s="73"/>
      <c r="G759" s="24"/>
    </row>
    <row r="760" spans="1:7" ht="12.75" x14ac:dyDescent="0.2">
      <c r="A760" s="24"/>
      <c r="B760" s="24"/>
      <c r="D760" s="25"/>
      <c r="E760" s="24"/>
      <c r="F760" s="73"/>
      <c r="G760" s="24"/>
    </row>
    <row r="761" spans="1:7" ht="12.75" x14ac:dyDescent="0.2">
      <c r="A761" s="24"/>
      <c r="B761" s="24"/>
      <c r="D761" s="25"/>
      <c r="E761" s="24"/>
      <c r="F761" s="73"/>
      <c r="G761" s="24"/>
    </row>
    <row r="762" spans="1:7" ht="12.75" x14ac:dyDescent="0.2">
      <c r="A762" s="24"/>
      <c r="B762" s="24"/>
      <c r="D762" s="25"/>
      <c r="E762" s="24"/>
      <c r="F762" s="73"/>
      <c r="G762" s="24"/>
    </row>
    <row r="763" spans="1:7" ht="12.75" x14ac:dyDescent="0.2">
      <c r="A763" s="24"/>
      <c r="B763" s="24"/>
      <c r="D763" s="25"/>
      <c r="E763" s="24"/>
      <c r="F763" s="73"/>
      <c r="G763" s="24"/>
    </row>
    <row r="764" spans="1:7" ht="12.75" x14ac:dyDescent="0.2">
      <c r="A764" s="24"/>
      <c r="B764" s="24"/>
      <c r="D764" s="25"/>
      <c r="E764" s="24"/>
      <c r="F764" s="73"/>
      <c r="G764" s="24"/>
    </row>
    <row r="765" spans="1:7" ht="12.75" x14ac:dyDescent="0.2">
      <c r="A765" s="24"/>
      <c r="B765" s="24"/>
      <c r="D765" s="25"/>
      <c r="E765" s="24"/>
      <c r="F765" s="73"/>
      <c r="G765" s="24"/>
    </row>
    <row r="766" spans="1:7" ht="12.75" x14ac:dyDescent="0.2">
      <c r="A766" s="24"/>
      <c r="B766" s="24"/>
      <c r="D766" s="25"/>
      <c r="E766" s="24"/>
      <c r="F766" s="73"/>
      <c r="G766" s="24"/>
    </row>
    <row r="767" spans="1:7" ht="12.75" x14ac:dyDescent="0.2">
      <c r="A767" s="24"/>
      <c r="B767" s="24"/>
      <c r="D767" s="25"/>
      <c r="E767" s="24"/>
      <c r="F767" s="73"/>
      <c r="G767" s="24"/>
    </row>
    <row r="768" spans="1:7" ht="12.75" x14ac:dyDescent="0.2">
      <c r="A768" s="24"/>
      <c r="B768" s="24"/>
      <c r="D768" s="25"/>
      <c r="E768" s="24"/>
      <c r="F768" s="73"/>
      <c r="G768" s="24"/>
    </row>
    <row r="769" spans="1:7" ht="12.75" x14ac:dyDescent="0.2">
      <c r="A769" s="24"/>
      <c r="B769" s="24"/>
      <c r="D769" s="25"/>
      <c r="E769" s="24"/>
      <c r="F769" s="73"/>
      <c r="G769" s="24"/>
    </row>
    <row r="770" spans="1:7" ht="12.75" x14ac:dyDescent="0.2">
      <c r="A770" s="24"/>
      <c r="B770" s="24"/>
      <c r="D770" s="25"/>
      <c r="E770" s="24"/>
      <c r="F770" s="73"/>
      <c r="G770" s="24"/>
    </row>
    <row r="771" spans="1:7" ht="12.75" x14ac:dyDescent="0.2">
      <c r="A771" s="24"/>
      <c r="B771" s="24"/>
      <c r="D771" s="25"/>
      <c r="E771" s="24"/>
      <c r="F771" s="73"/>
      <c r="G771" s="24"/>
    </row>
    <row r="772" spans="1:7" ht="12.75" x14ac:dyDescent="0.2">
      <c r="A772" s="24"/>
      <c r="B772" s="24"/>
      <c r="D772" s="25"/>
      <c r="E772" s="24"/>
      <c r="F772" s="73"/>
      <c r="G772" s="24"/>
    </row>
    <row r="773" spans="1:7" ht="12.75" x14ac:dyDescent="0.2">
      <c r="A773" s="24"/>
      <c r="B773" s="24"/>
      <c r="D773" s="25"/>
      <c r="E773" s="24"/>
      <c r="F773" s="73"/>
      <c r="G773" s="24"/>
    </row>
    <row r="774" spans="1:7" ht="12.75" x14ac:dyDescent="0.2">
      <c r="A774" s="24"/>
      <c r="B774" s="24"/>
      <c r="D774" s="25"/>
      <c r="E774" s="24"/>
      <c r="F774" s="73"/>
      <c r="G774" s="24"/>
    </row>
    <row r="775" spans="1:7" ht="12.75" x14ac:dyDescent="0.2">
      <c r="A775" s="24"/>
      <c r="B775" s="24"/>
      <c r="D775" s="25"/>
      <c r="E775" s="24"/>
      <c r="F775" s="73"/>
      <c r="G775" s="24"/>
    </row>
    <row r="776" spans="1:7" ht="12.75" x14ac:dyDescent="0.2">
      <c r="A776" s="24"/>
      <c r="B776" s="24"/>
      <c r="D776" s="25"/>
      <c r="E776" s="24"/>
      <c r="F776" s="73"/>
      <c r="G776" s="24"/>
    </row>
    <row r="777" spans="1:7" ht="12.75" x14ac:dyDescent="0.2">
      <c r="A777" s="24"/>
      <c r="B777" s="24"/>
      <c r="D777" s="25"/>
      <c r="E777" s="24"/>
      <c r="F777" s="73"/>
      <c r="G777" s="24"/>
    </row>
    <row r="778" spans="1:7" ht="12.75" x14ac:dyDescent="0.2">
      <c r="A778" s="24"/>
      <c r="B778" s="24"/>
      <c r="D778" s="25"/>
      <c r="E778" s="24"/>
      <c r="F778" s="73"/>
      <c r="G778" s="24"/>
    </row>
    <row r="779" spans="1:7" ht="12.75" x14ac:dyDescent="0.2">
      <c r="A779" s="24"/>
      <c r="B779" s="24"/>
      <c r="D779" s="25"/>
      <c r="E779" s="24"/>
      <c r="F779" s="73"/>
      <c r="G779" s="24"/>
    </row>
    <row r="780" spans="1:7" ht="12.75" x14ac:dyDescent="0.2">
      <c r="A780" s="24"/>
      <c r="B780" s="24"/>
      <c r="D780" s="25"/>
      <c r="E780" s="24"/>
      <c r="F780" s="73"/>
      <c r="G780" s="24"/>
    </row>
    <row r="781" spans="1:7" ht="12.75" x14ac:dyDescent="0.2">
      <c r="A781" s="24"/>
      <c r="B781" s="24"/>
      <c r="D781" s="25"/>
      <c r="E781" s="24"/>
      <c r="F781" s="73"/>
      <c r="G781" s="24"/>
    </row>
    <row r="782" spans="1:7" ht="12.75" x14ac:dyDescent="0.2">
      <c r="A782" s="24"/>
      <c r="B782" s="24"/>
      <c r="D782" s="25"/>
      <c r="E782" s="24"/>
      <c r="F782" s="73"/>
      <c r="G782" s="24"/>
    </row>
    <row r="783" spans="1:7" ht="12.75" x14ac:dyDescent="0.2">
      <c r="A783" s="24"/>
      <c r="B783" s="24"/>
      <c r="D783" s="25"/>
      <c r="E783" s="24"/>
      <c r="F783" s="73"/>
      <c r="G783" s="24"/>
    </row>
    <row r="784" spans="1:7" ht="12.75" x14ac:dyDescent="0.2">
      <c r="A784" s="24"/>
      <c r="B784" s="24"/>
      <c r="D784" s="25"/>
      <c r="E784" s="24"/>
      <c r="F784" s="73"/>
      <c r="G784" s="24"/>
    </row>
    <row r="785" spans="1:7" ht="12.75" x14ac:dyDescent="0.2">
      <c r="A785" s="24"/>
      <c r="B785" s="24"/>
      <c r="D785" s="25"/>
      <c r="E785" s="24"/>
      <c r="F785" s="73"/>
      <c r="G785" s="24"/>
    </row>
    <row r="786" spans="1:7" ht="12.75" x14ac:dyDescent="0.2">
      <c r="A786" s="24"/>
      <c r="B786" s="24"/>
      <c r="D786" s="25"/>
      <c r="E786" s="24"/>
      <c r="F786" s="73"/>
      <c r="G786" s="24"/>
    </row>
    <row r="787" spans="1:7" ht="12.75" x14ac:dyDescent="0.2">
      <c r="A787" s="24"/>
      <c r="B787" s="24"/>
      <c r="D787" s="25"/>
      <c r="E787" s="24"/>
      <c r="F787" s="73"/>
      <c r="G787" s="24"/>
    </row>
    <row r="788" spans="1:7" ht="12.75" x14ac:dyDescent="0.2">
      <c r="A788" s="24"/>
      <c r="B788" s="24"/>
      <c r="D788" s="25"/>
      <c r="E788" s="24"/>
      <c r="F788" s="73"/>
      <c r="G788" s="24"/>
    </row>
    <row r="789" spans="1:7" ht="12.75" x14ac:dyDescent="0.2">
      <c r="A789" s="24"/>
      <c r="B789" s="24"/>
      <c r="D789" s="25"/>
      <c r="E789" s="24"/>
      <c r="F789" s="73"/>
      <c r="G789" s="24"/>
    </row>
    <row r="790" spans="1:7" ht="12.75" x14ac:dyDescent="0.2">
      <c r="A790" s="24"/>
      <c r="B790" s="24"/>
      <c r="D790" s="25"/>
      <c r="E790" s="24"/>
      <c r="F790" s="73"/>
      <c r="G790" s="24"/>
    </row>
    <row r="791" spans="1:7" ht="12.75" x14ac:dyDescent="0.2">
      <c r="A791" s="24"/>
      <c r="B791" s="24"/>
      <c r="D791" s="25"/>
      <c r="E791" s="24"/>
      <c r="F791" s="73"/>
      <c r="G791" s="24"/>
    </row>
    <row r="792" spans="1:7" ht="12.75" x14ac:dyDescent="0.2">
      <c r="A792" s="24"/>
      <c r="B792" s="24"/>
      <c r="D792" s="25"/>
      <c r="E792" s="24"/>
      <c r="F792" s="73"/>
      <c r="G792" s="24"/>
    </row>
    <row r="793" spans="1:7" ht="12.75" x14ac:dyDescent="0.2">
      <c r="A793" s="24"/>
      <c r="B793" s="24"/>
      <c r="D793" s="25"/>
      <c r="E793" s="24"/>
      <c r="F793" s="73"/>
      <c r="G793" s="24"/>
    </row>
    <row r="794" spans="1:7" ht="12.75" x14ac:dyDescent="0.2">
      <c r="A794" s="24"/>
      <c r="B794" s="24"/>
      <c r="D794" s="25"/>
      <c r="E794" s="24"/>
      <c r="F794" s="73"/>
      <c r="G794" s="24"/>
    </row>
    <row r="795" spans="1:7" ht="12.75" x14ac:dyDescent="0.2">
      <c r="A795" s="24"/>
      <c r="B795" s="24"/>
      <c r="D795" s="25"/>
      <c r="E795" s="24"/>
      <c r="F795" s="73"/>
      <c r="G795" s="24"/>
    </row>
    <row r="796" spans="1:7" ht="12.75" x14ac:dyDescent="0.2">
      <c r="A796" s="24"/>
      <c r="B796" s="24"/>
      <c r="D796" s="25"/>
      <c r="E796" s="24"/>
      <c r="F796" s="73"/>
      <c r="G796" s="24"/>
    </row>
    <row r="797" spans="1:7" ht="12.75" x14ac:dyDescent="0.2">
      <c r="A797" s="24"/>
      <c r="B797" s="24"/>
      <c r="D797" s="25"/>
      <c r="E797" s="24"/>
      <c r="F797" s="73"/>
      <c r="G797" s="24"/>
    </row>
    <row r="798" spans="1:7" ht="12.75" x14ac:dyDescent="0.2">
      <c r="A798" s="24"/>
      <c r="B798" s="24"/>
      <c r="D798" s="25"/>
      <c r="E798" s="24"/>
      <c r="F798" s="73"/>
      <c r="G798" s="24"/>
    </row>
    <row r="799" spans="1:7" ht="12.75" x14ac:dyDescent="0.2">
      <c r="A799" s="24"/>
      <c r="B799" s="24"/>
      <c r="D799" s="25"/>
      <c r="E799" s="24"/>
      <c r="F799" s="73"/>
      <c r="G799" s="24"/>
    </row>
    <row r="800" spans="1:7" ht="12.75" x14ac:dyDescent="0.2">
      <c r="A800" s="24"/>
      <c r="B800" s="24"/>
      <c r="D800" s="25"/>
      <c r="E800" s="24"/>
      <c r="F800" s="73"/>
      <c r="G800" s="24"/>
    </row>
    <row r="801" spans="1:7" ht="12.75" x14ac:dyDescent="0.2">
      <c r="A801" s="24"/>
      <c r="B801" s="24"/>
      <c r="D801" s="25"/>
      <c r="E801" s="24"/>
      <c r="F801" s="73"/>
      <c r="G801" s="24"/>
    </row>
    <row r="802" spans="1:7" ht="12.75" x14ac:dyDescent="0.2">
      <c r="A802" s="24"/>
      <c r="B802" s="24"/>
      <c r="D802" s="25"/>
      <c r="E802" s="24"/>
      <c r="F802" s="73"/>
      <c r="G802" s="24"/>
    </row>
    <row r="803" spans="1:7" ht="12.75" x14ac:dyDescent="0.2">
      <c r="A803" s="24"/>
      <c r="B803" s="24"/>
      <c r="D803" s="25"/>
      <c r="E803" s="24"/>
      <c r="F803" s="73"/>
      <c r="G803" s="24"/>
    </row>
    <row r="804" spans="1:7" ht="12.75" x14ac:dyDescent="0.2">
      <c r="A804" s="24"/>
      <c r="B804" s="24"/>
      <c r="D804" s="25"/>
      <c r="E804" s="24"/>
      <c r="F804" s="73"/>
      <c r="G804" s="24"/>
    </row>
    <row r="805" spans="1:7" ht="12.75" x14ac:dyDescent="0.2">
      <c r="A805" s="24"/>
      <c r="B805" s="24"/>
      <c r="D805" s="25"/>
      <c r="E805" s="24"/>
      <c r="F805" s="73"/>
      <c r="G805" s="24"/>
    </row>
    <row r="806" spans="1:7" ht="12.75" x14ac:dyDescent="0.2">
      <c r="A806" s="24"/>
      <c r="B806" s="24"/>
      <c r="D806" s="25"/>
      <c r="E806" s="24"/>
      <c r="F806" s="73"/>
      <c r="G806" s="24"/>
    </row>
    <row r="807" spans="1:7" ht="12.75" x14ac:dyDescent="0.2">
      <c r="A807" s="24"/>
      <c r="B807" s="24"/>
      <c r="D807" s="25"/>
      <c r="E807" s="24"/>
      <c r="F807" s="73"/>
      <c r="G807" s="24"/>
    </row>
    <row r="808" spans="1:7" ht="12.75" x14ac:dyDescent="0.2">
      <c r="A808" s="24"/>
      <c r="B808" s="24"/>
      <c r="D808" s="25"/>
      <c r="E808" s="24"/>
      <c r="F808" s="73"/>
      <c r="G808" s="24"/>
    </row>
    <row r="809" spans="1:7" ht="12.75" x14ac:dyDescent="0.2">
      <c r="A809" s="24"/>
      <c r="B809" s="24"/>
      <c r="D809" s="25"/>
      <c r="E809" s="24"/>
      <c r="F809" s="73"/>
      <c r="G809" s="24"/>
    </row>
    <row r="810" spans="1:7" ht="12.75" x14ac:dyDescent="0.2">
      <c r="A810" s="24"/>
      <c r="B810" s="24"/>
      <c r="D810" s="25"/>
      <c r="E810" s="24"/>
      <c r="F810" s="73"/>
      <c r="G810" s="24"/>
    </row>
    <row r="811" spans="1:7" ht="12.75" x14ac:dyDescent="0.2">
      <c r="A811" s="24"/>
      <c r="B811" s="24"/>
      <c r="D811" s="25"/>
      <c r="E811" s="24"/>
      <c r="F811" s="73"/>
      <c r="G811" s="24"/>
    </row>
    <row r="812" spans="1:7" ht="12.75" x14ac:dyDescent="0.2">
      <c r="A812" s="24"/>
      <c r="B812" s="24"/>
      <c r="D812" s="25"/>
      <c r="E812" s="24"/>
      <c r="F812" s="73"/>
      <c r="G812" s="24"/>
    </row>
    <row r="813" spans="1:7" ht="12.75" x14ac:dyDescent="0.2">
      <c r="A813" s="24"/>
      <c r="B813" s="24"/>
      <c r="D813" s="25"/>
      <c r="E813" s="24"/>
      <c r="F813" s="73"/>
      <c r="G813" s="24"/>
    </row>
    <row r="814" spans="1:7" ht="12.75" x14ac:dyDescent="0.2">
      <c r="A814" s="24"/>
      <c r="B814" s="24"/>
      <c r="D814" s="25"/>
      <c r="E814" s="24"/>
      <c r="F814" s="73"/>
      <c r="G814" s="24"/>
    </row>
    <row r="815" spans="1:7" ht="12.75" x14ac:dyDescent="0.2">
      <c r="A815" s="24"/>
      <c r="B815" s="24"/>
      <c r="D815" s="25"/>
      <c r="E815" s="24"/>
      <c r="F815" s="73"/>
      <c r="G815" s="24"/>
    </row>
    <row r="816" spans="1:7" ht="12.75" x14ac:dyDescent="0.2">
      <c r="A816" s="24"/>
      <c r="B816" s="24"/>
      <c r="D816" s="25"/>
      <c r="E816" s="24"/>
      <c r="F816" s="73"/>
      <c r="G816" s="24"/>
    </row>
    <row r="817" spans="1:7" ht="12.75" x14ac:dyDescent="0.2">
      <c r="A817" s="24"/>
      <c r="B817" s="24"/>
      <c r="D817" s="25"/>
      <c r="E817" s="24"/>
      <c r="F817" s="73"/>
      <c r="G817" s="24"/>
    </row>
    <row r="818" spans="1:7" ht="12.75" x14ac:dyDescent="0.2">
      <c r="A818" s="24"/>
      <c r="B818" s="24"/>
      <c r="D818" s="25"/>
      <c r="E818" s="24"/>
      <c r="F818" s="73"/>
      <c r="G818" s="24"/>
    </row>
    <row r="819" spans="1:7" ht="12.75" x14ac:dyDescent="0.2">
      <c r="A819" s="24"/>
      <c r="B819" s="24"/>
      <c r="D819" s="25"/>
      <c r="E819" s="24"/>
      <c r="F819" s="73"/>
      <c r="G819" s="24"/>
    </row>
    <row r="820" spans="1:7" ht="12.75" x14ac:dyDescent="0.2">
      <c r="A820" s="24"/>
      <c r="B820" s="24"/>
      <c r="D820" s="25"/>
      <c r="E820" s="24"/>
      <c r="F820" s="73"/>
      <c r="G820" s="24"/>
    </row>
    <row r="821" spans="1:7" ht="12.75" x14ac:dyDescent="0.2">
      <c r="A821" s="24"/>
      <c r="B821" s="24"/>
      <c r="D821" s="25"/>
      <c r="E821" s="24"/>
      <c r="F821" s="73"/>
      <c r="G821" s="24"/>
    </row>
    <row r="822" spans="1:7" ht="12.75" x14ac:dyDescent="0.2">
      <c r="A822" s="24"/>
      <c r="B822" s="24"/>
      <c r="D822" s="25"/>
      <c r="E822" s="24"/>
      <c r="F822" s="73"/>
      <c r="G822" s="24"/>
    </row>
    <row r="823" spans="1:7" ht="12.75" x14ac:dyDescent="0.2">
      <c r="A823" s="24"/>
      <c r="B823" s="24"/>
      <c r="D823" s="25"/>
      <c r="E823" s="24"/>
      <c r="F823" s="73"/>
      <c r="G823" s="24"/>
    </row>
    <row r="824" spans="1:7" ht="12.75" x14ac:dyDescent="0.2">
      <c r="A824" s="24"/>
      <c r="B824" s="24"/>
      <c r="D824" s="25"/>
      <c r="E824" s="24"/>
      <c r="F824" s="73"/>
      <c r="G824" s="24"/>
    </row>
    <row r="825" spans="1:7" ht="12.75" x14ac:dyDescent="0.2">
      <c r="A825" s="24"/>
      <c r="B825" s="24"/>
      <c r="D825" s="25"/>
      <c r="E825" s="24"/>
      <c r="F825" s="73"/>
      <c r="G825" s="24"/>
    </row>
    <row r="826" spans="1:7" ht="12.75" x14ac:dyDescent="0.2">
      <c r="A826" s="24"/>
      <c r="B826" s="24"/>
      <c r="D826" s="25"/>
      <c r="E826" s="24"/>
      <c r="F826" s="73"/>
      <c r="G826" s="24"/>
    </row>
    <row r="827" spans="1:7" ht="12.75" x14ac:dyDescent="0.2">
      <c r="A827" s="24"/>
      <c r="B827" s="24"/>
      <c r="D827" s="25"/>
      <c r="E827" s="24"/>
      <c r="F827" s="73"/>
      <c r="G827" s="24"/>
    </row>
    <row r="828" spans="1:7" ht="12.75" x14ac:dyDescent="0.2">
      <c r="A828" s="24"/>
      <c r="B828" s="24"/>
      <c r="D828" s="25"/>
      <c r="E828" s="24"/>
      <c r="F828" s="73"/>
      <c r="G828" s="24"/>
    </row>
    <row r="829" spans="1:7" ht="12.75" x14ac:dyDescent="0.2">
      <c r="A829" s="24"/>
      <c r="B829" s="24"/>
      <c r="D829" s="25"/>
      <c r="E829" s="24"/>
      <c r="F829" s="73"/>
      <c r="G829" s="24"/>
    </row>
    <row r="830" spans="1:7" ht="12.75" x14ac:dyDescent="0.2">
      <c r="A830" s="24"/>
      <c r="B830" s="24"/>
      <c r="D830" s="25"/>
      <c r="E830" s="24"/>
      <c r="F830" s="73"/>
      <c r="G830" s="24"/>
    </row>
    <row r="831" spans="1:7" ht="12.75" x14ac:dyDescent="0.2">
      <c r="A831" s="24"/>
      <c r="B831" s="24"/>
      <c r="D831" s="25"/>
      <c r="E831" s="24"/>
      <c r="F831" s="73"/>
      <c r="G831" s="24"/>
    </row>
    <row r="832" spans="1:7" ht="12.75" x14ac:dyDescent="0.2">
      <c r="A832" s="24"/>
      <c r="B832" s="24"/>
      <c r="D832" s="25"/>
      <c r="E832" s="24"/>
      <c r="F832" s="73"/>
      <c r="G832" s="24"/>
    </row>
    <row r="833" spans="1:7" ht="12.75" x14ac:dyDescent="0.2">
      <c r="A833" s="24"/>
      <c r="B833" s="24"/>
      <c r="D833" s="25"/>
      <c r="E833" s="24"/>
      <c r="F833" s="73"/>
      <c r="G833" s="24"/>
    </row>
    <row r="834" spans="1:7" ht="12.75" x14ac:dyDescent="0.2">
      <c r="A834" s="24"/>
      <c r="B834" s="24"/>
      <c r="D834" s="25"/>
      <c r="E834" s="24"/>
      <c r="F834" s="73"/>
      <c r="G834" s="24"/>
    </row>
    <row r="835" spans="1:7" ht="12.75" x14ac:dyDescent="0.2">
      <c r="A835" s="24"/>
      <c r="B835" s="24"/>
      <c r="D835" s="25"/>
      <c r="E835" s="24"/>
      <c r="F835" s="73"/>
      <c r="G835" s="24"/>
    </row>
    <row r="836" spans="1:7" ht="12.75" x14ac:dyDescent="0.2">
      <c r="A836" s="24"/>
      <c r="B836" s="24"/>
      <c r="D836" s="25"/>
      <c r="E836" s="24"/>
      <c r="F836" s="73"/>
      <c r="G836" s="24"/>
    </row>
    <row r="837" spans="1:7" ht="12.75" x14ac:dyDescent="0.2">
      <c r="A837" s="24"/>
      <c r="B837" s="24"/>
      <c r="D837" s="25"/>
      <c r="E837" s="24"/>
      <c r="F837" s="73"/>
      <c r="G837" s="24"/>
    </row>
    <row r="838" spans="1:7" ht="12.75" x14ac:dyDescent="0.2">
      <c r="A838" s="24"/>
      <c r="B838" s="24"/>
      <c r="D838" s="25"/>
      <c r="E838" s="24"/>
      <c r="F838" s="73"/>
      <c r="G838" s="24"/>
    </row>
    <row r="839" spans="1:7" ht="12.75" x14ac:dyDescent="0.2">
      <c r="A839" s="24"/>
      <c r="B839" s="24"/>
      <c r="D839" s="25"/>
      <c r="E839" s="24"/>
      <c r="F839" s="73"/>
      <c r="G839" s="24"/>
    </row>
  </sheetData>
  <mergeCells count="11">
    <mergeCell ref="A55:G55"/>
    <mergeCell ref="A101:G101"/>
    <mergeCell ref="A95:G95"/>
    <mergeCell ref="A97:G97"/>
    <mergeCell ref="A59:G59"/>
    <mergeCell ref="A61:G61"/>
    <mergeCell ref="A21:G21"/>
    <mergeCell ref="A23:G23"/>
    <mergeCell ref="A2:G2"/>
    <mergeCell ref="A1:G1"/>
    <mergeCell ref="A53:G5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96"/>
  <sheetViews>
    <sheetView workbookViewId="0"/>
  </sheetViews>
  <sheetFormatPr defaultColWidth="12.5703125" defaultRowHeight="15.75" customHeight="1" x14ac:dyDescent="0.2"/>
  <cols>
    <col min="1" max="1" width="7.28515625" customWidth="1"/>
    <col min="2" max="2" width="17.28515625" customWidth="1"/>
    <col min="3" max="3" width="39.42578125" customWidth="1"/>
    <col min="4" max="4" width="49" customWidth="1"/>
    <col min="6" max="6" width="25" customWidth="1"/>
    <col min="7" max="7" width="59.28515625" customWidth="1"/>
    <col min="8" max="8" width="35.140625" customWidth="1"/>
  </cols>
  <sheetData>
    <row r="1" spans="1:26" ht="41.25" customHeight="1" x14ac:dyDescent="0.2">
      <c r="A1" s="131" t="s">
        <v>8</v>
      </c>
      <c r="B1" s="132"/>
      <c r="C1" s="132"/>
      <c r="D1" s="132"/>
      <c r="E1" s="132"/>
      <c r="F1" s="132"/>
      <c r="G1" s="132"/>
    </row>
    <row r="2" spans="1:26" ht="26.25" customHeight="1" x14ac:dyDescent="0.2">
      <c r="A2" s="130" t="s">
        <v>2</v>
      </c>
      <c r="B2" s="127"/>
      <c r="C2" s="127"/>
      <c r="D2" s="127"/>
      <c r="E2" s="127"/>
      <c r="F2" s="127"/>
      <c r="G2" s="128"/>
    </row>
    <row r="3" spans="1:26" ht="26.25" customHeight="1" x14ac:dyDescent="0.2">
      <c r="A3" s="2" t="s">
        <v>9</v>
      </c>
      <c r="B3" s="2" t="s">
        <v>10</v>
      </c>
      <c r="C3" s="2" t="s">
        <v>11</v>
      </c>
      <c r="D3" s="3" t="s">
        <v>12</v>
      </c>
      <c r="E3" s="2" t="s">
        <v>13</v>
      </c>
      <c r="F3" s="74" t="s">
        <v>14</v>
      </c>
      <c r="G3" s="2" t="s">
        <v>15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26.25" customHeight="1" x14ac:dyDescent="0.25">
      <c r="A4" s="75">
        <v>1</v>
      </c>
      <c r="B4" s="76">
        <v>600292</v>
      </c>
      <c r="C4" s="77" t="s">
        <v>567</v>
      </c>
      <c r="D4" s="78" t="s">
        <v>92</v>
      </c>
      <c r="E4" s="75" t="s">
        <v>18</v>
      </c>
      <c r="F4" s="79">
        <v>26363</v>
      </c>
      <c r="G4" s="77" t="s">
        <v>568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26.25" customHeight="1" x14ac:dyDescent="0.25">
      <c r="A5" s="75">
        <v>2</v>
      </c>
      <c r="B5" s="75">
        <v>147234</v>
      </c>
      <c r="C5" s="77" t="s">
        <v>569</v>
      </c>
      <c r="D5" s="77" t="s">
        <v>570</v>
      </c>
      <c r="E5" s="75" t="s">
        <v>26</v>
      </c>
      <c r="F5" s="80">
        <v>27611</v>
      </c>
      <c r="G5" s="77" t="s">
        <v>568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26.25" customHeight="1" x14ac:dyDescent="0.25">
      <c r="A6" s="75">
        <v>3</v>
      </c>
      <c r="B6" s="75">
        <v>328765</v>
      </c>
      <c r="C6" s="77" t="s">
        <v>571</v>
      </c>
      <c r="D6" s="77" t="s">
        <v>29</v>
      </c>
      <c r="E6" s="75" t="s">
        <v>26</v>
      </c>
      <c r="F6" s="80">
        <v>32380</v>
      </c>
      <c r="G6" s="77" t="s">
        <v>568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26.25" customHeight="1" x14ac:dyDescent="0.25">
      <c r="A7" s="75">
        <v>4</v>
      </c>
      <c r="B7" s="75">
        <v>454516</v>
      </c>
      <c r="C7" s="77" t="s">
        <v>572</v>
      </c>
      <c r="D7" s="77" t="s">
        <v>573</v>
      </c>
      <c r="E7" s="75" t="s">
        <v>18</v>
      </c>
      <c r="F7" s="80">
        <v>33221</v>
      </c>
      <c r="G7" s="77" t="s">
        <v>568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26.25" customHeight="1" x14ac:dyDescent="0.25">
      <c r="A8" s="75">
        <v>5</v>
      </c>
      <c r="B8" s="75">
        <v>163561</v>
      </c>
      <c r="C8" s="77" t="s">
        <v>574</v>
      </c>
      <c r="D8" s="77" t="s">
        <v>575</v>
      </c>
      <c r="E8" s="75" t="s">
        <v>26</v>
      </c>
      <c r="F8" s="80">
        <v>35384</v>
      </c>
      <c r="G8" s="77" t="s">
        <v>568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26.25" customHeight="1" x14ac:dyDescent="0.25">
      <c r="A9" s="75">
        <v>6</v>
      </c>
      <c r="B9" s="75">
        <v>269133</v>
      </c>
      <c r="C9" s="77" t="s">
        <v>576</v>
      </c>
      <c r="D9" s="77" t="s">
        <v>58</v>
      </c>
      <c r="E9" s="75" t="s">
        <v>26</v>
      </c>
      <c r="F9" s="80">
        <v>26317</v>
      </c>
      <c r="G9" s="77" t="s">
        <v>568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26.25" customHeight="1" x14ac:dyDescent="0.25">
      <c r="A10" s="75">
        <v>7</v>
      </c>
      <c r="B10" s="75">
        <v>670799</v>
      </c>
      <c r="C10" s="77" t="s">
        <v>577</v>
      </c>
      <c r="D10" s="77" t="s">
        <v>570</v>
      </c>
      <c r="E10" s="75" t="s">
        <v>26</v>
      </c>
      <c r="F10" s="80">
        <v>25252</v>
      </c>
      <c r="G10" s="77" t="s">
        <v>568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26.25" customHeight="1" x14ac:dyDescent="0.25">
      <c r="A11" s="75">
        <v>8</v>
      </c>
      <c r="B11" s="75">
        <v>715888</v>
      </c>
      <c r="C11" s="77" t="s">
        <v>578</v>
      </c>
      <c r="D11" s="77" t="s">
        <v>32</v>
      </c>
      <c r="E11" s="75" t="s">
        <v>26</v>
      </c>
      <c r="F11" s="80">
        <v>30102</v>
      </c>
      <c r="G11" s="77" t="s">
        <v>568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26.25" customHeight="1" x14ac:dyDescent="0.25">
      <c r="A12" s="75">
        <v>9</v>
      </c>
      <c r="B12" s="75">
        <v>555528</v>
      </c>
      <c r="C12" s="77" t="s">
        <v>579</v>
      </c>
      <c r="D12" s="77" t="s">
        <v>580</v>
      </c>
      <c r="E12" s="75" t="s">
        <v>18</v>
      </c>
      <c r="F12" s="80">
        <v>26339</v>
      </c>
      <c r="G12" s="77" t="s">
        <v>568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26.25" customHeight="1" x14ac:dyDescent="0.25">
      <c r="A13" s="75">
        <v>10</v>
      </c>
      <c r="B13" s="75">
        <v>576341</v>
      </c>
      <c r="C13" s="77" t="s">
        <v>581</v>
      </c>
      <c r="D13" s="77" t="s">
        <v>101</v>
      </c>
      <c r="E13" s="75" t="s">
        <v>26</v>
      </c>
      <c r="F13" s="80">
        <v>25175</v>
      </c>
      <c r="G13" s="77" t="s">
        <v>568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26.25" customHeight="1" x14ac:dyDescent="0.25">
      <c r="A14" s="75">
        <v>11</v>
      </c>
      <c r="B14" s="75">
        <v>325765</v>
      </c>
      <c r="C14" s="77" t="s">
        <v>582</v>
      </c>
      <c r="D14" s="77" t="s">
        <v>58</v>
      </c>
      <c r="E14" s="75" t="s">
        <v>26</v>
      </c>
      <c r="F14" s="80">
        <v>28814</v>
      </c>
      <c r="G14" s="77" t="s">
        <v>568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26.25" customHeight="1" x14ac:dyDescent="0.25">
      <c r="A15" s="75">
        <v>12</v>
      </c>
      <c r="B15" s="75">
        <v>177316</v>
      </c>
      <c r="C15" s="77" t="s">
        <v>583</v>
      </c>
      <c r="D15" s="77" t="s">
        <v>308</v>
      </c>
      <c r="E15" s="75" t="s">
        <v>18</v>
      </c>
      <c r="F15" s="80">
        <v>34776</v>
      </c>
      <c r="G15" s="77" t="s">
        <v>568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26.25" customHeight="1" x14ac:dyDescent="0.25">
      <c r="A16" s="75">
        <v>13</v>
      </c>
      <c r="B16" s="75">
        <v>671802</v>
      </c>
      <c r="C16" s="77" t="s">
        <v>584</v>
      </c>
      <c r="D16" s="77" t="s">
        <v>299</v>
      </c>
      <c r="E16" s="75" t="s">
        <v>18</v>
      </c>
      <c r="F16" s="80">
        <v>32488</v>
      </c>
      <c r="G16" s="77" t="s">
        <v>568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26.25" customHeight="1" x14ac:dyDescent="0.25">
      <c r="A17" s="75">
        <v>14</v>
      </c>
      <c r="B17" s="75">
        <v>689468</v>
      </c>
      <c r="C17" s="77" t="s">
        <v>585</v>
      </c>
      <c r="D17" s="77" t="s">
        <v>58</v>
      </c>
      <c r="E17" s="75" t="s">
        <v>26</v>
      </c>
      <c r="F17" s="80">
        <v>27448</v>
      </c>
      <c r="G17" s="77" t="s">
        <v>568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26.25" customHeight="1" x14ac:dyDescent="0.25">
      <c r="A18" s="75">
        <v>15</v>
      </c>
      <c r="B18" s="75">
        <v>209858</v>
      </c>
      <c r="C18" s="77" t="s">
        <v>586</v>
      </c>
      <c r="D18" s="77" t="s">
        <v>463</v>
      </c>
      <c r="E18" s="75" t="s">
        <v>18</v>
      </c>
      <c r="F18" s="80">
        <v>28820</v>
      </c>
      <c r="G18" s="77" t="s">
        <v>568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26.25" customHeight="1" x14ac:dyDescent="0.25">
      <c r="A19" s="75">
        <v>16</v>
      </c>
      <c r="B19" s="75">
        <v>832886</v>
      </c>
      <c r="C19" s="77" t="s">
        <v>587</v>
      </c>
      <c r="D19" s="77" t="s">
        <v>25</v>
      </c>
      <c r="E19" s="75" t="s">
        <v>26</v>
      </c>
      <c r="F19" s="80">
        <v>26278</v>
      </c>
      <c r="G19" s="77" t="s">
        <v>568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26.25" customHeight="1" x14ac:dyDescent="0.25">
      <c r="A20" s="75">
        <v>17</v>
      </c>
      <c r="B20" s="75">
        <v>164202</v>
      </c>
      <c r="C20" s="77" t="s">
        <v>588</v>
      </c>
      <c r="D20" s="77" t="s">
        <v>29</v>
      </c>
      <c r="E20" s="75" t="s">
        <v>18</v>
      </c>
      <c r="F20" s="80">
        <v>27928</v>
      </c>
      <c r="G20" s="77" t="s">
        <v>589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26.25" customHeight="1" x14ac:dyDescent="0.25">
      <c r="A21" s="75">
        <v>18</v>
      </c>
      <c r="B21" s="75">
        <v>448995</v>
      </c>
      <c r="C21" s="77" t="s">
        <v>590</v>
      </c>
      <c r="D21" s="77" t="s">
        <v>277</v>
      </c>
      <c r="E21" s="75" t="s">
        <v>26</v>
      </c>
      <c r="F21" s="80">
        <v>33397</v>
      </c>
      <c r="G21" s="77" t="s">
        <v>589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26.25" customHeight="1" x14ac:dyDescent="0.25">
      <c r="A22" s="75">
        <v>19</v>
      </c>
      <c r="B22" s="75">
        <v>882997</v>
      </c>
      <c r="C22" s="77" t="s">
        <v>591</v>
      </c>
      <c r="D22" s="77" t="s">
        <v>331</v>
      </c>
      <c r="E22" s="75" t="s">
        <v>26</v>
      </c>
      <c r="F22" s="80">
        <v>29712</v>
      </c>
      <c r="G22" s="77" t="s">
        <v>589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26.25" customHeight="1" x14ac:dyDescent="0.25">
      <c r="A23" s="75">
        <v>20</v>
      </c>
      <c r="B23" s="75">
        <v>871908</v>
      </c>
      <c r="C23" s="77" t="s">
        <v>592</v>
      </c>
      <c r="D23" s="77" t="s">
        <v>29</v>
      </c>
      <c r="E23" s="75" t="s">
        <v>18</v>
      </c>
      <c r="F23" s="80">
        <v>33178</v>
      </c>
      <c r="G23" s="77" t="s">
        <v>593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26.25" customHeight="1" x14ac:dyDescent="0.25">
      <c r="A24" s="75">
        <v>21</v>
      </c>
      <c r="B24" s="75">
        <v>371261</v>
      </c>
      <c r="C24" s="77" t="s">
        <v>594</v>
      </c>
      <c r="D24" s="77" t="s">
        <v>331</v>
      </c>
      <c r="E24" s="75" t="s">
        <v>26</v>
      </c>
      <c r="F24" s="80">
        <v>25042</v>
      </c>
      <c r="G24" s="77" t="s">
        <v>593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26.25" customHeight="1" x14ac:dyDescent="0.25">
      <c r="A25" s="75">
        <v>22</v>
      </c>
      <c r="B25" s="75">
        <v>567474</v>
      </c>
      <c r="C25" s="77" t="s">
        <v>595</v>
      </c>
      <c r="D25" s="77" t="s">
        <v>331</v>
      </c>
      <c r="E25" s="75" t="s">
        <v>26</v>
      </c>
      <c r="F25" s="80">
        <v>31750</v>
      </c>
      <c r="G25" s="77" t="s">
        <v>593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26.25" customHeight="1" x14ac:dyDescent="0.25">
      <c r="A26" s="75">
        <v>23</v>
      </c>
      <c r="B26" s="75">
        <v>993899</v>
      </c>
      <c r="C26" s="77" t="s">
        <v>596</v>
      </c>
      <c r="D26" s="77" t="s">
        <v>277</v>
      </c>
      <c r="E26" s="75" t="s">
        <v>26</v>
      </c>
      <c r="F26" s="80">
        <v>28931</v>
      </c>
      <c r="G26" s="77" t="s">
        <v>593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26.25" customHeight="1" x14ac:dyDescent="0.25">
      <c r="A27" s="75">
        <v>24</v>
      </c>
      <c r="B27" s="75">
        <v>754794</v>
      </c>
      <c r="C27" s="77" t="s">
        <v>597</v>
      </c>
      <c r="D27" s="77" t="s">
        <v>277</v>
      </c>
      <c r="E27" s="75" t="s">
        <v>26</v>
      </c>
      <c r="F27" s="80">
        <v>26816</v>
      </c>
      <c r="G27" s="77" t="s">
        <v>593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26.25" customHeight="1" x14ac:dyDescent="0.25">
      <c r="A28" s="75">
        <v>25</v>
      </c>
      <c r="B28" s="75">
        <v>663855</v>
      </c>
      <c r="C28" s="77" t="s">
        <v>598</v>
      </c>
      <c r="D28" s="77" t="s">
        <v>25</v>
      </c>
      <c r="E28" s="75" t="s">
        <v>26</v>
      </c>
      <c r="F28" s="80">
        <v>24064</v>
      </c>
      <c r="G28" s="77" t="s">
        <v>593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26.25" customHeight="1" x14ac:dyDescent="0.25">
      <c r="A29" s="75">
        <v>26</v>
      </c>
      <c r="B29" s="75">
        <v>411896</v>
      </c>
      <c r="C29" s="77" t="s">
        <v>599</v>
      </c>
      <c r="D29" s="77" t="s">
        <v>277</v>
      </c>
      <c r="E29" s="75" t="s">
        <v>26</v>
      </c>
      <c r="F29" s="80">
        <v>23910</v>
      </c>
      <c r="G29" s="77" t="s">
        <v>593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26.25" customHeight="1" x14ac:dyDescent="0.25">
      <c r="A30" s="75">
        <v>27</v>
      </c>
      <c r="B30" s="75">
        <v>361662</v>
      </c>
      <c r="C30" s="77" t="s">
        <v>600</v>
      </c>
      <c r="D30" s="77" t="s">
        <v>277</v>
      </c>
      <c r="E30" s="75" t="s">
        <v>26</v>
      </c>
      <c r="F30" s="80">
        <v>31281</v>
      </c>
      <c r="G30" s="77" t="s">
        <v>593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26.25" customHeight="1" x14ac:dyDescent="0.25">
      <c r="A31" s="75">
        <v>28</v>
      </c>
      <c r="B31" s="75">
        <v>621117</v>
      </c>
      <c r="C31" s="77" t="s">
        <v>601</v>
      </c>
      <c r="D31" s="77" t="s">
        <v>331</v>
      </c>
      <c r="E31" s="75" t="s">
        <v>26</v>
      </c>
      <c r="F31" s="80">
        <v>25257</v>
      </c>
      <c r="G31" s="77" t="s">
        <v>602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26.25" customHeight="1" x14ac:dyDescent="0.25">
      <c r="A32" s="75">
        <v>29</v>
      </c>
      <c r="B32" s="75">
        <v>155534</v>
      </c>
      <c r="C32" s="77" t="s">
        <v>603</v>
      </c>
      <c r="D32" s="77" t="s">
        <v>89</v>
      </c>
      <c r="E32" s="75" t="s">
        <v>26</v>
      </c>
      <c r="F32" s="80">
        <v>26096</v>
      </c>
      <c r="G32" s="77" t="s">
        <v>604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26.25" customHeight="1" x14ac:dyDescent="0.25">
      <c r="A33" s="75">
        <v>30</v>
      </c>
      <c r="B33" s="75">
        <v>157158</v>
      </c>
      <c r="C33" s="77" t="s">
        <v>605</v>
      </c>
      <c r="D33" s="77" t="s">
        <v>463</v>
      </c>
      <c r="E33" s="75" t="s">
        <v>26</v>
      </c>
      <c r="F33" s="80">
        <v>26096</v>
      </c>
      <c r="G33" s="77" t="s">
        <v>604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26.25" customHeight="1" x14ac:dyDescent="0.25">
      <c r="A34" s="75">
        <v>31</v>
      </c>
      <c r="B34" s="75">
        <v>989741</v>
      </c>
      <c r="C34" s="77" t="s">
        <v>606</v>
      </c>
      <c r="D34" s="77" t="s">
        <v>32</v>
      </c>
      <c r="E34" s="75" t="s">
        <v>18</v>
      </c>
      <c r="F34" s="80">
        <v>29161</v>
      </c>
      <c r="G34" s="77" t="s">
        <v>604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26.25" customHeight="1" x14ac:dyDescent="0.25">
      <c r="A35" s="75">
        <v>32</v>
      </c>
      <c r="B35" s="75">
        <v>195149</v>
      </c>
      <c r="C35" s="77" t="s">
        <v>607</v>
      </c>
      <c r="D35" s="77" t="s">
        <v>25</v>
      </c>
      <c r="E35" s="75" t="s">
        <v>26</v>
      </c>
      <c r="F35" s="80">
        <v>30009</v>
      </c>
      <c r="G35" s="77" t="s">
        <v>604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26.25" customHeight="1" x14ac:dyDescent="0.25">
      <c r="A36" s="75">
        <v>33</v>
      </c>
      <c r="B36" s="75">
        <v>750145</v>
      </c>
      <c r="C36" s="77" t="s">
        <v>608</v>
      </c>
      <c r="D36" s="77" t="s">
        <v>58</v>
      </c>
      <c r="E36" s="75" t="s">
        <v>26</v>
      </c>
      <c r="F36" s="80">
        <v>22581</v>
      </c>
      <c r="G36" s="77" t="s">
        <v>604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26.25" customHeight="1" x14ac:dyDescent="0.25">
      <c r="A37" s="75">
        <v>34</v>
      </c>
      <c r="B37" s="75">
        <v>355729</v>
      </c>
      <c r="C37" s="77" t="s">
        <v>609</v>
      </c>
      <c r="D37" s="77" t="s">
        <v>190</v>
      </c>
      <c r="E37" s="75" t="s">
        <v>18</v>
      </c>
      <c r="F37" s="80">
        <v>30387</v>
      </c>
      <c r="G37" s="77" t="s">
        <v>604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26.25" customHeight="1" x14ac:dyDescent="0.25">
      <c r="A38" s="75">
        <v>35</v>
      </c>
      <c r="B38" s="75">
        <v>710924</v>
      </c>
      <c r="C38" s="77" t="s">
        <v>610</v>
      </c>
      <c r="D38" s="77" t="s">
        <v>277</v>
      </c>
      <c r="E38" s="75" t="s">
        <v>26</v>
      </c>
      <c r="F38" s="80">
        <v>27400</v>
      </c>
      <c r="G38" s="77" t="s">
        <v>604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26.25" customHeight="1" x14ac:dyDescent="0.25">
      <c r="A39" s="75">
        <v>36</v>
      </c>
      <c r="B39" s="75">
        <v>535586</v>
      </c>
      <c r="C39" s="77" t="s">
        <v>611</v>
      </c>
      <c r="D39" s="77" t="s">
        <v>331</v>
      </c>
      <c r="E39" s="75" t="s">
        <v>26</v>
      </c>
      <c r="F39" s="80">
        <v>26283</v>
      </c>
      <c r="G39" s="77" t="s">
        <v>604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26.25" customHeight="1" x14ac:dyDescent="0.25">
      <c r="A40" s="75">
        <v>37</v>
      </c>
      <c r="B40" s="75">
        <v>384668</v>
      </c>
      <c r="C40" s="77" t="s">
        <v>612</v>
      </c>
      <c r="D40" s="77" t="s">
        <v>331</v>
      </c>
      <c r="E40" s="75" t="s">
        <v>26</v>
      </c>
      <c r="F40" s="80">
        <v>32980</v>
      </c>
      <c r="G40" s="77" t="s">
        <v>604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26.25" customHeight="1" x14ac:dyDescent="0.25">
      <c r="A41" s="75">
        <v>38</v>
      </c>
      <c r="B41" s="75">
        <v>308003</v>
      </c>
      <c r="C41" s="77" t="s">
        <v>613</v>
      </c>
      <c r="D41" s="77" t="s">
        <v>277</v>
      </c>
      <c r="E41" s="75" t="s">
        <v>26</v>
      </c>
      <c r="F41" s="80">
        <v>29249</v>
      </c>
      <c r="G41" s="77" t="s">
        <v>604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26.25" customHeight="1" x14ac:dyDescent="0.25">
      <c r="A42" s="75">
        <v>39</v>
      </c>
      <c r="B42" s="75">
        <v>847107</v>
      </c>
      <c r="C42" s="77" t="s">
        <v>614</v>
      </c>
      <c r="D42" s="77" t="s">
        <v>277</v>
      </c>
      <c r="E42" s="75" t="s">
        <v>26</v>
      </c>
      <c r="F42" s="80">
        <v>26144</v>
      </c>
      <c r="G42" s="77" t="s">
        <v>604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26.25" customHeight="1" x14ac:dyDescent="0.25">
      <c r="A43" s="75">
        <v>40</v>
      </c>
      <c r="B43" s="75">
        <v>478712</v>
      </c>
      <c r="C43" s="77" t="s">
        <v>615</v>
      </c>
      <c r="D43" s="77" t="s">
        <v>58</v>
      </c>
      <c r="E43" s="75" t="s">
        <v>26</v>
      </c>
      <c r="F43" s="80">
        <v>27375</v>
      </c>
      <c r="G43" s="77" t="s">
        <v>604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26.25" customHeight="1" x14ac:dyDescent="0.25">
      <c r="A44" s="75">
        <v>41</v>
      </c>
      <c r="B44" s="75">
        <v>571421</v>
      </c>
      <c r="C44" s="77" t="s">
        <v>616</v>
      </c>
      <c r="D44" s="77" t="s">
        <v>575</v>
      </c>
      <c r="E44" s="75" t="s">
        <v>26</v>
      </c>
      <c r="F44" s="80">
        <v>33210</v>
      </c>
      <c r="G44" s="77" t="s">
        <v>604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26.25" customHeight="1" x14ac:dyDescent="0.25">
      <c r="A45" s="75">
        <v>42</v>
      </c>
      <c r="B45" s="75">
        <v>662602</v>
      </c>
      <c r="C45" s="77" t="s">
        <v>617</v>
      </c>
      <c r="D45" s="77" t="s">
        <v>331</v>
      </c>
      <c r="E45" s="75" t="s">
        <v>18</v>
      </c>
      <c r="F45" s="80">
        <v>26332</v>
      </c>
      <c r="G45" s="77" t="s">
        <v>604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26.25" customHeight="1" x14ac:dyDescent="0.25">
      <c r="A46" s="75">
        <v>43</v>
      </c>
      <c r="B46" s="75">
        <v>891365</v>
      </c>
      <c r="C46" s="77" t="s">
        <v>618</v>
      </c>
      <c r="D46" s="77" t="s">
        <v>331</v>
      </c>
      <c r="E46" s="75" t="s">
        <v>26</v>
      </c>
      <c r="F46" s="80">
        <v>30161</v>
      </c>
      <c r="G46" s="77" t="s">
        <v>604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27" customHeight="1" x14ac:dyDescent="0.2">
      <c r="A47" s="75">
        <v>44</v>
      </c>
      <c r="B47" s="75">
        <v>587949</v>
      </c>
      <c r="C47" s="77" t="s">
        <v>619</v>
      </c>
      <c r="D47" s="81" t="s">
        <v>101</v>
      </c>
      <c r="E47" s="75" t="s">
        <v>18</v>
      </c>
      <c r="F47" s="80">
        <v>34982</v>
      </c>
      <c r="G47" s="77" t="s">
        <v>568</v>
      </c>
    </row>
    <row r="48" spans="1:26" ht="27" customHeight="1" x14ac:dyDescent="0.2">
      <c r="A48" s="75">
        <v>45</v>
      </c>
      <c r="B48" s="75">
        <v>801762</v>
      </c>
      <c r="C48" s="77" t="s">
        <v>620</v>
      </c>
      <c r="D48" s="81" t="s">
        <v>80</v>
      </c>
      <c r="E48" s="75" t="s">
        <v>18</v>
      </c>
      <c r="F48" s="80">
        <v>22849</v>
      </c>
      <c r="G48" s="77" t="s">
        <v>568</v>
      </c>
    </row>
    <row r="49" spans="1:26" ht="13.5" x14ac:dyDescent="0.2">
      <c r="A49" s="134" t="s">
        <v>106</v>
      </c>
      <c r="B49" s="127"/>
      <c r="C49" s="127"/>
      <c r="D49" s="127"/>
      <c r="E49" s="127"/>
      <c r="F49" s="127"/>
      <c r="G49" s="128"/>
    </row>
    <row r="50" spans="1:26" ht="13.5" x14ac:dyDescent="0.25">
      <c r="A50" s="16"/>
      <c r="B50" s="16"/>
      <c r="C50" s="17"/>
      <c r="D50" s="18"/>
      <c r="E50" s="16"/>
      <c r="F50" s="82"/>
      <c r="G50" s="17"/>
    </row>
    <row r="51" spans="1:26" ht="26.25" customHeight="1" x14ac:dyDescent="0.2">
      <c r="A51" s="135" t="s">
        <v>3</v>
      </c>
      <c r="B51" s="127"/>
      <c r="C51" s="127"/>
      <c r="D51" s="127"/>
      <c r="E51" s="127"/>
      <c r="F51" s="127"/>
      <c r="G51" s="12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customHeight="1" x14ac:dyDescent="0.2">
      <c r="A52" s="83" t="s">
        <v>9</v>
      </c>
      <c r="B52" s="83" t="s">
        <v>10</v>
      </c>
      <c r="C52" s="83" t="s">
        <v>11</v>
      </c>
      <c r="D52" s="84" t="s">
        <v>12</v>
      </c>
      <c r="E52" s="83" t="s">
        <v>13</v>
      </c>
      <c r="F52" s="85" t="s">
        <v>14</v>
      </c>
      <c r="G52" s="83" t="s">
        <v>15</v>
      </c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spans="1:26" ht="26.25" customHeight="1" x14ac:dyDescent="0.2">
      <c r="A53" s="75">
        <v>1</v>
      </c>
      <c r="B53" s="75">
        <v>480488</v>
      </c>
      <c r="C53" s="77" t="s">
        <v>621</v>
      </c>
      <c r="D53" s="77" t="s">
        <v>622</v>
      </c>
      <c r="E53" s="75" t="s">
        <v>26</v>
      </c>
      <c r="F53" s="80">
        <v>36142</v>
      </c>
      <c r="G53" s="77" t="s">
        <v>568</v>
      </c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spans="1:26" ht="26.25" customHeight="1" x14ac:dyDescent="0.2">
      <c r="A54" s="75">
        <v>2</v>
      </c>
      <c r="B54" s="75">
        <v>643529</v>
      </c>
      <c r="C54" s="77" t="s">
        <v>623</v>
      </c>
      <c r="D54" s="77" t="s">
        <v>101</v>
      </c>
      <c r="E54" s="75" t="s">
        <v>18</v>
      </c>
      <c r="F54" s="80">
        <v>35766</v>
      </c>
      <c r="G54" s="77" t="s">
        <v>568</v>
      </c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spans="1:26" ht="26.25" customHeight="1" x14ac:dyDescent="0.2">
      <c r="A55" s="75">
        <v>3</v>
      </c>
      <c r="B55" s="75">
        <v>259062</v>
      </c>
      <c r="C55" s="77" t="s">
        <v>624</v>
      </c>
      <c r="D55" s="77" t="s">
        <v>29</v>
      </c>
      <c r="E55" s="75" t="s">
        <v>26</v>
      </c>
      <c r="F55" s="80">
        <v>33277</v>
      </c>
      <c r="G55" s="77" t="s">
        <v>568</v>
      </c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spans="1:26" ht="26.25" customHeight="1" x14ac:dyDescent="0.2">
      <c r="A56" s="75">
        <v>4</v>
      </c>
      <c r="B56" s="75">
        <v>186295</v>
      </c>
      <c r="C56" s="77" t="s">
        <v>625</v>
      </c>
      <c r="D56" s="77" t="s">
        <v>35</v>
      </c>
      <c r="E56" s="75" t="s">
        <v>26</v>
      </c>
      <c r="F56" s="80">
        <v>26640</v>
      </c>
      <c r="G56" s="77" t="s">
        <v>568</v>
      </c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spans="1:26" ht="26.25" customHeight="1" x14ac:dyDescent="0.2">
      <c r="A57" s="75">
        <v>5</v>
      </c>
      <c r="B57" s="75">
        <v>277263</v>
      </c>
      <c r="C57" s="77" t="s">
        <v>626</v>
      </c>
      <c r="D57" s="77" t="s">
        <v>627</v>
      </c>
      <c r="E57" s="75" t="s">
        <v>18</v>
      </c>
      <c r="F57" s="80">
        <v>35654</v>
      </c>
      <c r="G57" s="77" t="s">
        <v>568</v>
      </c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spans="1:26" ht="26.25" customHeight="1" x14ac:dyDescent="0.2">
      <c r="A58" s="75">
        <v>6</v>
      </c>
      <c r="B58" s="87">
        <v>954708</v>
      </c>
      <c r="C58" s="77" t="s">
        <v>628</v>
      </c>
      <c r="D58" s="77" t="s">
        <v>217</v>
      </c>
      <c r="E58" s="75" t="s">
        <v>26</v>
      </c>
      <c r="F58" s="80">
        <v>36802</v>
      </c>
      <c r="G58" s="77" t="s">
        <v>568</v>
      </c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spans="1:26" ht="26.25" customHeight="1" x14ac:dyDescent="0.2">
      <c r="A59" s="75">
        <v>7</v>
      </c>
      <c r="B59" s="75">
        <v>522588</v>
      </c>
      <c r="C59" s="77" t="s">
        <v>629</v>
      </c>
      <c r="D59" s="78" t="s">
        <v>29</v>
      </c>
      <c r="E59" s="75" t="s">
        <v>26</v>
      </c>
      <c r="F59" s="80">
        <v>33862</v>
      </c>
      <c r="G59" s="77" t="s">
        <v>568</v>
      </c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spans="1:26" ht="26.25" customHeight="1" x14ac:dyDescent="0.2">
      <c r="A60" s="75">
        <v>8</v>
      </c>
      <c r="B60" s="75">
        <v>241341</v>
      </c>
      <c r="C60" s="77" t="s">
        <v>630</v>
      </c>
      <c r="D60" s="77" t="s">
        <v>89</v>
      </c>
      <c r="E60" s="75" t="s">
        <v>26</v>
      </c>
      <c r="F60" s="80">
        <v>35296</v>
      </c>
      <c r="G60" s="77" t="s">
        <v>568</v>
      </c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spans="1:26" ht="26.25" customHeight="1" x14ac:dyDescent="0.2">
      <c r="A61" s="75">
        <v>9</v>
      </c>
      <c r="B61" s="75">
        <v>629251</v>
      </c>
      <c r="C61" s="77" t="s">
        <v>631</v>
      </c>
      <c r="D61" s="77" t="s">
        <v>158</v>
      </c>
      <c r="E61" s="75" t="s">
        <v>26</v>
      </c>
      <c r="F61" s="80">
        <v>37758</v>
      </c>
      <c r="G61" s="77" t="s">
        <v>568</v>
      </c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spans="1:26" ht="26.25" customHeight="1" x14ac:dyDescent="0.2">
      <c r="A62" s="75">
        <v>10</v>
      </c>
      <c r="B62" s="75">
        <v>230274</v>
      </c>
      <c r="C62" s="77" t="s">
        <v>632</v>
      </c>
      <c r="D62" s="77" t="s">
        <v>101</v>
      </c>
      <c r="E62" s="75" t="s">
        <v>26</v>
      </c>
      <c r="F62" s="80">
        <v>33939</v>
      </c>
      <c r="G62" s="77" t="s">
        <v>568</v>
      </c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spans="1:26" ht="26.25" customHeight="1" x14ac:dyDescent="0.2">
      <c r="A63" s="75">
        <v>11</v>
      </c>
      <c r="B63" s="75">
        <v>684033</v>
      </c>
      <c r="C63" s="77" t="s">
        <v>633</v>
      </c>
      <c r="D63" s="77" t="s">
        <v>29</v>
      </c>
      <c r="E63" s="75" t="s">
        <v>26</v>
      </c>
      <c r="F63" s="80">
        <v>33520</v>
      </c>
      <c r="G63" s="77" t="s">
        <v>568</v>
      </c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spans="1:26" ht="26.25" customHeight="1" x14ac:dyDescent="0.2">
      <c r="A64" s="75">
        <v>12</v>
      </c>
      <c r="B64" s="75">
        <v>118238</v>
      </c>
      <c r="C64" s="77" t="s">
        <v>634</v>
      </c>
      <c r="D64" s="77" t="s">
        <v>328</v>
      </c>
      <c r="E64" s="75" t="s">
        <v>26</v>
      </c>
      <c r="F64" s="80">
        <v>33298</v>
      </c>
      <c r="G64" s="77" t="s">
        <v>568</v>
      </c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spans="1:26" ht="26.25" customHeight="1" x14ac:dyDescent="0.2">
      <c r="A65" s="75">
        <v>13</v>
      </c>
      <c r="B65" s="75">
        <v>984801</v>
      </c>
      <c r="C65" s="77" t="s">
        <v>635</v>
      </c>
      <c r="D65" s="77" t="s">
        <v>29</v>
      </c>
      <c r="E65" s="75" t="s">
        <v>18</v>
      </c>
      <c r="F65" s="80">
        <v>33980</v>
      </c>
      <c r="G65" s="77" t="s">
        <v>568</v>
      </c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spans="1:26" ht="26.25" customHeight="1" x14ac:dyDescent="0.2">
      <c r="A66" s="75">
        <v>14</v>
      </c>
      <c r="B66" s="75">
        <v>439193</v>
      </c>
      <c r="C66" s="77" t="s">
        <v>636</v>
      </c>
      <c r="D66" s="77" t="s">
        <v>222</v>
      </c>
      <c r="E66" s="75" t="s">
        <v>26</v>
      </c>
      <c r="F66" s="80">
        <v>29150</v>
      </c>
      <c r="G66" s="77" t="s">
        <v>568</v>
      </c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spans="1:26" ht="26.25" customHeight="1" x14ac:dyDescent="0.2">
      <c r="A67" s="75">
        <v>15</v>
      </c>
      <c r="B67" s="75">
        <v>344772</v>
      </c>
      <c r="C67" s="77" t="s">
        <v>637</v>
      </c>
      <c r="D67" s="77" t="s">
        <v>113</v>
      </c>
      <c r="E67" s="75" t="s">
        <v>26</v>
      </c>
      <c r="F67" s="80">
        <v>29608</v>
      </c>
      <c r="G67" s="77" t="s">
        <v>568</v>
      </c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spans="1:26" ht="26.25" customHeight="1" x14ac:dyDescent="0.2">
      <c r="A68" s="75">
        <v>16</v>
      </c>
      <c r="B68" s="75">
        <v>339273</v>
      </c>
      <c r="C68" s="77" t="s">
        <v>638</v>
      </c>
      <c r="D68" s="77" t="s">
        <v>32</v>
      </c>
      <c r="E68" s="75" t="s">
        <v>18</v>
      </c>
      <c r="F68" s="80">
        <v>33865</v>
      </c>
      <c r="G68" s="77" t="s">
        <v>568</v>
      </c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spans="1:26" ht="26.25" customHeight="1" x14ac:dyDescent="0.2">
      <c r="A69" s="75">
        <v>17</v>
      </c>
      <c r="B69" s="75">
        <v>824695</v>
      </c>
      <c r="C69" s="77" t="s">
        <v>639</v>
      </c>
      <c r="D69" s="77" t="s">
        <v>29</v>
      </c>
      <c r="E69" s="75" t="s">
        <v>18</v>
      </c>
      <c r="F69" s="80">
        <v>35420</v>
      </c>
      <c r="G69" s="77" t="s">
        <v>568</v>
      </c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spans="1:26" ht="26.25" customHeight="1" x14ac:dyDescent="0.2">
      <c r="A70" s="75">
        <v>18</v>
      </c>
      <c r="B70" s="75">
        <v>746689</v>
      </c>
      <c r="C70" s="77" t="s">
        <v>640</v>
      </c>
      <c r="D70" s="77" t="s">
        <v>53</v>
      </c>
      <c r="E70" s="75" t="s">
        <v>18</v>
      </c>
      <c r="F70" s="80">
        <v>36191</v>
      </c>
      <c r="G70" s="77" t="s">
        <v>568</v>
      </c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spans="1:26" ht="26.25" customHeight="1" x14ac:dyDescent="0.2">
      <c r="A71" s="75">
        <v>19</v>
      </c>
      <c r="B71" s="75">
        <v>299828</v>
      </c>
      <c r="C71" s="77" t="s">
        <v>641</v>
      </c>
      <c r="D71" s="77" t="s">
        <v>32</v>
      </c>
      <c r="E71" s="75" t="s">
        <v>18</v>
      </c>
      <c r="F71" s="80">
        <v>36443</v>
      </c>
      <c r="G71" s="77" t="s">
        <v>568</v>
      </c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spans="1:26" ht="26.25" customHeight="1" x14ac:dyDescent="0.2">
      <c r="A72" s="75">
        <v>20</v>
      </c>
      <c r="B72" s="75">
        <v>458123</v>
      </c>
      <c r="C72" s="77" t="s">
        <v>642</v>
      </c>
      <c r="D72" s="77" t="s">
        <v>22</v>
      </c>
      <c r="E72" s="75" t="s">
        <v>18</v>
      </c>
      <c r="F72" s="80">
        <v>35172</v>
      </c>
      <c r="G72" s="77" t="s">
        <v>568</v>
      </c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spans="1:26" ht="26.25" customHeight="1" x14ac:dyDescent="0.2">
      <c r="A73" s="75">
        <v>21</v>
      </c>
      <c r="B73" s="75">
        <v>409052</v>
      </c>
      <c r="C73" s="77" t="s">
        <v>643</v>
      </c>
      <c r="D73" s="77" t="s">
        <v>222</v>
      </c>
      <c r="E73" s="75" t="s">
        <v>26</v>
      </c>
      <c r="F73" s="80">
        <v>33843</v>
      </c>
      <c r="G73" s="77" t="s">
        <v>568</v>
      </c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spans="1:26" ht="26.25" customHeight="1" x14ac:dyDescent="0.2">
      <c r="A74" s="75">
        <v>22</v>
      </c>
      <c r="B74" s="75">
        <v>662605</v>
      </c>
      <c r="C74" s="77" t="s">
        <v>644</v>
      </c>
      <c r="D74" s="77" t="s">
        <v>222</v>
      </c>
      <c r="E74" s="75" t="s">
        <v>26</v>
      </c>
      <c r="F74" s="80">
        <v>33843</v>
      </c>
      <c r="G74" s="77" t="s">
        <v>568</v>
      </c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spans="1:26" ht="26.25" customHeight="1" x14ac:dyDescent="0.2">
      <c r="A75" s="75">
        <v>23</v>
      </c>
      <c r="B75" s="75">
        <v>967193</v>
      </c>
      <c r="C75" s="77" t="s">
        <v>645</v>
      </c>
      <c r="D75" s="77" t="s">
        <v>646</v>
      </c>
      <c r="E75" s="75" t="s">
        <v>18</v>
      </c>
      <c r="F75" s="80">
        <v>27279</v>
      </c>
      <c r="G75" s="77" t="s">
        <v>568</v>
      </c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spans="1:26" ht="26.25" customHeight="1" x14ac:dyDescent="0.2">
      <c r="A76" s="75">
        <v>24</v>
      </c>
      <c r="B76" s="75">
        <v>888017</v>
      </c>
      <c r="C76" s="77" t="s">
        <v>647</v>
      </c>
      <c r="D76" s="77" t="s">
        <v>101</v>
      </c>
      <c r="E76" s="75" t="s">
        <v>18</v>
      </c>
      <c r="F76" s="80">
        <v>36940</v>
      </c>
      <c r="G76" s="77" t="s">
        <v>568</v>
      </c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spans="1:26" ht="26.25" customHeight="1" x14ac:dyDescent="0.2">
      <c r="A77" s="75">
        <v>25</v>
      </c>
      <c r="B77" s="75">
        <v>625326</v>
      </c>
      <c r="C77" s="77" t="s">
        <v>648</v>
      </c>
      <c r="D77" s="77" t="s">
        <v>288</v>
      </c>
      <c r="E77" s="75" t="s">
        <v>26</v>
      </c>
      <c r="F77" s="80">
        <v>33893</v>
      </c>
      <c r="G77" s="77" t="s">
        <v>568</v>
      </c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spans="1:26" ht="26.25" customHeight="1" x14ac:dyDescent="0.2">
      <c r="A78" s="75">
        <v>26</v>
      </c>
      <c r="B78" s="75">
        <v>805076</v>
      </c>
      <c r="C78" s="77" t="s">
        <v>649</v>
      </c>
      <c r="D78" s="77" t="s">
        <v>29</v>
      </c>
      <c r="E78" s="75" t="s">
        <v>18</v>
      </c>
      <c r="F78" s="80">
        <v>36709</v>
      </c>
      <c r="G78" s="77" t="s">
        <v>568</v>
      </c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spans="1:26" ht="26.25" customHeight="1" x14ac:dyDescent="0.2">
      <c r="A79" s="75">
        <v>27</v>
      </c>
      <c r="B79" s="87">
        <v>231389</v>
      </c>
      <c r="C79" s="77" t="s">
        <v>650</v>
      </c>
      <c r="D79" s="77" t="s">
        <v>244</v>
      </c>
      <c r="E79" s="75" t="s">
        <v>26</v>
      </c>
      <c r="F79" s="80">
        <v>37185</v>
      </c>
      <c r="G79" s="77" t="s">
        <v>568</v>
      </c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spans="1:26" ht="26.25" customHeight="1" x14ac:dyDescent="0.2">
      <c r="A80" s="75">
        <v>28</v>
      </c>
      <c r="B80" s="75">
        <v>540080</v>
      </c>
      <c r="C80" s="77" t="s">
        <v>651</v>
      </c>
      <c r="D80" s="77" t="s">
        <v>104</v>
      </c>
      <c r="E80" s="75" t="s">
        <v>26</v>
      </c>
      <c r="F80" s="80">
        <v>31341</v>
      </c>
      <c r="G80" s="77" t="s">
        <v>568</v>
      </c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spans="1:26" ht="26.25" customHeight="1" x14ac:dyDescent="0.2">
      <c r="A81" s="75">
        <v>29</v>
      </c>
      <c r="B81" s="75">
        <v>987683</v>
      </c>
      <c r="C81" s="77" t="s">
        <v>652</v>
      </c>
      <c r="D81" s="77" t="s">
        <v>222</v>
      </c>
      <c r="E81" s="75" t="s">
        <v>26</v>
      </c>
      <c r="F81" s="80">
        <v>27763</v>
      </c>
      <c r="G81" s="77" t="s">
        <v>568</v>
      </c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spans="1:26" ht="26.25" customHeight="1" x14ac:dyDescent="0.2">
      <c r="A82" s="75">
        <v>30</v>
      </c>
      <c r="B82" s="75">
        <v>980084</v>
      </c>
      <c r="C82" s="77" t="s">
        <v>653</v>
      </c>
      <c r="D82" s="77" t="s">
        <v>101</v>
      </c>
      <c r="E82" s="75" t="s">
        <v>18</v>
      </c>
      <c r="F82" s="80">
        <v>35835</v>
      </c>
      <c r="G82" s="77" t="s">
        <v>568</v>
      </c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spans="1:26" ht="26.25" customHeight="1" x14ac:dyDescent="0.2">
      <c r="A83" s="75">
        <v>31</v>
      </c>
      <c r="B83" s="75">
        <v>197372</v>
      </c>
      <c r="C83" s="77" t="s">
        <v>654</v>
      </c>
      <c r="D83" s="77" t="s">
        <v>655</v>
      </c>
      <c r="E83" s="75" t="s">
        <v>26</v>
      </c>
      <c r="F83" s="80">
        <v>35901</v>
      </c>
      <c r="G83" s="77" t="s">
        <v>568</v>
      </c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spans="1:26" ht="26.25" customHeight="1" x14ac:dyDescent="0.2">
      <c r="A84" s="75">
        <v>32</v>
      </c>
      <c r="B84" s="75">
        <v>223976</v>
      </c>
      <c r="C84" s="77" t="s">
        <v>656</v>
      </c>
      <c r="D84" s="77" t="s">
        <v>35</v>
      </c>
      <c r="E84" s="75" t="s">
        <v>26</v>
      </c>
      <c r="F84" s="80">
        <v>31446</v>
      </c>
      <c r="G84" s="77" t="s">
        <v>568</v>
      </c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spans="1:26" ht="26.25" customHeight="1" x14ac:dyDescent="0.2">
      <c r="A85" s="75">
        <v>33</v>
      </c>
      <c r="B85" s="75">
        <v>878238</v>
      </c>
      <c r="C85" s="77" t="s">
        <v>657</v>
      </c>
      <c r="D85" s="77" t="s">
        <v>658</v>
      </c>
      <c r="E85" s="75" t="s">
        <v>18</v>
      </c>
      <c r="F85" s="80">
        <v>34594</v>
      </c>
      <c r="G85" s="77" t="s">
        <v>568</v>
      </c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spans="1:26" ht="25.5" customHeight="1" x14ac:dyDescent="0.2">
      <c r="A86" s="75">
        <v>34</v>
      </c>
      <c r="B86" s="75">
        <v>255835</v>
      </c>
      <c r="C86" s="77" t="s">
        <v>659</v>
      </c>
      <c r="D86" s="77" t="s">
        <v>29</v>
      </c>
      <c r="E86" s="75" t="s">
        <v>26</v>
      </c>
      <c r="F86" s="80">
        <v>26430</v>
      </c>
      <c r="G86" s="77" t="s">
        <v>568</v>
      </c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spans="1:26" ht="26.25" customHeight="1" x14ac:dyDescent="0.25">
      <c r="A87" s="75">
        <v>35</v>
      </c>
      <c r="B87" s="75">
        <v>981888</v>
      </c>
      <c r="C87" s="77" t="s">
        <v>660</v>
      </c>
      <c r="D87" s="77" t="s">
        <v>101</v>
      </c>
      <c r="E87" s="75" t="s">
        <v>26</v>
      </c>
      <c r="F87" s="80">
        <v>34405</v>
      </c>
      <c r="G87" s="77" t="s">
        <v>568</v>
      </c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spans="1:26" ht="26.25" customHeight="1" x14ac:dyDescent="0.2">
      <c r="A88" s="75">
        <v>36</v>
      </c>
      <c r="B88" s="75">
        <v>943884</v>
      </c>
      <c r="C88" s="77" t="s">
        <v>661</v>
      </c>
      <c r="D88" s="77" t="s">
        <v>131</v>
      </c>
      <c r="E88" s="75" t="s">
        <v>18</v>
      </c>
      <c r="F88" s="80">
        <v>35618</v>
      </c>
      <c r="G88" s="77" t="s">
        <v>568</v>
      </c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spans="1:26" ht="26.25" customHeight="1" x14ac:dyDescent="0.2">
      <c r="A89" s="75">
        <v>37</v>
      </c>
      <c r="B89" s="75">
        <v>952365</v>
      </c>
      <c r="C89" s="77" t="s">
        <v>662</v>
      </c>
      <c r="D89" s="77" t="s">
        <v>663</v>
      </c>
      <c r="E89" s="75" t="s">
        <v>26</v>
      </c>
      <c r="F89" s="80">
        <v>27151</v>
      </c>
      <c r="G89" s="77" t="s">
        <v>589</v>
      </c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spans="1:26" ht="26.25" customHeight="1" x14ac:dyDescent="0.2">
      <c r="A90" s="75">
        <v>38</v>
      </c>
      <c r="B90" s="75">
        <v>577966</v>
      </c>
      <c r="C90" s="77" t="s">
        <v>664</v>
      </c>
      <c r="D90" s="77" t="s">
        <v>35</v>
      </c>
      <c r="E90" s="75" t="s">
        <v>26</v>
      </c>
      <c r="F90" s="80">
        <v>25201</v>
      </c>
      <c r="G90" s="77" t="s">
        <v>589</v>
      </c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spans="1:26" ht="26.25" customHeight="1" x14ac:dyDescent="0.2">
      <c r="A91" s="75">
        <v>39</v>
      </c>
      <c r="B91" s="75">
        <v>189534</v>
      </c>
      <c r="C91" s="77" t="s">
        <v>665</v>
      </c>
      <c r="D91" s="77" t="s">
        <v>311</v>
      </c>
      <c r="E91" s="75" t="s">
        <v>18</v>
      </c>
      <c r="F91" s="80">
        <v>31831</v>
      </c>
      <c r="G91" s="77" t="s">
        <v>589</v>
      </c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spans="1:26" ht="26.25" customHeight="1" x14ac:dyDescent="0.2">
      <c r="A92" s="75">
        <v>40</v>
      </c>
      <c r="B92" s="75">
        <v>290812</v>
      </c>
      <c r="C92" s="77" t="s">
        <v>666</v>
      </c>
      <c r="D92" s="77" t="s">
        <v>663</v>
      </c>
      <c r="E92" s="75" t="s">
        <v>26</v>
      </c>
      <c r="F92" s="80">
        <v>34836</v>
      </c>
      <c r="G92" s="77" t="s">
        <v>593</v>
      </c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spans="1:26" ht="26.25" customHeight="1" x14ac:dyDescent="0.2">
      <c r="A93" s="75">
        <v>41</v>
      </c>
      <c r="B93" s="75">
        <v>737550</v>
      </c>
      <c r="C93" s="77" t="s">
        <v>667</v>
      </c>
      <c r="D93" s="77" t="s">
        <v>311</v>
      </c>
      <c r="E93" s="75" t="s">
        <v>26</v>
      </c>
      <c r="F93" s="80">
        <v>30203</v>
      </c>
      <c r="G93" s="77" t="s">
        <v>593</v>
      </c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spans="1:26" ht="26.25" customHeight="1" x14ac:dyDescent="0.2">
      <c r="A94" s="75">
        <v>42</v>
      </c>
      <c r="B94" s="75">
        <v>411593</v>
      </c>
      <c r="C94" s="77" t="s">
        <v>668</v>
      </c>
      <c r="D94" s="77" t="s">
        <v>311</v>
      </c>
      <c r="E94" s="75" t="s">
        <v>18</v>
      </c>
      <c r="F94" s="80">
        <v>27086</v>
      </c>
      <c r="G94" s="77" t="s">
        <v>602</v>
      </c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spans="1:26" ht="26.25" customHeight="1" x14ac:dyDescent="0.2">
      <c r="A95" s="75">
        <v>43</v>
      </c>
      <c r="B95" s="75">
        <v>324800</v>
      </c>
      <c r="C95" s="77" t="s">
        <v>669</v>
      </c>
      <c r="D95" s="77" t="s">
        <v>35</v>
      </c>
      <c r="E95" s="75" t="s">
        <v>26</v>
      </c>
      <c r="F95" s="80">
        <v>31042</v>
      </c>
      <c r="G95" s="77" t="s">
        <v>602</v>
      </c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spans="1:26" ht="26.25" customHeight="1" x14ac:dyDescent="0.2">
      <c r="A96" s="75">
        <v>44</v>
      </c>
      <c r="B96" s="75">
        <v>194712</v>
      </c>
      <c r="C96" s="77" t="s">
        <v>670</v>
      </c>
      <c r="D96" s="77" t="s">
        <v>663</v>
      </c>
      <c r="E96" s="75" t="s">
        <v>26</v>
      </c>
      <c r="F96" s="80">
        <v>34441</v>
      </c>
      <c r="G96" s="77" t="s">
        <v>602</v>
      </c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spans="1:26" ht="26.25" customHeight="1" x14ac:dyDescent="0.2">
      <c r="A97" s="75">
        <v>45</v>
      </c>
      <c r="B97" s="75">
        <v>433481</v>
      </c>
      <c r="C97" s="77" t="s">
        <v>671</v>
      </c>
      <c r="D97" s="77" t="s">
        <v>663</v>
      </c>
      <c r="E97" s="75" t="s">
        <v>26</v>
      </c>
      <c r="F97" s="80">
        <v>30399</v>
      </c>
      <c r="G97" s="77" t="s">
        <v>604</v>
      </c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spans="1:26" ht="26.25" customHeight="1" x14ac:dyDescent="0.2">
      <c r="A98" s="75">
        <v>46</v>
      </c>
      <c r="B98" s="75">
        <v>286498</v>
      </c>
      <c r="C98" s="77" t="s">
        <v>672</v>
      </c>
      <c r="D98" s="77" t="s">
        <v>35</v>
      </c>
      <c r="E98" s="75" t="s">
        <v>26</v>
      </c>
      <c r="F98" s="80">
        <v>29921</v>
      </c>
      <c r="G98" s="77" t="s">
        <v>604</v>
      </c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spans="1:26" ht="13.5" x14ac:dyDescent="0.25">
      <c r="A99" s="126" t="s">
        <v>106</v>
      </c>
      <c r="B99" s="127"/>
      <c r="C99" s="127"/>
      <c r="D99" s="127"/>
      <c r="E99" s="127"/>
      <c r="F99" s="127"/>
      <c r="G99" s="128"/>
    </row>
    <row r="100" spans="1:26" ht="13.5" x14ac:dyDescent="0.25">
      <c r="A100" s="16"/>
      <c r="B100" s="16"/>
      <c r="C100" s="17"/>
      <c r="D100" s="18"/>
      <c r="E100" s="16"/>
      <c r="F100" s="82"/>
      <c r="G100" s="17"/>
    </row>
    <row r="101" spans="1:26" ht="26.25" customHeight="1" x14ac:dyDescent="0.2">
      <c r="A101" s="129" t="s">
        <v>4</v>
      </c>
      <c r="B101" s="127"/>
      <c r="C101" s="127"/>
      <c r="D101" s="127"/>
      <c r="E101" s="127"/>
      <c r="F101" s="127"/>
      <c r="G101" s="12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6.25" customHeight="1" x14ac:dyDescent="0.2">
      <c r="A102" s="2" t="s">
        <v>9</v>
      </c>
      <c r="B102" s="2" t="s">
        <v>10</v>
      </c>
      <c r="C102" s="2" t="s">
        <v>11</v>
      </c>
      <c r="D102" s="3" t="s">
        <v>12</v>
      </c>
      <c r="E102" s="2" t="s">
        <v>13</v>
      </c>
      <c r="F102" s="74" t="s">
        <v>14</v>
      </c>
      <c r="G102" s="2" t="s">
        <v>15</v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26.25" customHeight="1" x14ac:dyDescent="0.2">
      <c r="A103" s="65">
        <v>1</v>
      </c>
      <c r="B103" s="89">
        <v>657564</v>
      </c>
      <c r="C103" s="90" t="s">
        <v>673</v>
      </c>
      <c r="D103" s="90" t="s">
        <v>101</v>
      </c>
      <c r="E103" s="65" t="s">
        <v>18</v>
      </c>
      <c r="F103" s="91">
        <v>36675</v>
      </c>
      <c r="G103" s="77" t="s">
        <v>568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6.25" customHeight="1" x14ac:dyDescent="0.2">
      <c r="A104" s="65">
        <v>2</v>
      </c>
      <c r="B104" s="92">
        <v>863059</v>
      </c>
      <c r="C104" s="53" t="s">
        <v>674</v>
      </c>
      <c r="D104" s="53" t="s">
        <v>22</v>
      </c>
      <c r="E104" s="65" t="s">
        <v>26</v>
      </c>
      <c r="F104" s="93">
        <v>33960</v>
      </c>
      <c r="G104" s="77" t="s">
        <v>568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6.25" customHeight="1" x14ac:dyDescent="0.2">
      <c r="A105" s="65">
        <v>3</v>
      </c>
      <c r="B105" s="92">
        <v>654749</v>
      </c>
      <c r="C105" s="53" t="s">
        <v>675</v>
      </c>
      <c r="D105" s="53" t="s">
        <v>344</v>
      </c>
      <c r="E105" s="65" t="s">
        <v>18</v>
      </c>
      <c r="F105" s="93">
        <v>34090</v>
      </c>
      <c r="G105" s="77" t="s">
        <v>589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6.25" customHeight="1" x14ac:dyDescent="0.2">
      <c r="A106" s="65">
        <v>4</v>
      </c>
      <c r="B106" s="92">
        <v>381946</v>
      </c>
      <c r="C106" s="53" t="s">
        <v>676</v>
      </c>
      <c r="D106" s="53" t="s">
        <v>570</v>
      </c>
      <c r="E106" s="65" t="s">
        <v>26</v>
      </c>
      <c r="F106" s="94">
        <v>23315</v>
      </c>
      <c r="G106" s="77" t="s">
        <v>604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6.25" customHeight="1" x14ac:dyDescent="0.2">
      <c r="A107" s="65">
        <v>5</v>
      </c>
      <c r="B107" s="65">
        <v>827681</v>
      </c>
      <c r="C107" s="53" t="s">
        <v>677</v>
      </c>
      <c r="D107" s="95" t="s">
        <v>678</v>
      </c>
      <c r="E107" s="65" t="s">
        <v>26</v>
      </c>
      <c r="F107" s="96">
        <v>25449</v>
      </c>
      <c r="G107" s="77" t="s">
        <v>604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x14ac:dyDescent="0.25">
      <c r="A108" s="126" t="s">
        <v>106</v>
      </c>
      <c r="B108" s="127"/>
      <c r="C108" s="127"/>
      <c r="D108" s="127"/>
      <c r="E108" s="127"/>
      <c r="F108" s="127"/>
      <c r="G108" s="128"/>
    </row>
    <row r="109" spans="1:26" ht="13.5" x14ac:dyDescent="0.25">
      <c r="A109" s="16"/>
      <c r="B109" s="16"/>
      <c r="C109" s="17"/>
      <c r="D109" s="18"/>
      <c r="E109" s="16"/>
      <c r="F109" s="82"/>
      <c r="G109" s="17"/>
    </row>
    <row r="110" spans="1:26" ht="26.25" customHeight="1" x14ac:dyDescent="0.2">
      <c r="A110" s="136" t="s">
        <v>5</v>
      </c>
      <c r="B110" s="127"/>
      <c r="C110" s="127"/>
      <c r="D110" s="127"/>
      <c r="E110" s="127"/>
      <c r="F110" s="127"/>
      <c r="G110" s="12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6.25" customHeight="1" x14ac:dyDescent="0.2">
      <c r="A111" s="2" t="s">
        <v>9</v>
      </c>
      <c r="B111" s="2" t="s">
        <v>10</v>
      </c>
      <c r="C111" s="2" t="s">
        <v>11</v>
      </c>
      <c r="D111" s="3" t="s">
        <v>12</v>
      </c>
      <c r="E111" s="2" t="s">
        <v>13</v>
      </c>
      <c r="F111" s="74" t="s">
        <v>14</v>
      </c>
      <c r="G111" s="2" t="s">
        <v>15</v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26.25" customHeight="1" x14ac:dyDescent="0.2">
      <c r="A112" s="75">
        <v>1</v>
      </c>
      <c r="B112" s="75"/>
      <c r="C112" s="77" t="s">
        <v>679</v>
      </c>
      <c r="D112" s="78" t="s">
        <v>344</v>
      </c>
      <c r="E112" s="75" t="s">
        <v>18</v>
      </c>
      <c r="F112" s="80">
        <v>34789</v>
      </c>
      <c r="G112" s="77" t="s">
        <v>568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6.25" customHeight="1" x14ac:dyDescent="0.2">
      <c r="A113" s="75">
        <v>2</v>
      </c>
      <c r="B113" s="75"/>
      <c r="C113" s="77" t="s">
        <v>680</v>
      </c>
      <c r="D113" s="77" t="s">
        <v>681</v>
      </c>
      <c r="E113" s="75" t="s">
        <v>26</v>
      </c>
      <c r="F113" s="80">
        <v>23948</v>
      </c>
      <c r="G113" s="77" t="s">
        <v>568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6.25" customHeight="1" x14ac:dyDescent="0.2">
      <c r="A114" s="75">
        <v>3</v>
      </c>
      <c r="B114" s="75"/>
      <c r="C114" s="77" t="s">
        <v>682</v>
      </c>
      <c r="D114" s="77" t="s">
        <v>346</v>
      </c>
      <c r="E114" s="75" t="s">
        <v>26</v>
      </c>
      <c r="F114" s="80">
        <v>26280</v>
      </c>
      <c r="G114" s="77" t="s">
        <v>568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6.25" customHeight="1" x14ac:dyDescent="0.2">
      <c r="A115" s="75">
        <v>4</v>
      </c>
      <c r="B115" s="75"/>
      <c r="C115" s="77" t="s">
        <v>683</v>
      </c>
      <c r="D115" s="77" t="s">
        <v>219</v>
      </c>
      <c r="E115" s="75" t="s">
        <v>26</v>
      </c>
      <c r="F115" s="80">
        <v>25528</v>
      </c>
      <c r="G115" s="77" t="s">
        <v>568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6.25" customHeight="1" x14ac:dyDescent="0.2">
      <c r="A116" s="75">
        <v>5</v>
      </c>
      <c r="B116" s="75">
        <v>404630</v>
      </c>
      <c r="C116" s="77" t="s">
        <v>684</v>
      </c>
      <c r="D116" s="78" t="s">
        <v>344</v>
      </c>
      <c r="E116" s="75" t="s">
        <v>18</v>
      </c>
      <c r="F116" s="80">
        <v>30667</v>
      </c>
      <c r="G116" s="77" t="s">
        <v>568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6.25" customHeight="1" x14ac:dyDescent="0.2">
      <c r="A117" s="75">
        <v>6</v>
      </c>
      <c r="B117" s="75">
        <v>113566</v>
      </c>
      <c r="C117" s="77" t="s">
        <v>685</v>
      </c>
      <c r="D117" s="78" t="s">
        <v>98</v>
      </c>
      <c r="E117" s="75" t="s">
        <v>18</v>
      </c>
      <c r="F117" s="80">
        <v>24323</v>
      </c>
      <c r="G117" s="77" t="s">
        <v>568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6.25" customHeight="1" x14ac:dyDescent="0.2">
      <c r="A118" s="75">
        <v>7</v>
      </c>
      <c r="B118" s="75"/>
      <c r="C118" s="77" t="s">
        <v>686</v>
      </c>
      <c r="D118" s="77" t="s">
        <v>687</v>
      </c>
      <c r="E118" s="75" t="s">
        <v>26</v>
      </c>
      <c r="F118" s="80">
        <v>35921</v>
      </c>
      <c r="G118" s="77" t="s">
        <v>568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6.25" customHeight="1" x14ac:dyDescent="0.2">
      <c r="A119" s="75">
        <v>8</v>
      </c>
      <c r="B119" s="75">
        <v>976217</v>
      </c>
      <c r="C119" s="77" t="s">
        <v>688</v>
      </c>
      <c r="D119" s="77" t="s">
        <v>379</v>
      </c>
      <c r="E119" s="75" t="s">
        <v>26</v>
      </c>
      <c r="F119" s="80">
        <v>32003</v>
      </c>
      <c r="G119" s="77" t="s">
        <v>568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6.25" customHeight="1" x14ac:dyDescent="0.2">
      <c r="A120" s="75">
        <v>9</v>
      </c>
      <c r="B120" s="75"/>
      <c r="C120" s="77" t="s">
        <v>689</v>
      </c>
      <c r="D120" s="78" t="s">
        <v>185</v>
      </c>
      <c r="E120" s="75" t="s">
        <v>18</v>
      </c>
      <c r="F120" s="80">
        <v>37268</v>
      </c>
      <c r="G120" s="77" t="s">
        <v>568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6.25" customHeight="1" x14ac:dyDescent="0.2">
      <c r="A121" s="75">
        <v>10</v>
      </c>
      <c r="B121" s="75">
        <v>794144</v>
      </c>
      <c r="C121" s="77" t="s">
        <v>690</v>
      </c>
      <c r="D121" s="77" t="s">
        <v>25</v>
      </c>
      <c r="E121" s="75" t="s">
        <v>26</v>
      </c>
      <c r="F121" s="80">
        <v>26444</v>
      </c>
      <c r="G121" s="77" t="s">
        <v>568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6.25" customHeight="1" x14ac:dyDescent="0.2">
      <c r="A122" s="75">
        <v>11</v>
      </c>
      <c r="B122" s="75"/>
      <c r="C122" s="77" t="s">
        <v>691</v>
      </c>
      <c r="D122" s="78" t="s">
        <v>349</v>
      </c>
      <c r="E122" s="75" t="s">
        <v>18</v>
      </c>
      <c r="F122" s="80">
        <v>34800</v>
      </c>
      <c r="G122" s="77" t="s">
        <v>568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6.25" customHeight="1" x14ac:dyDescent="0.2">
      <c r="A123" s="75">
        <v>12</v>
      </c>
      <c r="B123" s="75"/>
      <c r="C123" s="77" t="s">
        <v>692</v>
      </c>
      <c r="D123" s="77" t="s">
        <v>346</v>
      </c>
      <c r="E123" s="75" t="s">
        <v>26</v>
      </c>
      <c r="F123" s="80">
        <v>28963</v>
      </c>
      <c r="G123" s="77" t="s">
        <v>568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6.25" customHeight="1" x14ac:dyDescent="0.2">
      <c r="A124" s="75">
        <v>13</v>
      </c>
      <c r="B124" s="75">
        <v>779612</v>
      </c>
      <c r="C124" s="77" t="s">
        <v>693</v>
      </c>
      <c r="D124" s="77" t="s">
        <v>379</v>
      </c>
      <c r="E124" s="75" t="s">
        <v>26</v>
      </c>
      <c r="F124" s="80">
        <v>32525</v>
      </c>
      <c r="G124" s="77" t="s">
        <v>568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6.25" customHeight="1" x14ac:dyDescent="0.2">
      <c r="A125" s="75">
        <v>14</v>
      </c>
      <c r="B125" s="75"/>
      <c r="C125" s="77" t="s">
        <v>694</v>
      </c>
      <c r="D125" s="81" t="s">
        <v>215</v>
      </c>
      <c r="E125" s="75" t="s">
        <v>26</v>
      </c>
      <c r="F125" s="80">
        <v>32525</v>
      </c>
      <c r="G125" s="77" t="s">
        <v>568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6.25" customHeight="1" x14ac:dyDescent="0.2">
      <c r="A126" s="75">
        <v>15</v>
      </c>
      <c r="B126" s="75"/>
      <c r="C126" s="77" t="s">
        <v>695</v>
      </c>
      <c r="D126" s="77" t="s">
        <v>346</v>
      </c>
      <c r="E126" s="75" t="s">
        <v>26</v>
      </c>
      <c r="F126" s="80">
        <v>35246</v>
      </c>
      <c r="G126" s="77" t="s">
        <v>568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6.25" customHeight="1" x14ac:dyDescent="0.2">
      <c r="A127" s="75">
        <v>16</v>
      </c>
      <c r="B127" s="75">
        <v>647158</v>
      </c>
      <c r="C127" s="77" t="s">
        <v>696</v>
      </c>
      <c r="D127" s="77" t="s">
        <v>379</v>
      </c>
      <c r="E127" s="75" t="s">
        <v>26</v>
      </c>
      <c r="F127" s="80">
        <v>32439</v>
      </c>
      <c r="G127" s="77" t="s">
        <v>568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6.25" customHeight="1" x14ac:dyDescent="0.2">
      <c r="A128" s="75">
        <v>17</v>
      </c>
      <c r="B128" s="97"/>
      <c r="C128" s="81" t="s">
        <v>697</v>
      </c>
      <c r="D128" s="77" t="s">
        <v>344</v>
      </c>
      <c r="E128" s="75" t="s">
        <v>18</v>
      </c>
      <c r="F128" s="98">
        <v>34980</v>
      </c>
      <c r="G128" s="77" t="s">
        <v>568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6.25" customHeight="1" x14ac:dyDescent="0.2">
      <c r="A129" s="75">
        <v>18</v>
      </c>
      <c r="B129" s="75"/>
      <c r="C129" s="77" t="s">
        <v>698</v>
      </c>
      <c r="D129" s="77" t="s">
        <v>344</v>
      </c>
      <c r="E129" s="75" t="s">
        <v>26</v>
      </c>
      <c r="F129" s="80">
        <v>35999</v>
      </c>
      <c r="G129" s="77" t="s">
        <v>568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6.25" customHeight="1" x14ac:dyDescent="0.2">
      <c r="A130" s="75">
        <v>19</v>
      </c>
      <c r="B130" s="75"/>
      <c r="C130" s="77" t="s">
        <v>699</v>
      </c>
      <c r="D130" s="78" t="s">
        <v>700</v>
      </c>
      <c r="E130" s="75" t="s">
        <v>26</v>
      </c>
      <c r="F130" s="80">
        <v>34124</v>
      </c>
      <c r="G130" s="77" t="s">
        <v>568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6.25" customHeight="1" x14ac:dyDescent="0.2">
      <c r="A131" s="75">
        <v>20</v>
      </c>
      <c r="B131" s="75"/>
      <c r="C131" s="77" t="s">
        <v>701</v>
      </c>
      <c r="D131" s="77" t="s">
        <v>702</v>
      </c>
      <c r="E131" s="75" t="s">
        <v>18</v>
      </c>
      <c r="F131" s="80">
        <v>35600</v>
      </c>
      <c r="G131" s="77" t="s">
        <v>568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6.25" customHeight="1" x14ac:dyDescent="0.2">
      <c r="A132" s="75">
        <v>21</v>
      </c>
      <c r="B132" s="75"/>
      <c r="C132" s="77" t="s">
        <v>703</v>
      </c>
      <c r="D132" s="77" t="s">
        <v>222</v>
      </c>
      <c r="E132" s="75" t="s">
        <v>26</v>
      </c>
      <c r="F132" s="80">
        <v>35097</v>
      </c>
      <c r="G132" s="77" t="s">
        <v>568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6.25" customHeight="1" x14ac:dyDescent="0.2">
      <c r="A133" s="75">
        <v>22</v>
      </c>
      <c r="B133" s="75"/>
      <c r="C133" s="77" t="s">
        <v>704</v>
      </c>
      <c r="D133" s="77" t="s">
        <v>379</v>
      </c>
      <c r="E133" s="75" t="s">
        <v>26</v>
      </c>
      <c r="F133" s="80">
        <v>33298</v>
      </c>
      <c r="G133" s="77" t="s">
        <v>568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6.25" customHeight="1" x14ac:dyDescent="0.2">
      <c r="A134" s="75">
        <v>23</v>
      </c>
      <c r="B134" s="75"/>
      <c r="C134" s="77" t="s">
        <v>705</v>
      </c>
      <c r="D134" s="77" t="s">
        <v>25</v>
      </c>
      <c r="E134" s="75" t="s">
        <v>26</v>
      </c>
      <c r="F134" s="80">
        <v>31455</v>
      </c>
      <c r="G134" s="77" t="s">
        <v>568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6.25" customHeight="1" x14ac:dyDescent="0.2">
      <c r="A135" s="75">
        <v>24</v>
      </c>
      <c r="B135" s="75"/>
      <c r="C135" s="77" t="s">
        <v>706</v>
      </c>
      <c r="D135" s="78" t="s">
        <v>185</v>
      </c>
      <c r="E135" s="75" t="s">
        <v>18</v>
      </c>
      <c r="F135" s="80">
        <v>36156</v>
      </c>
      <c r="G135" s="77" t="s">
        <v>568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6.25" customHeight="1" x14ac:dyDescent="0.2">
      <c r="A136" s="75">
        <v>25</v>
      </c>
      <c r="B136" s="75">
        <v>149591</v>
      </c>
      <c r="C136" s="77" t="s">
        <v>707</v>
      </c>
      <c r="D136" s="78" t="s">
        <v>344</v>
      </c>
      <c r="E136" s="75" t="s">
        <v>18</v>
      </c>
      <c r="F136" s="80">
        <v>34935</v>
      </c>
      <c r="G136" s="77" t="s">
        <v>568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6.25" customHeight="1" x14ac:dyDescent="0.2">
      <c r="A137" s="75">
        <v>26</v>
      </c>
      <c r="B137" s="75"/>
      <c r="C137" s="77" t="s">
        <v>708</v>
      </c>
      <c r="D137" s="77" t="s">
        <v>709</v>
      </c>
      <c r="E137" s="75" t="s">
        <v>26</v>
      </c>
      <c r="F137" s="80">
        <v>31953</v>
      </c>
      <c r="G137" s="77" t="s">
        <v>568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6.25" customHeight="1" x14ac:dyDescent="0.2">
      <c r="A138" s="75">
        <v>27</v>
      </c>
      <c r="B138" s="75"/>
      <c r="C138" s="77" t="s">
        <v>710</v>
      </c>
      <c r="D138" s="77" t="s">
        <v>346</v>
      </c>
      <c r="E138" s="75" t="s">
        <v>26</v>
      </c>
      <c r="F138" s="80">
        <v>36057</v>
      </c>
      <c r="G138" s="77" t="s">
        <v>568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6.25" customHeight="1" x14ac:dyDescent="0.2">
      <c r="A139" s="75">
        <v>28</v>
      </c>
      <c r="B139" s="75"/>
      <c r="C139" s="77" t="s">
        <v>711</v>
      </c>
      <c r="D139" s="77" t="s">
        <v>346</v>
      </c>
      <c r="E139" s="75" t="s">
        <v>26</v>
      </c>
      <c r="F139" s="80">
        <v>34037</v>
      </c>
      <c r="G139" s="77" t="s">
        <v>568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6.25" customHeight="1" x14ac:dyDescent="0.2">
      <c r="A140" s="75">
        <v>29</v>
      </c>
      <c r="B140" s="75"/>
      <c r="C140" s="77" t="s">
        <v>712</v>
      </c>
      <c r="D140" s="77" t="s">
        <v>346</v>
      </c>
      <c r="E140" s="75" t="s">
        <v>26</v>
      </c>
      <c r="F140" s="80">
        <v>29442</v>
      </c>
      <c r="G140" s="77" t="s">
        <v>568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6.25" customHeight="1" x14ac:dyDescent="0.2">
      <c r="A141" s="75">
        <v>30</v>
      </c>
      <c r="B141" s="75">
        <v>753398</v>
      </c>
      <c r="C141" s="77" t="s">
        <v>713</v>
      </c>
      <c r="D141" s="78" t="s">
        <v>98</v>
      </c>
      <c r="E141" s="75" t="s">
        <v>18</v>
      </c>
      <c r="F141" s="80">
        <v>35266</v>
      </c>
      <c r="G141" s="77" t="s">
        <v>568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6.25" customHeight="1" x14ac:dyDescent="0.2">
      <c r="A142" s="75">
        <v>31</v>
      </c>
      <c r="B142" s="75"/>
      <c r="C142" s="77" t="s">
        <v>714</v>
      </c>
      <c r="D142" s="78" t="s">
        <v>344</v>
      </c>
      <c r="E142" s="75" t="s">
        <v>26</v>
      </c>
      <c r="F142" s="80">
        <v>36180</v>
      </c>
      <c r="G142" s="77" t="s">
        <v>568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6.25" customHeight="1" x14ac:dyDescent="0.2">
      <c r="A143" s="75">
        <v>32</v>
      </c>
      <c r="B143" s="75"/>
      <c r="C143" s="77" t="s">
        <v>715</v>
      </c>
      <c r="D143" s="77" t="s">
        <v>709</v>
      </c>
      <c r="E143" s="75" t="s">
        <v>26</v>
      </c>
      <c r="F143" s="80">
        <v>33008</v>
      </c>
      <c r="G143" s="77" t="s">
        <v>568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6.25" customHeight="1" x14ac:dyDescent="0.2">
      <c r="A144" s="75">
        <v>33</v>
      </c>
      <c r="B144" s="75"/>
      <c r="C144" s="77" t="s">
        <v>716</v>
      </c>
      <c r="D144" s="77" t="s">
        <v>190</v>
      </c>
      <c r="E144" s="75" t="s">
        <v>18</v>
      </c>
      <c r="F144" s="80">
        <v>37159</v>
      </c>
      <c r="G144" s="77" t="s">
        <v>568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6.25" customHeight="1" x14ac:dyDescent="0.2">
      <c r="A145" s="75">
        <v>34</v>
      </c>
      <c r="B145" s="75">
        <v>585385</v>
      </c>
      <c r="C145" s="77" t="s">
        <v>717</v>
      </c>
      <c r="D145" s="77" t="s">
        <v>570</v>
      </c>
      <c r="E145" s="75" t="s">
        <v>26</v>
      </c>
      <c r="F145" s="80">
        <v>31576</v>
      </c>
      <c r="G145" s="77" t="s">
        <v>568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6.25" customHeight="1" x14ac:dyDescent="0.2">
      <c r="A146" s="75">
        <v>35</v>
      </c>
      <c r="B146" s="75"/>
      <c r="C146" s="77" t="s">
        <v>718</v>
      </c>
      <c r="D146" s="77" t="s">
        <v>238</v>
      </c>
      <c r="E146" s="75" t="s">
        <v>26</v>
      </c>
      <c r="F146" s="80">
        <v>36107</v>
      </c>
      <c r="G146" s="77" t="s">
        <v>568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6.25" customHeight="1" x14ac:dyDescent="0.2">
      <c r="A147" s="75">
        <v>36</v>
      </c>
      <c r="B147" s="75"/>
      <c r="C147" s="77" t="s">
        <v>719</v>
      </c>
      <c r="D147" s="78" t="s">
        <v>349</v>
      </c>
      <c r="E147" s="75" t="s">
        <v>18</v>
      </c>
      <c r="F147" s="80">
        <v>31442</v>
      </c>
      <c r="G147" s="77" t="s">
        <v>568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6.25" customHeight="1" x14ac:dyDescent="0.2">
      <c r="A148" s="75">
        <v>37</v>
      </c>
      <c r="B148" s="75">
        <v>629672</v>
      </c>
      <c r="C148" s="77" t="s">
        <v>720</v>
      </c>
      <c r="D148" s="78" t="s">
        <v>344</v>
      </c>
      <c r="E148" s="75" t="s">
        <v>18</v>
      </c>
      <c r="F148" s="80">
        <v>27983</v>
      </c>
      <c r="G148" s="77" t="s">
        <v>568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6.25" customHeight="1" x14ac:dyDescent="0.2">
      <c r="A149" s="75">
        <v>38</v>
      </c>
      <c r="B149" s="75"/>
      <c r="C149" s="77" t="s">
        <v>721</v>
      </c>
      <c r="D149" s="77" t="s">
        <v>346</v>
      </c>
      <c r="E149" s="75" t="s">
        <v>26</v>
      </c>
      <c r="F149" s="80">
        <v>24911</v>
      </c>
      <c r="G149" s="77" t="s">
        <v>568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6.25" customHeight="1" x14ac:dyDescent="0.2">
      <c r="A150" s="75">
        <v>39</v>
      </c>
      <c r="B150" s="75"/>
      <c r="C150" s="77" t="s">
        <v>722</v>
      </c>
      <c r="D150" s="77" t="s">
        <v>346</v>
      </c>
      <c r="E150" s="75" t="s">
        <v>26</v>
      </c>
      <c r="F150" s="80">
        <v>36053</v>
      </c>
      <c r="G150" s="77" t="s">
        <v>568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6.25" customHeight="1" x14ac:dyDescent="0.2">
      <c r="A151" s="75">
        <v>40</v>
      </c>
      <c r="B151" s="75"/>
      <c r="C151" s="81" t="s">
        <v>723</v>
      </c>
      <c r="D151" s="77" t="s">
        <v>346</v>
      </c>
      <c r="E151" s="75" t="s">
        <v>26</v>
      </c>
      <c r="F151" s="80">
        <v>35676</v>
      </c>
      <c r="G151" s="77" t="s">
        <v>568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6.25" customHeight="1" x14ac:dyDescent="0.2">
      <c r="A152" s="75">
        <v>41</v>
      </c>
      <c r="B152" s="75">
        <v>863065</v>
      </c>
      <c r="C152" s="77" t="s">
        <v>724</v>
      </c>
      <c r="D152" s="77" t="s">
        <v>183</v>
      </c>
      <c r="E152" s="75" t="s">
        <v>26</v>
      </c>
      <c r="F152" s="80">
        <v>28188</v>
      </c>
      <c r="G152" s="77" t="s">
        <v>568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6.25" customHeight="1" x14ac:dyDescent="0.2">
      <c r="A153" s="75">
        <v>42</v>
      </c>
      <c r="B153" s="75"/>
      <c r="C153" s="77" t="s">
        <v>725</v>
      </c>
      <c r="D153" s="77" t="s">
        <v>25</v>
      </c>
      <c r="E153" s="75" t="s">
        <v>26</v>
      </c>
      <c r="F153" s="80">
        <v>33870</v>
      </c>
      <c r="G153" s="77" t="s">
        <v>568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6.25" customHeight="1" x14ac:dyDescent="0.2">
      <c r="A154" s="75">
        <v>43</v>
      </c>
      <c r="B154" s="75">
        <v>729451</v>
      </c>
      <c r="C154" s="77" t="s">
        <v>726</v>
      </c>
      <c r="D154" s="77" t="s">
        <v>379</v>
      </c>
      <c r="E154" s="75" t="s">
        <v>26</v>
      </c>
      <c r="F154" s="80">
        <v>30263</v>
      </c>
      <c r="G154" s="77" t="s">
        <v>568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6.25" customHeight="1" x14ac:dyDescent="0.2">
      <c r="A155" s="75">
        <v>44</v>
      </c>
      <c r="B155" s="75">
        <v>912612</v>
      </c>
      <c r="C155" s="77" t="s">
        <v>727</v>
      </c>
      <c r="D155" s="78" t="s">
        <v>183</v>
      </c>
      <c r="E155" s="75" t="s">
        <v>26</v>
      </c>
      <c r="F155" s="80">
        <v>27771</v>
      </c>
      <c r="G155" s="77" t="s">
        <v>568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6.25" customHeight="1" x14ac:dyDescent="0.2">
      <c r="A156" s="75">
        <v>45</v>
      </c>
      <c r="B156" s="75">
        <v>995025</v>
      </c>
      <c r="C156" s="77" t="s">
        <v>728</v>
      </c>
      <c r="D156" s="78" t="s">
        <v>344</v>
      </c>
      <c r="E156" s="75" t="s">
        <v>18</v>
      </c>
      <c r="F156" s="80">
        <v>24102</v>
      </c>
      <c r="G156" s="77" t="s">
        <v>568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6.25" customHeight="1" x14ac:dyDescent="0.2">
      <c r="A157" s="75">
        <v>46</v>
      </c>
      <c r="B157" s="75">
        <v>999085</v>
      </c>
      <c r="C157" s="77" t="s">
        <v>729</v>
      </c>
      <c r="D157" s="77" t="s">
        <v>379</v>
      </c>
      <c r="E157" s="75" t="s">
        <v>26</v>
      </c>
      <c r="F157" s="80">
        <v>32404</v>
      </c>
      <c r="G157" s="77" t="s">
        <v>568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6.25" customHeight="1" x14ac:dyDescent="0.2">
      <c r="A158" s="75">
        <v>47</v>
      </c>
      <c r="B158" s="75"/>
      <c r="C158" s="77" t="s">
        <v>730</v>
      </c>
      <c r="D158" s="77" t="s">
        <v>731</v>
      </c>
      <c r="E158" s="75" t="s">
        <v>26</v>
      </c>
      <c r="F158" s="80">
        <v>35303</v>
      </c>
      <c r="G158" s="77" t="s">
        <v>568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6.25" customHeight="1" x14ac:dyDescent="0.2">
      <c r="A159" s="75">
        <v>48</v>
      </c>
      <c r="B159" s="75">
        <v>320104</v>
      </c>
      <c r="C159" s="77" t="s">
        <v>732</v>
      </c>
      <c r="D159" s="77" t="s">
        <v>379</v>
      </c>
      <c r="E159" s="75" t="s">
        <v>26</v>
      </c>
      <c r="F159" s="80">
        <v>29364</v>
      </c>
      <c r="G159" s="77" t="s">
        <v>568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6.25" customHeight="1" x14ac:dyDescent="0.2">
      <c r="A160" s="75">
        <v>49</v>
      </c>
      <c r="B160" s="75"/>
      <c r="C160" s="81" t="s">
        <v>733</v>
      </c>
      <c r="D160" s="77" t="s">
        <v>570</v>
      </c>
      <c r="E160" s="75" t="s">
        <v>26</v>
      </c>
      <c r="F160" s="80">
        <v>35554</v>
      </c>
      <c r="G160" s="77" t="s">
        <v>589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6.25" customHeight="1" x14ac:dyDescent="0.2">
      <c r="A161" s="75">
        <v>50</v>
      </c>
      <c r="B161" s="75"/>
      <c r="C161" s="81" t="s">
        <v>734</v>
      </c>
      <c r="D161" s="77" t="s">
        <v>346</v>
      </c>
      <c r="E161" s="75" t="s">
        <v>26</v>
      </c>
      <c r="F161" s="80">
        <v>37027</v>
      </c>
      <c r="G161" s="77" t="s">
        <v>589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6.25" customHeight="1" x14ac:dyDescent="0.2">
      <c r="A162" s="75">
        <v>51</v>
      </c>
      <c r="B162" s="75"/>
      <c r="C162" s="77" t="s">
        <v>735</v>
      </c>
      <c r="D162" s="77" t="s">
        <v>32</v>
      </c>
      <c r="E162" s="75" t="s">
        <v>18</v>
      </c>
      <c r="F162" s="80">
        <v>37618</v>
      </c>
      <c r="G162" s="77" t="s">
        <v>589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6.25" customHeight="1" x14ac:dyDescent="0.2">
      <c r="A163" s="75">
        <v>52</v>
      </c>
      <c r="B163" s="75">
        <v>328717</v>
      </c>
      <c r="C163" s="77" t="s">
        <v>736</v>
      </c>
      <c r="D163" s="77" t="s">
        <v>183</v>
      </c>
      <c r="E163" s="75" t="s">
        <v>26</v>
      </c>
      <c r="F163" s="80">
        <v>28287</v>
      </c>
      <c r="G163" s="77" t="s">
        <v>589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6.25" customHeight="1" x14ac:dyDescent="0.2">
      <c r="A164" s="75">
        <v>53</v>
      </c>
      <c r="B164" s="77"/>
      <c r="C164" s="77" t="s">
        <v>737</v>
      </c>
      <c r="D164" s="77" t="s">
        <v>25</v>
      </c>
      <c r="E164" s="75" t="s">
        <v>26</v>
      </c>
      <c r="F164" s="80">
        <v>36148</v>
      </c>
      <c r="G164" s="77" t="s">
        <v>589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6.25" customHeight="1" x14ac:dyDescent="0.2">
      <c r="A165" s="75">
        <v>54</v>
      </c>
      <c r="B165" s="77"/>
      <c r="C165" s="77" t="s">
        <v>738</v>
      </c>
      <c r="D165" s="77" t="s">
        <v>25</v>
      </c>
      <c r="E165" s="75" t="s">
        <v>26</v>
      </c>
      <c r="F165" s="80">
        <v>31435</v>
      </c>
      <c r="G165" s="77" t="s">
        <v>589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6.25" customHeight="1" x14ac:dyDescent="0.2">
      <c r="A166" s="75">
        <v>55</v>
      </c>
      <c r="B166" s="75"/>
      <c r="C166" s="77" t="s">
        <v>739</v>
      </c>
      <c r="D166" s="77" t="s">
        <v>25</v>
      </c>
      <c r="E166" s="75" t="s">
        <v>18</v>
      </c>
      <c r="F166" s="80">
        <v>36929</v>
      </c>
      <c r="G166" s="77" t="s">
        <v>589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6.25" customHeight="1" x14ac:dyDescent="0.2">
      <c r="A167" s="75">
        <v>56</v>
      </c>
      <c r="B167" s="75">
        <v>816872</v>
      </c>
      <c r="C167" s="77" t="s">
        <v>740</v>
      </c>
      <c r="D167" s="77" t="s">
        <v>570</v>
      </c>
      <c r="E167" s="75" t="s">
        <v>26</v>
      </c>
      <c r="F167" s="80">
        <v>31712</v>
      </c>
      <c r="G167" s="77" t="s">
        <v>589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6.25" customHeight="1" x14ac:dyDescent="0.2">
      <c r="A168" s="75">
        <v>57</v>
      </c>
      <c r="B168" s="75">
        <v>833115</v>
      </c>
      <c r="C168" s="77" t="s">
        <v>741</v>
      </c>
      <c r="D168" s="77" t="s">
        <v>208</v>
      </c>
      <c r="E168" s="75" t="s">
        <v>18</v>
      </c>
      <c r="F168" s="80">
        <v>36227</v>
      </c>
      <c r="G168" s="77" t="s">
        <v>589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6.25" customHeight="1" x14ac:dyDescent="0.2">
      <c r="A169" s="75">
        <v>58</v>
      </c>
      <c r="B169" s="75"/>
      <c r="C169" s="77" t="s">
        <v>742</v>
      </c>
      <c r="D169" s="77" t="s">
        <v>183</v>
      </c>
      <c r="E169" s="75" t="s">
        <v>26</v>
      </c>
      <c r="F169" s="80">
        <v>30358</v>
      </c>
      <c r="G169" s="77" t="s">
        <v>589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6.25" customHeight="1" x14ac:dyDescent="0.2">
      <c r="A170" s="75">
        <v>59</v>
      </c>
      <c r="B170" s="75">
        <v>359745</v>
      </c>
      <c r="C170" s="77" t="s">
        <v>743</v>
      </c>
      <c r="D170" s="77" t="s">
        <v>744</v>
      </c>
      <c r="E170" s="75" t="s">
        <v>26</v>
      </c>
      <c r="F170" s="80">
        <v>33125</v>
      </c>
      <c r="G170" s="77" t="s">
        <v>589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6.25" customHeight="1" x14ac:dyDescent="0.2">
      <c r="A171" s="75">
        <v>60</v>
      </c>
      <c r="B171" s="75">
        <v>428974</v>
      </c>
      <c r="C171" s="77" t="s">
        <v>745</v>
      </c>
      <c r="D171" s="77" t="s">
        <v>183</v>
      </c>
      <c r="E171" s="75" t="s">
        <v>26</v>
      </c>
      <c r="F171" s="80">
        <v>31280</v>
      </c>
      <c r="G171" s="77" t="s">
        <v>589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6.25" customHeight="1" x14ac:dyDescent="0.2">
      <c r="A172" s="75">
        <v>61</v>
      </c>
      <c r="B172" s="75">
        <v>579847</v>
      </c>
      <c r="C172" s="77" t="s">
        <v>746</v>
      </c>
      <c r="D172" s="77" t="s">
        <v>183</v>
      </c>
      <c r="E172" s="75" t="s">
        <v>26</v>
      </c>
      <c r="F172" s="80">
        <v>34481</v>
      </c>
      <c r="G172" s="77" t="s">
        <v>589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6.25" customHeight="1" x14ac:dyDescent="0.2">
      <c r="A173" s="75">
        <v>62</v>
      </c>
      <c r="B173" s="75">
        <v>200435</v>
      </c>
      <c r="C173" s="77" t="s">
        <v>747</v>
      </c>
      <c r="D173" s="77" t="s">
        <v>346</v>
      </c>
      <c r="E173" s="75" t="s">
        <v>26</v>
      </c>
      <c r="F173" s="80">
        <v>28104</v>
      </c>
      <c r="G173" s="77" t="s">
        <v>593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6.25" customHeight="1" x14ac:dyDescent="0.2">
      <c r="A174" s="75">
        <v>63</v>
      </c>
      <c r="B174" s="75"/>
      <c r="C174" s="77" t="s">
        <v>748</v>
      </c>
      <c r="D174" s="77" t="s">
        <v>349</v>
      </c>
      <c r="E174" s="75" t="s">
        <v>26</v>
      </c>
      <c r="F174" s="80">
        <v>36776</v>
      </c>
      <c r="G174" s="77" t="s">
        <v>593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6.25" customHeight="1" x14ac:dyDescent="0.2">
      <c r="A175" s="75">
        <v>64</v>
      </c>
      <c r="B175" s="75">
        <v>770270</v>
      </c>
      <c r="C175" s="77" t="s">
        <v>749</v>
      </c>
      <c r="D175" s="77" t="s">
        <v>346</v>
      </c>
      <c r="E175" s="75" t="s">
        <v>26</v>
      </c>
      <c r="F175" s="80">
        <v>28742</v>
      </c>
      <c r="G175" s="77" t="s">
        <v>593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6.25" customHeight="1" x14ac:dyDescent="0.2">
      <c r="A176" s="75">
        <v>65</v>
      </c>
      <c r="B176" s="75">
        <v>402352</v>
      </c>
      <c r="C176" s="77" t="s">
        <v>750</v>
      </c>
      <c r="D176" s="77" t="s">
        <v>346</v>
      </c>
      <c r="E176" s="75" t="s">
        <v>26</v>
      </c>
      <c r="F176" s="80">
        <v>27916</v>
      </c>
      <c r="G176" s="77" t="s">
        <v>593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6.25" customHeight="1" x14ac:dyDescent="0.2">
      <c r="A177" s="75">
        <v>66</v>
      </c>
      <c r="B177" s="75"/>
      <c r="C177" s="77" t="s">
        <v>751</v>
      </c>
      <c r="D177" s="77" t="s">
        <v>346</v>
      </c>
      <c r="E177" s="75" t="s">
        <v>18</v>
      </c>
      <c r="F177" s="80">
        <v>37427</v>
      </c>
      <c r="G177" s="77" t="s">
        <v>593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6.25" customHeight="1" x14ac:dyDescent="0.2">
      <c r="A178" s="75">
        <v>67</v>
      </c>
      <c r="B178" s="75">
        <v>202447</v>
      </c>
      <c r="C178" s="77" t="s">
        <v>752</v>
      </c>
      <c r="D178" s="77" t="s">
        <v>346</v>
      </c>
      <c r="E178" s="75" t="s">
        <v>26</v>
      </c>
      <c r="F178" s="80">
        <v>34962</v>
      </c>
      <c r="G178" s="77" t="s">
        <v>593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6.25" customHeight="1" x14ac:dyDescent="0.2">
      <c r="A179" s="75">
        <v>68</v>
      </c>
      <c r="B179" s="75">
        <v>246372</v>
      </c>
      <c r="C179" s="77" t="s">
        <v>753</v>
      </c>
      <c r="D179" s="77" t="s">
        <v>570</v>
      </c>
      <c r="E179" s="75" t="s">
        <v>26</v>
      </c>
      <c r="F179" s="80">
        <v>26307</v>
      </c>
      <c r="G179" s="77" t="s">
        <v>593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6.25" customHeight="1" x14ac:dyDescent="0.2">
      <c r="A180" s="75">
        <v>69</v>
      </c>
      <c r="B180" s="75">
        <v>212080</v>
      </c>
      <c r="C180" s="77" t="s">
        <v>754</v>
      </c>
      <c r="D180" s="77" t="s">
        <v>570</v>
      </c>
      <c r="E180" s="75" t="s">
        <v>26</v>
      </c>
      <c r="F180" s="80">
        <v>29530</v>
      </c>
      <c r="G180" s="77" t="s">
        <v>593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6.25" customHeight="1" x14ac:dyDescent="0.2">
      <c r="A181" s="75">
        <v>70</v>
      </c>
      <c r="B181" s="75"/>
      <c r="C181" s="77" t="s">
        <v>755</v>
      </c>
      <c r="D181" s="77" t="s">
        <v>349</v>
      </c>
      <c r="E181" s="75" t="s">
        <v>18</v>
      </c>
      <c r="F181" s="80">
        <v>33518</v>
      </c>
      <c r="G181" s="77" t="s">
        <v>593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6.25" customHeight="1" x14ac:dyDescent="0.2">
      <c r="A182" s="75">
        <v>71</v>
      </c>
      <c r="B182" s="75"/>
      <c r="C182" s="77" t="s">
        <v>756</v>
      </c>
      <c r="D182" s="77" t="s">
        <v>570</v>
      </c>
      <c r="E182" s="75" t="s">
        <v>26</v>
      </c>
      <c r="F182" s="80">
        <v>34958</v>
      </c>
      <c r="G182" s="77" t="s">
        <v>602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6.25" customHeight="1" x14ac:dyDescent="0.2">
      <c r="A183" s="75">
        <v>72</v>
      </c>
      <c r="B183" s="75"/>
      <c r="C183" s="77" t="s">
        <v>757</v>
      </c>
      <c r="D183" s="77" t="s">
        <v>25</v>
      </c>
      <c r="E183" s="75" t="s">
        <v>26</v>
      </c>
      <c r="F183" s="80">
        <v>34958</v>
      </c>
      <c r="G183" s="77" t="s">
        <v>602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6.25" customHeight="1" x14ac:dyDescent="0.2">
      <c r="A184" s="75">
        <v>73</v>
      </c>
      <c r="B184" s="75">
        <v>270570</v>
      </c>
      <c r="C184" s="77" t="s">
        <v>758</v>
      </c>
      <c r="D184" s="77" t="s">
        <v>570</v>
      </c>
      <c r="E184" s="75" t="s">
        <v>26</v>
      </c>
      <c r="F184" s="80">
        <v>23529</v>
      </c>
      <c r="G184" s="77" t="s">
        <v>602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6.25" customHeight="1" x14ac:dyDescent="0.2">
      <c r="A185" s="75">
        <v>74</v>
      </c>
      <c r="B185" s="75">
        <v>699696</v>
      </c>
      <c r="C185" s="77" t="s">
        <v>759</v>
      </c>
      <c r="D185" s="77" t="s">
        <v>183</v>
      </c>
      <c r="E185" s="75" t="s">
        <v>26</v>
      </c>
      <c r="F185" s="80">
        <v>34238</v>
      </c>
      <c r="G185" s="77" t="s">
        <v>602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6.25" customHeight="1" x14ac:dyDescent="0.2">
      <c r="A186" s="75">
        <v>75</v>
      </c>
      <c r="B186" s="75">
        <v>299223</v>
      </c>
      <c r="C186" s="77" t="s">
        <v>760</v>
      </c>
      <c r="D186" s="77" t="s">
        <v>344</v>
      </c>
      <c r="E186" s="75" t="s">
        <v>18</v>
      </c>
      <c r="F186" s="80">
        <v>25648</v>
      </c>
      <c r="G186" s="77" t="s">
        <v>602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6.25" customHeight="1" x14ac:dyDescent="0.2">
      <c r="A187" s="75">
        <v>76</v>
      </c>
      <c r="B187" s="75">
        <v>267547</v>
      </c>
      <c r="C187" s="77" t="s">
        <v>761</v>
      </c>
      <c r="D187" s="77" t="s">
        <v>183</v>
      </c>
      <c r="E187" s="75" t="s">
        <v>26</v>
      </c>
      <c r="F187" s="80">
        <v>25090</v>
      </c>
      <c r="G187" s="77" t="s">
        <v>602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6.25" customHeight="1" x14ac:dyDescent="0.2">
      <c r="A188" s="75">
        <v>77</v>
      </c>
      <c r="B188" s="75">
        <v>967255</v>
      </c>
      <c r="C188" s="77" t="s">
        <v>762</v>
      </c>
      <c r="D188" s="77" t="s">
        <v>25</v>
      </c>
      <c r="E188" s="75" t="s">
        <v>26</v>
      </c>
      <c r="F188" s="80">
        <v>30195</v>
      </c>
      <c r="G188" s="77" t="s">
        <v>602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6.25" customHeight="1" x14ac:dyDescent="0.2">
      <c r="A189" s="75">
        <v>78</v>
      </c>
      <c r="B189" s="75"/>
      <c r="C189" s="77" t="s">
        <v>763</v>
      </c>
      <c r="D189" s="77" t="s">
        <v>25</v>
      </c>
      <c r="E189" s="75" t="s">
        <v>26</v>
      </c>
      <c r="F189" s="80">
        <v>26523</v>
      </c>
      <c r="G189" s="77" t="s">
        <v>602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6.25" customHeight="1" x14ac:dyDescent="0.2">
      <c r="A190" s="75">
        <v>79</v>
      </c>
      <c r="B190" s="75"/>
      <c r="C190" s="77" t="s">
        <v>764</v>
      </c>
      <c r="D190" s="77" t="s">
        <v>349</v>
      </c>
      <c r="E190" s="75" t="s">
        <v>18</v>
      </c>
      <c r="F190" s="80">
        <v>37401</v>
      </c>
      <c r="G190" s="77" t="s">
        <v>602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6.25" customHeight="1" x14ac:dyDescent="0.2">
      <c r="A191" s="75">
        <v>80</v>
      </c>
      <c r="B191" s="75">
        <v>136159</v>
      </c>
      <c r="C191" s="77" t="s">
        <v>765</v>
      </c>
      <c r="D191" s="77" t="s">
        <v>183</v>
      </c>
      <c r="E191" s="75" t="s">
        <v>26</v>
      </c>
      <c r="F191" s="80">
        <v>30370</v>
      </c>
      <c r="G191" s="77" t="s">
        <v>602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6.25" customHeight="1" x14ac:dyDescent="0.2">
      <c r="A192" s="75">
        <v>81</v>
      </c>
      <c r="B192" s="75">
        <v>318129</v>
      </c>
      <c r="C192" s="77" t="s">
        <v>766</v>
      </c>
      <c r="D192" s="77" t="s">
        <v>183</v>
      </c>
      <c r="E192" s="75" t="s">
        <v>26</v>
      </c>
      <c r="F192" s="80">
        <v>30370</v>
      </c>
      <c r="G192" s="77" t="s">
        <v>602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6.25" customHeight="1" x14ac:dyDescent="0.2">
      <c r="A193" s="75">
        <v>82</v>
      </c>
      <c r="B193" s="75">
        <v>498242</v>
      </c>
      <c r="C193" s="77" t="s">
        <v>767</v>
      </c>
      <c r="D193" s="77" t="s">
        <v>344</v>
      </c>
      <c r="E193" s="75" t="s">
        <v>26</v>
      </c>
      <c r="F193" s="80">
        <v>35650</v>
      </c>
      <c r="G193" s="77" t="s">
        <v>602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6.25" customHeight="1" x14ac:dyDescent="0.2">
      <c r="A194" s="75">
        <v>83</v>
      </c>
      <c r="B194" s="75">
        <v>637945</v>
      </c>
      <c r="C194" s="77" t="s">
        <v>768</v>
      </c>
      <c r="D194" s="77" t="s">
        <v>25</v>
      </c>
      <c r="E194" s="75" t="s">
        <v>26</v>
      </c>
      <c r="F194" s="80">
        <v>33299</v>
      </c>
      <c r="G194" s="77" t="s">
        <v>602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6.25" customHeight="1" x14ac:dyDescent="0.2">
      <c r="A195" s="75">
        <v>84</v>
      </c>
      <c r="B195" s="75">
        <v>762230</v>
      </c>
      <c r="C195" s="77" t="s">
        <v>769</v>
      </c>
      <c r="D195" s="77" t="s">
        <v>25</v>
      </c>
      <c r="E195" s="75" t="s">
        <v>26</v>
      </c>
      <c r="F195" s="80">
        <v>34523</v>
      </c>
      <c r="G195" s="77" t="s">
        <v>602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6.25" customHeight="1" x14ac:dyDescent="0.2">
      <c r="A196" s="75">
        <v>85</v>
      </c>
      <c r="B196" s="75">
        <v>733077</v>
      </c>
      <c r="C196" s="77" t="s">
        <v>770</v>
      </c>
      <c r="D196" s="77" t="s">
        <v>208</v>
      </c>
      <c r="E196" s="75" t="s">
        <v>26</v>
      </c>
      <c r="F196" s="80">
        <v>35213</v>
      </c>
      <c r="G196" s="77" t="s">
        <v>604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6.25" customHeight="1" x14ac:dyDescent="0.2">
      <c r="A197" s="75">
        <v>86</v>
      </c>
      <c r="B197" s="75">
        <v>303769</v>
      </c>
      <c r="C197" s="77" t="s">
        <v>771</v>
      </c>
      <c r="D197" s="77" t="s">
        <v>183</v>
      </c>
      <c r="E197" s="75" t="s">
        <v>26</v>
      </c>
      <c r="F197" s="80">
        <v>34133</v>
      </c>
      <c r="G197" s="77" t="s">
        <v>604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6.25" customHeight="1" x14ac:dyDescent="0.2">
      <c r="A198" s="75">
        <v>87</v>
      </c>
      <c r="B198" s="75">
        <v>516731</v>
      </c>
      <c r="C198" s="77" t="s">
        <v>772</v>
      </c>
      <c r="D198" s="77" t="s">
        <v>570</v>
      </c>
      <c r="E198" s="75" t="s">
        <v>26</v>
      </c>
      <c r="F198" s="80">
        <v>34125</v>
      </c>
      <c r="G198" s="77" t="s">
        <v>604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6.25" customHeight="1" x14ac:dyDescent="0.2">
      <c r="A199" s="75">
        <v>88</v>
      </c>
      <c r="B199" s="75"/>
      <c r="C199" s="81" t="s">
        <v>773</v>
      </c>
      <c r="D199" s="77" t="s">
        <v>346</v>
      </c>
      <c r="E199" s="75" t="s">
        <v>26</v>
      </c>
      <c r="F199" s="80">
        <v>31004</v>
      </c>
      <c r="G199" s="77" t="s">
        <v>604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6.25" customHeight="1" x14ac:dyDescent="0.2">
      <c r="A200" s="75">
        <v>89</v>
      </c>
      <c r="B200" s="75"/>
      <c r="C200" s="77" t="s">
        <v>774</v>
      </c>
      <c r="D200" s="77" t="s">
        <v>346</v>
      </c>
      <c r="E200" s="75" t="s">
        <v>26</v>
      </c>
      <c r="F200" s="80">
        <v>28135</v>
      </c>
      <c r="G200" s="77" t="s">
        <v>604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6.25" customHeight="1" x14ac:dyDescent="0.2">
      <c r="A201" s="75">
        <v>90</v>
      </c>
      <c r="B201" s="75">
        <v>119044</v>
      </c>
      <c r="C201" s="77" t="s">
        <v>775</v>
      </c>
      <c r="D201" s="77" t="s">
        <v>183</v>
      </c>
      <c r="E201" s="75" t="s">
        <v>26</v>
      </c>
      <c r="F201" s="80">
        <v>35332</v>
      </c>
      <c r="G201" s="77" t="s">
        <v>604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6.25" customHeight="1" x14ac:dyDescent="0.2">
      <c r="A202" s="75">
        <v>91</v>
      </c>
      <c r="B202" s="75"/>
      <c r="C202" s="77" t="s">
        <v>776</v>
      </c>
      <c r="D202" s="77" t="s">
        <v>346</v>
      </c>
      <c r="E202" s="75" t="s">
        <v>26</v>
      </c>
      <c r="F202" s="80">
        <v>34514</v>
      </c>
      <c r="G202" s="77" t="s">
        <v>604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6.25" customHeight="1" x14ac:dyDescent="0.2">
      <c r="A203" s="75">
        <v>92</v>
      </c>
      <c r="B203" s="75"/>
      <c r="C203" s="77" t="s">
        <v>777</v>
      </c>
      <c r="D203" s="77" t="s">
        <v>346</v>
      </c>
      <c r="E203" s="75" t="s">
        <v>26</v>
      </c>
      <c r="F203" s="80">
        <v>33981</v>
      </c>
      <c r="G203" s="77" t="s">
        <v>604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6.25" customHeight="1" x14ac:dyDescent="0.2">
      <c r="A204" s="75">
        <v>93</v>
      </c>
      <c r="B204" s="75"/>
      <c r="C204" s="81" t="s">
        <v>778</v>
      </c>
      <c r="D204" s="77" t="s">
        <v>346</v>
      </c>
      <c r="E204" s="75" t="s">
        <v>26</v>
      </c>
      <c r="F204" s="80">
        <v>35156</v>
      </c>
      <c r="G204" s="77" t="s">
        <v>604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6.25" customHeight="1" x14ac:dyDescent="0.2">
      <c r="A205" s="75">
        <v>94</v>
      </c>
      <c r="B205" s="75"/>
      <c r="C205" s="77" t="s">
        <v>779</v>
      </c>
      <c r="D205" s="77" t="s">
        <v>346</v>
      </c>
      <c r="E205" s="75" t="s">
        <v>26</v>
      </c>
      <c r="F205" s="80">
        <v>36248</v>
      </c>
      <c r="G205" s="77" t="s">
        <v>604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6.25" customHeight="1" x14ac:dyDescent="0.2">
      <c r="A206" s="75">
        <v>95</v>
      </c>
      <c r="B206" s="75"/>
      <c r="C206" s="81" t="s">
        <v>780</v>
      </c>
      <c r="D206" s="77" t="s">
        <v>349</v>
      </c>
      <c r="E206" s="75" t="s">
        <v>26</v>
      </c>
      <c r="F206" s="80">
        <v>33326</v>
      </c>
      <c r="G206" s="77" t="s">
        <v>604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6.25" customHeight="1" x14ac:dyDescent="0.2">
      <c r="A207" s="75">
        <v>96</v>
      </c>
      <c r="B207" s="75">
        <v>652170</v>
      </c>
      <c r="C207" s="77" t="s">
        <v>781</v>
      </c>
      <c r="D207" s="77" t="s">
        <v>208</v>
      </c>
      <c r="E207" s="75" t="s">
        <v>18</v>
      </c>
      <c r="F207" s="80">
        <v>35738</v>
      </c>
      <c r="G207" s="77" t="s">
        <v>604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6.25" customHeight="1" x14ac:dyDescent="0.2">
      <c r="A208" s="75">
        <v>97</v>
      </c>
      <c r="B208" s="75">
        <v>180281</v>
      </c>
      <c r="C208" s="77" t="s">
        <v>782</v>
      </c>
      <c r="D208" s="77" t="s">
        <v>344</v>
      </c>
      <c r="E208" s="75" t="s">
        <v>18</v>
      </c>
      <c r="F208" s="80">
        <v>30612</v>
      </c>
      <c r="G208" s="77" t="s">
        <v>604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6.25" customHeight="1" x14ac:dyDescent="0.2">
      <c r="A209" s="75">
        <v>98</v>
      </c>
      <c r="B209" s="75">
        <v>770625</v>
      </c>
      <c r="C209" s="77" t="s">
        <v>783</v>
      </c>
      <c r="D209" s="77" t="s">
        <v>349</v>
      </c>
      <c r="E209" s="75" t="s">
        <v>26</v>
      </c>
      <c r="F209" s="80">
        <v>31899</v>
      </c>
      <c r="G209" s="77" t="s">
        <v>604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6.25" customHeight="1" x14ac:dyDescent="0.2">
      <c r="A210" s="75">
        <v>99</v>
      </c>
      <c r="B210" s="75"/>
      <c r="C210" s="77" t="s">
        <v>784</v>
      </c>
      <c r="D210" s="77" t="s">
        <v>346</v>
      </c>
      <c r="E210" s="75" t="s">
        <v>26</v>
      </c>
      <c r="F210" s="80">
        <v>31671</v>
      </c>
      <c r="G210" s="77" t="s">
        <v>604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6.25" customHeight="1" x14ac:dyDescent="0.2">
      <c r="A211" s="75">
        <v>100</v>
      </c>
      <c r="B211" s="75"/>
      <c r="C211" s="77" t="s">
        <v>785</v>
      </c>
      <c r="D211" s="77" t="s">
        <v>346</v>
      </c>
      <c r="E211" s="75" t="s">
        <v>26</v>
      </c>
      <c r="F211" s="80">
        <v>33812</v>
      </c>
      <c r="G211" s="77" t="s">
        <v>604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6.25" customHeight="1" x14ac:dyDescent="0.2">
      <c r="A212" s="75">
        <v>101</v>
      </c>
      <c r="B212" s="75"/>
      <c r="C212" s="77" t="s">
        <v>786</v>
      </c>
      <c r="D212" s="77" t="s">
        <v>346</v>
      </c>
      <c r="E212" s="75" t="s">
        <v>26</v>
      </c>
      <c r="F212" s="80">
        <v>25840</v>
      </c>
      <c r="G212" s="77" t="s">
        <v>604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x14ac:dyDescent="0.25">
      <c r="A213" s="137" t="s">
        <v>106</v>
      </c>
      <c r="B213" s="127"/>
      <c r="C213" s="127"/>
      <c r="D213" s="127"/>
      <c r="E213" s="127"/>
      <c r="F213" s="127"/>
      <c r="G213" s="128"/>
    </row>
    <row r="214" spans="1:26" ht="15" x14ac:dyDescent="0.25">
      <c r="A214" s="99"/>
      <c r="B214" s="99"/>
      <c r="C214" s="88"/>
      <c r="D214" s="100"/>
      <c r="E214" s="99"/>
      <c r="F214" s="101"/>
      <c r="G214" s="88"/>
    </row>
    <row r="215" spans="1:26" ht="26.25" customHeight="1" x14ac:dyDescent="0.2">
      <c r="A215" s="138" t="s">
        <v>6</v>
      </c>
      <c r="B215" s="127"/>
      <c r="C215" s="127"/>
      <c r="D215" s="127"/>
      <c r="E215" s="127"/>
      <c r="F215" s="127"/>
      <c r="G215" s="128"/>
    </row>
    <row r="216" spans="1:26" ht="26.25" customHeight="1" x14ac:dyDescent="0.2">
      <c r="A216" s="83" t="s">
        <v>9</v>
      </c>
      <c r="B216" s="83" t="s">
        <v>10</v>
      </c>
      <c r="C216" s="83" t="s">
        <v>11</v>
      </c>
      <c r="D216" s="84" t="s">
        <v>12</v>
      </c>
      <c r="E216" s="83" t="s">
        <v>13</v>
      </c>
      <c r="F216" s="85" t="s">
        <v>14</v>
      </c>
      <c r="G216" s="83" t="s">
        <v>15</v>
      </c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26.25" customHeight="1" x14ac:dyDescent="0.2">
      <c r="A217" s="65">
        <v>1</v>
      </c>
      <c r="B217" s="102">
        <v>264889</v>
      </c>
      <c r="C217" s="53" t="s">
        <v>787</v>
      </c>
      <c r="D217" s="53" t="s">
        <v>788</v>
      </c>
      <c r="E217" s="65" t="s">
        <v>26</v>
      </c>
      <c r="F217" s="103">
        <v>29742</v>
      </c>
      <c r="G217" s="70" t="s">
        <v>568</v>
      </c>
    </row>
    <row r="218" spans="1:26" ht="26.25" customHeight="1" x14ac:dyDescent="0.2">
      <c r="A218" s="65">
        <v>2</v>
      </c>
      <c r="B218" s="102"/>
      <c r="C218" s="53" t="s">
        <v>789</v>
      </c>
      <c r="D218" s="53" t="s">
        <v>244</v>
      </c>
      <c r="E218" s="65" t="s">
        <v>26</v>
      </c>
      <c r="F218" s="103">
        <v>34677</v>
      </c>
      <c r="G218" s="70" t="s">
        <v>568</v>
      </c>
    </row>
    <row r="219" spans="1:26" ht="26.25" customHeight="1" x14ac:dyDescent="0.2">
      <c r="A219" s="65">
        <v>3</v>
      </c>
      <c r="B219" s="102">
        <v>400965</v>
      </c>
      <c r="C219" s="53" t="s">
        <v>790</v>
      </c>
      <c r="D219" s="53" t="s">
        <v>791</v>
      </c>
      <c r="E219" s="65" t="s">
        <v>18</v>
      </c>
      <c r="F219" s="103">
        <v>34668</v>
      </c>
      <c r="G219" s="70" t="s">
        <v>568</v>
      </c>
    </row>
    <row r="220" spans="1:26" ht="26.25" customHeight="1" x14ac:dyDescent="0.2">
      <c r="A220" s="65">
        <v>4</v>
      </c>
      <c r="B220" s="102"/>
      <c r="C220" s="53" t="s">
        <v>792</v>
      </c>
      <c r="D220" s="53" t="s">
        <v>360</v>
      </c>
      <c r="E220" s="65" t="s">
        <v>18</v>
      </c>
      <c r="F220" s="103">
        <v>37663</v>
      </c>
      <c r="G220" s="70" t="s">
        <v>568</v>
      </c>
    </row>
    <row r="221" spans="1:26" ht="26.25" customHeight="1" x14ac:dyDescent="0.2">
      <c r="A221" s="65">
        <v>5</v>
      </c>
      <c r="B221" s="102"/>
      <c r="C221" s="54" t="s">
        <v>793</v>
      </c>
      <c r="D221" s="53" t="s">
        <v>794</v>
      </c>
      <c r="E221" s="65" t="s">
        <v>18</v>
      </c>
      <c r="F221" s="103">
        <v>37725</v>
      </c>
      <c r="G221" s="70" t="s">
        <v>568</v>
      </c>
    </row>
    <row r="222" spans="1:26" ht="26.25" customHeight="1" x14ac:dyDescent="0.2">
      <c r="A222" s="65">
        <v>6</v>
      </c>
      <c r="B222" s="102">
        <v>511118</v>
      </c>
      <c r="C222" s="53" t="s">
        <v>795</v>
      </c>
      <c r="D222" s="53" t="s">
        <v>791</v>
      </c>
      <c r="E222" s="65" t="s">
        <v>26</v>
      </c>
      <c r="F222" s="103">
        <v>26067</v>
      </c>
      <c r="G222" s="70" t="s">
        <v>568</v>
      </c>
    </row>
    <row r="223" spans="1:26" ht="26.25" customHeight="1" x14ac:dyDescent="0.2">
      <c r="A223" s="65">
        <v>7</v>
      </c>
      <c r="B223" s="102">
        <v>367529</v>
      </c>
      <c r="C223" s="53" t="s">
        <v>796</v>
      </c>
      <c r="D223" s="53" t="s">
        <v>22</v>
      </c>
      <c r="E223" s="65" t="s">
        <v>18</v>
      </c>
      <c r="F223" s="103">
        <v>29287</v>
      </c>
      <c r="G223" s="70" t="s">
        <v>568</v>
      </c>
    </row>
    <row r="224" spans="1:26" ht="26.25" customHeight="1" x14ac:dyDescent="0.2">
      <c r="A224" s="65">
        <v>8</v>
      </c>
      <c r="B224" s="102"/>
      <c r="C224" s="70" t="s">
        <v>797</v>
      </c>
      <c r="D224" s="72" t="s">
        <v>798</v>
      </c>
      <c r="E224" s="65" t="s">
        <v>26</v>
      </c>
      <c r="F224" s="103">
        <v>35086</v>
      </c>
      <c r="G224" s="70" t="s">
        <v>568</v>
      </c>
    </row>
    <row r="225" spans="1:7" ht="26.25" customHeight="1" x14ac:dyDescent="0.2">
      <c r="A225" s="65">
        <v>9</v>
      </c>
      <c r="B225" s="102"/>
      <c r="C225" s="53" t="s">
        <v>799</v>
      </c>
      <c r="D225" s="53" t="s">
        <v>360</v>
      </c>
      <c r="E225" s="65" t="s">
        <v>26</v>
      </c>
      <c r="F225" s="103">
        <v>36259</v>
      </c>
      <c r="G225" s="70" t="s">
        <v>568</v>
      </c>
    </row>
    <row r="226" spans="1:7" ht="26.25" customHeight="1" x14ac:dyDescent="0.2">
      <c r="A226" s="65">
        <v>10</v>
      </c>
      <c r="B226" s="102">
        <v>911271</v>
      </c>
      <c r="C226" s="53" t="s">
        <v>800</v>
      </c>
      <c r="D226" s="53" t="s">
        <v>791</v>
      </c>
      <c r="E226" s="65" t="s">
        <v>26</v>
      </c>
      <c r="F226" s="103">
        <v>24850</v>
      </c>
      <c r="G226" s="70" t="s">
        <v>568</v>
      </c>
    </row>
    <row r="227" spans="1:7" ht="26.25" customHeight="1" x14ac:dyDescent="0.2">
      <c r="A227" s="65">
        <v>11</v>
      </c>
      <c r="B227" s="102"/>
      <c r="C227" s="53" t="s">
        <v>801</v>
      </c>
      <c r="D227" s="53" t="s">
        <v>244</v>
      </c>
      <c r="E227" s="65" t="s">
        <v>26</v>
      </c>
      <c r="F227" s="103">
        <v>32750</v>
      </c>
      <c r="G227" s="70" t="s">
        <v>568</v>
      </c>
    </row>
    <row r="228" spans="1:7" ht="26.25" customHeight="1" x14ac:dyDescent="0.2">
      <c r="A228" s="65">
        <v>12</v>
      </c>
      <c r="B228" s="102"/>
      <c r="C228" s="53" t="s">
        <v>802</v>
      </c>
      <c r="D228" s="53" t="s">
        <v>101</v>
      </c>
      <c r="E228" s="65" t="s">
        <v>26</v>
      </c>
      <c r="F228" s="103">
        <v>33681</v>
      </c>
      <c r="G228" s="70" t="s">
        <v>568</v>
      </c>
    </row>
    <row r="229" spans="1:7" ht="26.25" customHeight="1" x14ac:dyDescent="0.2">
      <c r="A229" s="65">
        <v>13</v>
      </c>
      <c r="B229" s="102">
        <v>450642</v>
      </c>
      <c r="C229" s="53" t="s">
        <v>803</v>
      </c>
      <c r="D229" s="53" t="s">
        <v>22</v>
      </c>
      <c r="E229" s="65" t="s">
        <v>26</v>
      </c>
      <c r="F229" s="103">
        <v>32555</v>
      </c>
      <c r="G229" s="70" t="s">
        <v>568</v>
      </c>
    </row>
    <row r="230" spans="1:7" ht="26.25" customHeight="1" x14ac:dyDescent="0.2">
      <c r="A230" s="65">
        <v>14</v>
      </c>
      <c r="B230" s="102">
        <v>941613</v>
      </c>
      <c r="C230" s="53" t="s">
        <v>804</v>
      </c>
      <c r="D230" s="53" t="s">
        <v>805</v>
      </c>
      <c r="E230" s="65" t="s">
        <v>18</v>
      </c>
      <c r="F230" s="103">
        <v>35795</v>
      </c>
      <c r="G230" s="70" t="s">
        <v>568</v>
      </c>
    </row>
    <row r="231" spans="1:7" ht="26.25" customHeight="1" x14ac:dyDescent="0.2">
      <c r="A231" s="65">
        <v>15</v>
      </c>
      <c r="B231" s="102">
        <v>539097</v>
      </c>
      <c r="C231" s="53" t="s">
        <v>806</v>
      </c>
      <c r="D231" s="53" t="s">
        <v>22</v>
      </c>
      <c r="E231" s="65" t="s">
        <v>26</v>
      </c>
      <c r="F231" s="103">
        <v>32213</v>
      </c>
      <c r="G231" s="70" t="s">
        <v>568</v>
      </c>
    </row>
    <row r="232" spans="1:7" ht="26.25" customHeight="1" x14ac:dyDescent="0.2">
      <c r="A232" s="65">
        <v>16</v>
      </c>
      <c r="B232" s="102">
        <v>623074</v>
      </c>
      <c r="C232" s="53" t="s">
        <v>807</v>
      </c>
      <c r="D232" s="53" t="s">
        <v>791</v>
      </c>
      <c r="E232" s="65" t="s">
        <v>26</v>
      </c>
      <c r="F232" s="103">
        <v>33965</v>
      </c>
      <c r="G232" s="70" t="s">
        <v>568</v>
      </c>
    </row>
    <row r="233" spans="1:7" ht="26.25" customHeight="1" x14ac:dyDescent="0.2">
      <c r="A233" s="65">
        <v>17</v>
      </c>
      <c r="B233" s="102">
        <v>394454</v>
      </c>
      <c r="C233" s="53" t="s">
        <v>808</v>
      </c>
      <c r="D233" s="53" t="s">
        <v>244</v>
      </c>
      <c r="E233" s="65" t="s">
        <v>18</v>
      </c>
      <c r="F233" s="103">
        <v>34997</v>
      </c>
      <c r="G233" s="70" t="s">
        <v>568</v>
      </c>
    </row>
    <row r="234" spans="1:7" ht="26.25" customHeight="1" x14ac:dyDescent="0.2">
      <c r="A234" s="65">
        <v>18</v>
      </c>
      <c r="B234" s="102">
        <v>324287</v>
      </c>
      <c r="C234" s="53" t="s">
        <v>809</v>
      </c>
      <c r="D234" s="53" t="s">
        <v>80</v>
      </c>
      <c r="E234" s="65" t="s">
        <v>26</v>
      </c>
      <c r="F234" s="103">
        <v>26774</v>
      </c>
      <c r="G234" s="70" t="s">
        <v>568</v>
      </c>
    </row>
    <row r="235" spans="1:7" ht="26.25" customHeight="1" x14ac:dyDescent="0.2">
      <c r="A235" s="65">
        <v>19</v>
      </c>
      <c r="B235" s="102"/>
      <c r="C235" s="53" t="s">
        <v>810</v>
      </c>
      <c r="D235" s="53" t="s">
        <v>244</v>
      </c>
      <c r="E235" s="65" t="s">
        <v>26</v>
      </c>
      <c r="F235" s="103">
        <v>37018</v>
      </c>
      <c r="G235" s="70" t="s">
        <v>568</v>
      </c>
    </row>
    <row r="236" spans="1:7" ht="26.25" customHeight="1" x14ac:dyDescent="0.2">
      <c r="A236" s="65">
        <v>20</v>
      </c>
      <c r="B236" s="102">
        <v>508060</v>
      </c>
      <c r="C236" s="53" t="s">
        <v>811</v>
      </c>
      <c r="D236" s="53" t="s">
        <v>22</v>
      </c>
      <c r="E236" s="65" t="s">
        <v>18</v>
      </c>
      <c r="F236" s="103">
        <v>35900</v>
      </c>
      <c r="G236" s="70" t="s">
        <v>568</v>
      </c>
    </row>
    <row r="237" spans="1:7" ht="26.25" customHeight="1" x14ac:dyDescent="0.2">
      <c r="A237" s="65">
        <v>21</v>
      </c>
      <c r="B237" s="102"/>
      <c r="C237" s="54" t="s">
        <v>812</v>
      </c>
      <c r="D237" s="53" t="s">
        <v>510</v>
      </c>
      <c r="E237" s="65" t="s">
        <v>18</v>
      </c>
      <c r="F237" s="103">
        <v>35537</v>
      </c>
      <c r="G237" s="70" t="s">
        <v>568</v>
      </c>
    </row>
    <row r="238" spans="1:7" ht="26.25" customHeight="1" x14ac:dyDescent="0.2">
      <c r="A238" s="65">
        <v>22</v>
      </c>
      <c r="B238" s="102">
        <v>123076</v>
      </c>
      <c r="C238" s="53" t="s">
        <v>813</v>
      </c>
      <c r="D238" s="53" t="s">
        <v>22</v>
      </c>
      <c r="E238" s="65" t="s">
        <v>18</v>
      </c>
      <c r="F238" s="103">
        <v>33248</v>
      </c>
      <c r="G238" s="70" t="s">
        <v>568</v>
      </c>
    </row>
    <row r="239" spans="1:7" ht="26.25" customHeight="1" x14ac:dyDescent="0.2">
      <c r="A239" s="65">
        <v>23</v>
      </c>
      <c r="B239" s="102"/>
      <c r="C239" s="53" t="s">
        <v>814</v>
      </c>
      <c r="D239" s="53" t="s">
        <v>22</v>
      </c>
      <c r="E239" s="65" t="s">
        <v>26</v>
      </c>
      <c r="F239" s="103">
        <v>35903</v>
      </c>
      <c r="G239" s="70" t="s">
        <v>568</v>
      </c>
    </row>
    <row r="240" spans="1:7" ht="26.25" customHeight="1" x14ac:dyDescent="0.2">
      <c r="A240" s="65">
        <v>24</v>
      </c>
      <c r="B240" s="102"/>
      <c r="C240" s="90" t="s">
        <v>815</v>
      </c>
      <c r="D240" s="90" t="s">
        <v>360</v>
      </c>
      <c r="E240" s="65" t="s">
        <v>26</v>
      </c>
      <c r="F240" s="103">
        <v>33775</v>
      </c>
      <c r="G240" s="90" t="s">
        <v>589</v>
      </c>
    </row>
    <row r="241" spans="1:7" ht="26.25" customHeight="1" x14ac:dyDescent="0.2">
      <c r="A241" s="65">
        <v>25</v>
      </c>
      <c r="B241" s="102"/>
      <c r="C241" s="90" t="s">
        <v>816</v>
      </c>
      <c r="D241" s="90" t="s">
        <v>360</v>
      </c>
      <c r="E241" s="65" t="s">
        <v>26</v>
      </c>
      <c r="F241" s="103">
        <v>36013</v>
      </c>
      <c r="G241" s="90" t="s">
        <v>589</v>
      </c>
    </row>
    <row r="242" spans="1:7" ht="26.25" customHeight="1" x14ac:dyDescent="0.2">
      <c r="A242" s="65">
        <v>26</v>
      </c>
      <c r="B242" s="102">
        <v>478055</v>
      </c>
      <c r="C242" s="90" t="s">
        <v>817</v>
      </c>
      <c r="D242" s="90" t="s">
        <v>53</v>
      </c>
      <c r="E242" s="65" t="s">
        <v>18</v>
      </c>
      <c r="F242" s="103">
        <v>33866</v>
      </c>
      <c r="G242" s="90" t="s">
        <v>589</v>
      </c>
    </row>
    <row r="243" spans="1:7" ht="26.25" customHeight="1" x14ac:dyDescent="0.2">
      <c r="A243" s="65">
        <v>27</v>
      </c>
      <c r="B243" s="102"/>
      <c r="C243" s="90" t="s">
        <v>818</v>
      </c>
      <c r="D243" s="90" t="s">
        <v>510</v>
      </c>
      <c r="E243" s="65" t="s">
        <v>26</v>
      </c>
      <c r="F243" s="103">
        <v>36111</v>
      </c>
      <c r="G243" s="90" t="s">
        <v>589</v>
      </c>
    </row>
    <row r="244" spans="1:7" ht="26.25" customHeight="1" x14ac:dyDescent="0.2">
      <c r="A244" s="65">
        <v>28</v>
      </c>
      <c r="B244" s="102"/>
      <c r="C244" s="90" t="s">
        <v>819</v>
      </c>
      <c r="D244" s="90" t="s">
        <v>510</v>
      </c>
      <c r="E244" s="65" t="s">
        <v>18</v>
      </c>
      <c r="F244" s="103">
        <v>36573</v>
      </c>
      <c r="G244" s="90" t="s">
        <v>593</v>
      </c>
    </row>
    <row r="245" spans="1:7" ht="26.25" customHeight="1" x14ac:dyDescent="0.2">
      <c r="A245" s="65">
        <v>29</v>
      </c>
      <c r="B245" s="102">
        <v>721116</v>
      </c>
      <c r="C245" s="90" t="s">
        <v>820</v>
      </c>
      <c r="D245" s="90" t="s">
        <v>510</v>
      </c>
      <c r="E245" s="65" t="s">
        <v>26</v>
      </c>
      <c r="F245" s="103">
        <v>33817</v>
      </c>
      <c r="G245" s="90" t="s">
        <v>593</v>
      </c>
    </row>
    <row r="246" spans="1:7" ht="26.25" customHeight="1" x14ac:dyDescent="0.2">
      <c r="A246" s="65">
        <v>30</v>
      </c>
      <c r="B246" s="102">
        <v>577363</v>
      </c>
      <c r="C246" s="90" t="s">
        <v>821</v>
      </c>
      <c r="D246" s="90" t="s">
        <v>510</v>
      </c>
      <c r="E246" s="65" t="s">
        <v>26</v>
      </c>
      <c r="F246" s="103">
        <v>33579</v>
      </c>
      <c r="G246" s="90" t="s">
        <v>593</v>
      </c>
    </row>
    <row r="247" spans="1:7" ht="26.25" customHeight="1" x14ac:dyDescent="0.2">
      <c r="A247" s="65">
        <v>31</v>
      </c>
      <c r="B247" s="102">
        <v>448616</v>
      </c>
      <c r="C247" s="90" t="s">
        <v>822</v>
      </c>
      <c r="D247" s="90" t="s">
        <v>360</v>
      </c>
      <c r="E247" s="65" t="s">
        <v>18</v>
      </c>
      <c r="F247" s="103">
        <v>29931</v>
      </c>
      <c r="G247" s="90" t="s">
        <v>593</v>
      </c>
    </row>
    <row r="248" spans="1:7" ht="26.25" customHeight="1" x14ac:dyDescent="0.2">
      <c r="A248" s="65">
        <v>32</v>
      </c>
      <c r="B248" s="102">
        <v>597257</v>
      </c>
      <c r="C248" s="90" t="s">
        <v>823</v>
      </c>
      <c r="D248" s="90" t="s">
        <v>308</v>
      </c>
      <c r="E248" s="65" t="s">
        <v>26</v>
      </c>
      <c r="F248" s="103">
        <v>32701</v>
      </c>
      <c r="G248" s="90" t="s">
        <v>593</v>
      </c>
    </row>
    <row r="249" spans="1:7" ht="26.25" customHeight="1" x14ac:dyDescent="0.2">
      <c r="A249" s="65">
        <v>33</v>
      </c>
      <c r="B249" s="102"/>
      <c r="C249" s="90" t="s">
        <v>824</v>
      </c>
      <c r="D249" s="90" t="s">
        <v>244</v>
      </c>
      <c r="E249" s="65" t="s">
        <v>18</v>
      </c>
      <c r="F249" s="103">
        <v>34958</v>
      </c>
      <c r="G249" s="90" t="s">
        <v>602</v>
      </c>
    </row>
    <row r="250" spans="1:7" ht="26.25" customHeight="1" x14ac:dyDescent="0.2">
      <c r="A250" s="65">
        <v>34</v>
      </c>
      <c r="B250" s="102">
        <v>737422</v>
      </c>
      <c r="C250" s="90" t="s">
        <v>825</v>
      </c>
      <c r="D250" s="90" t="s">
        <v>286</v>
      </c>
      <c r="E250" s="65" t="s">
        <v>18</v>
      </c>
      <c r="F250" s="103">
        <v>27698</v>
      </c>
      <c r="G250" s="90" t="s">
        <v>602</v>
      </c>
    </row>
    <row r="251" spans="1:7" ht="26.25" customHeight="1" x14ac:dyDescent="0.2">
      <c r="A251" s="65">
        <v>35</v>
      </c>
      <c r="B251" s="102">
        <v>5971270</v>
      </c>
      <c r="C251" s="90" t="s">
        <v>826</v>
      </c>
      <c r="D251" s="90" t="s">
        <v>360</v>
      </c>
      <c r="E251" s="65" t="s">
        <v>18</v>
      </c>
      <c r="F251" s="103">
        <v>30437</v>
      </c>
      <c r="G251" s="90" t="s">
        <v>602</v>
      </c>
    </row>
    <row r="252" spans="1:7" ht="26.25" customHeight="1" x14ac:dyDescent="0.2">
      <c r="A252" s="65">
        <v>36</v>
      </c>
      <c r="B252" s="102">
        <v>680077</v>
      </c>
      <c r="C252" s="90" t="s">
        <v>827</v>
      </c>
      <c r="D252" s="90" t="s">
        <v>360</v>
      </c>
      <c r="E252" s="65" t="s">
        <v>18</v>
      </c>
      <c r="F252" s="103">
        <v>33570</v>
      </c>
      <c r="G252" s="90" t="s">
        <v>602</v>
      </c>
    </row>
    <row r="253" spans="1:7" ht="26.25" customHeight="1" x14ac:dyDescent="0.2">
      <c r="A253" s="65">
        <v>37</v>
      </c>
      <c r="B253" s="102">
        <v>506466</v>
      </c>
      <c r="C253" s="90" t="s">
        <v>828</v>
      </c>
      <c r="D253" s="90" t="s">
        <v>510</v>
      </c>
      <c r="E253" s="65" t="s">
        <v>26</v>
      </c>
      <c r="F253" s="103">
        <v>22543</v>
      </c>
      <c r="G253" s="90" t="s">
        <v>602</v>
      </c>
    </row>
    <row r="254" spans="1:7" ht="26.25" customHeight="1" x14ac:dyDescent="0.2">
      <c r="A254" s="65">
        <v>38</v>
      </c>
      <c r="B254" s="102">
        <v>412279</v>
      </c>
      <c r="C254" s="90" t="s">
        <v>829</v>
      </c>
      <c r="D254" s="90" t="s">
        <v>308</v>
      </c>
      <c r="E254" s="65" t="s">
        <v>26</v>
      </c>
      <c r="F254" s="103">
        <v>29742</v>
      </c>
      <c r="G254" s="90" t="s">
        <v>602</v>
      </c>
    </row>
    <row r="255" spans="1:7" ht="26.25" customHeight="1" x14ac:dyDescent="0.2">
      <c r="A255" s="65">
        <v>39</v>
      </c>
      <c r="B255" s="102">
        <v>877903</v>
      </c>
      <c r="C255" s="90" t="s">
        <v>830</v>
      </c>
      <c r="D255" s="90" t="s">
        <v>510</v>
      </c>
      <c r="E255" s="65" t="s">
        <v>26</v>
      </c>
      <c r="F255" s="103">
        <v>36130</v>
      </c>
      <c r="G255" s="90" t="s">
        <v>604</v>
      </c>
    </row>
    <row r="256" spans="1:7" ht="26.25" customHeight="1" x14ac:dyDescent="0.2">
      <c r="A256" s="65">
        <v>40</v>
      </c>
      <c r="B256" s="102">
        <v>326558</v>
      </c>
      <c r="C256" s="90" t="s">
        <v>831</v>
      </c>
      <c r="D256" s="90" t="s">
        <v>80</v>
      </c>
      <c r="E256" s="65" t="s">
        <v>18</v>
      </c>
      <c r="F256" s="103">
        <v>36609</v>
      </c>
      <c r="G256" s="90" t="s">
        <v>604</v>
      </c>
    </row>
    <row r="257" spans="1:7" ht="26.25" customHeight="1" x14ac:dyDescent="0.2">
      <c r="A257" s="65">
        <v>41</v>
      </c>
      <c r="B257" s="102"/>
      <c r="C257" s="90" t="s">
        <v>832</v>
      </c>
      <c r="D257" s="90" t="s">
        <v>244</v>
      </c>
      <c r="E257" s="65" t="s">
        <v>26</v>
      </c>
      <c r="F257" s="103">
        <v>36506</v>
      </c>
      <c r="G257" s="90" t="s">
        <v>604</v>
      </c>
    </row>
    <row r="258" spans="1:7" ht="26.25" customHeight="1" x14ac:dyDescent="0.2">
      <c r="A258" s="65">
        <v>42</v>
      </c>
      <c r="B258" s="102">
        <v>1122275</v>
      </c>
      <c r="C258" s="90" t="s">
        <v>833</v>
      </c>
      <c r="D258" s="90" t="s">
        <v>244</v>
      </c>
      <c r="E258" s="65" t="s">
        <v>26</v>
      </c>
      <c r="F258" s="103">
        <v>24669</v>
      </c>
      <c r="G258" s="90" t="s">
        <v>604</v>
      </c>
    </row>
    <row r="259" spans="1:7" ht="26.25" customHeight="1" x14ac:dyDescent="0.2">
      <c r="A259" s="65">
        <v>43</v>
      </c>
      <c r="B259" s="102">
        <v>264193</v>
      </c>
      <c r="C259" s="90" t="s">
        <v>834</v>
      </c>
      <c r="D259" s="90" t="s">
        <v>80</v>
      </c>
      <c r="E259" s="65" t="s">
        <v>26</v>
      </c>
      <c r="F259" s="103">
        <v>36436</v>
      </c>
      <c r="G259" s="90" t="s">
        <v>604</v>
      </c>
    </row>
    <row r="260" spans="1:7" ht="26.25" customHeight="1" x14ac:dyDescent="0.2">
      <c r="A260" s="65">
        <v>44</v>
      </c>
      <c r="B260" s="102"/>
      <c r="C260" s="104" t="s">
        <v>835</v>
      </c>
      <c r="D260" s="90" t="s">
        <v>360</v>
      </c>
      <c r="E260" s="65" t="s">
        <v>18</v>
      </c>
      <c r="F260" s="103">
        <v>33223</v>
      </c>
      <c r="G260" s="90" t="s">
        <v>604</v>
      </c>
    </row>
    <row r="261" spans="1:7" ht="13.5" x14ac:dyDescent="0.2">
      <c r="A261" s="134" t="s">
        <v>106</v>
      </c>
      <c r="B261" s="127"/>
      <c r="C261" s="127"/>
      <c r="D261" s="127"/>
      <c r="E261" s="127"/>
      <c r="F261" s="127"/>
      <c r="G261" s="128"/>
    </row>
    <row r="262" spans="1:7" ht="13.5" x14ac:dyDescent="0.25">
      <c r="A262" s="16"/>
      <c r="B262" s="16"/>
      <c r="C262" s="17"/>
      <c r="D262" s="18"/>
      <c r="E262" s="16"/>
      <c r="F262" s="82"/>
      <c r="G262" s="17"/>
    </row>
    <row r="263" spans="1:7" ht="13.5" x14ac:dyDescent="0.25">
      <c r="A263" s="16"/>
      <c r="B263" s="16"/>
      <c r="C263" s="17"/>
      <c r="D263" s="18"/>
      <c r="E263" s="16"/>
      <c r="F263" s="82"/>
      <c r="G263" s="17"/>
    </row>
    <row r="264" spans="1:7" ht="13.5" x14ac:dyDescent="0.25">
      <c r="A264" s="16"/>
      <c r="B264" s="16"/>
      <c r="C264" s="22" t="s">
        <v>0</v>
      </c>
      <c r="D264" s="23" t="s">
        <v>1</v>
      </c>
      <c r="E264" s="16"/>
      <c r="F264" s="82"/>
      <c r="G264" s="17"/>
    </row>
    <row r="265" spans="1:7" ht="13.5" x14ac:dyDescent="0.25">
      <c r="A265" s="16"/>
      <c r="B265" s="16"/>
      <c r="C265" s="22" t="s">
        <v>2</v>
      </c>
      <c r="D265" s="23">
        <v>45</v>
      </c>
      <c r="E265" s="16"/>
      <c r="F265" s="82"/>
      <c r="G265" s="17"/>
    </row>
    <row r="266" spans="1:7" ht="13.5" x14ac:dyDescent="0.25">
      <c r="A266" s="16"/>
      <c r="B266" s="16"/>
      <c r="C266" s="22" t="s">
        <v>3</v>
      </c>
      <c r="D266" s="23">
        <v>46</v>
      </c>
      <c r="E266" s="16"/>
      <c r="F266" s="82"/>
      <c r="G266" s="17"/>
    </row>
    <row r="267" spans="1:7" ht="13.5" x14ac:dyDescent="0.25">
      <c r="A267" s="16"/>
      <c r="B267" s="16"/>
      <c r="C267" s="22" t="s">
        <v>4</v>
      </c>
      <c r="D267" s="23">
        <v>5</v>
      </c>
      <c r="E267" s="16"/>
      <c r="F267" s="82"/>
      <c r="G267" s="17"/>
    </row>
    <row r="268" spans="1:7" ht="13.5" x14ac:dyDescent="0.25">
      <c r="A268" s="16"/>
      <c r="B268" s="16"/>
      <c r="C268" s="22" t="s">
        <v>5</v>
      </c>
      <c r="D268" s="23">
        <v>101</v>
      </c>
      <c r="E268" s="16"/>
      <c r="F268" s="82"/>
      <c r="G268" s="17"/>
    </row>
    <row r="269" spans="1:7" ht="13.5" x14ac:dyDescent="0.25">
      <c r="A269" s="16"/>
      <c r="B269" s="16"/>
      <c r="C269" s="22" t="s">
        <v>6</v>
      </c>
      <c r="D269" s="23">
        <v>44</v>
      </c>
      <c r="E269" s="16"/>
      <c r="F269" s="82"/>
      <c r="G269" s="17"/>
    </row>
    <row r="270" spans="1:7" ht="13.5" x14ac:dyDescent="0.25">
      <c r="A270" s="16"/>
      <c r="B270" s="16"/>
      <c r="C270" s="22" t="s">
        <v>7</v>
      </c>
      <c r="D270" s="23">
        <f>SUM(D265:D269)</f>
        <v>241</v>
      </c>
      <c r="E270" s="16"/>
      <c r="F270" s="82"/>
      <c r="G270" s="17"/>
    </row>
    <row r="271" spans="1:7" ht="12.75" x14ac:dyDescent="0.2">
      <c r="A271" s="24"/>
      <c r="B271" s="24"/>
      <c r="D271" s="25"/>
      <c r="E271" s="24"/>
      <c r="F271" s="105"/>
    </row>
    <row r="272" spans="1:7" ht="12.75" x14ac:dyDescent="0.2">
      <c r="A272" s="24"/>
      <c r="B272" s="24"/>
      <c r="D272" s="25"/>
      <c r="E272" s="24"/>
      <c r="F272" s="105"/>
    </row>
    <row r="273" spans="1:6" ht="12.75" x14ac:dyDescent="0.2">
      <c r="A273" s="24"/>
      <c r="B273" s="24"/>
      <c r="D273" s="25"/>
      <c r="E273" s="24"/>
      <c r="F273" s="105"/>
    </row>
    <row r="274" spans="1:6" ht="12.75" x14ac:dyDescent="0.2">
      <c r="A274" s="24"/>
      <c r="B274" s="24"/>
      <c r="D274" s="25"/>
      <c r="E274" s="24"/>
      <c r="F274" s="105"/>
    </row>
    <row r="275" spans="1:6" ht="12.75" x14ac:dyDescent="0.2">
      <c r="A275" s="24"/>
      <c r="B275" s="24"/>
      <c r="D275" s="25"/>
      <c r="E275" s="24"/>
      <c r="F275" s="105"/>
    </row>
    <row r="276" spans="1:6" ht="12.75" x14ac:dyDescent="0.2">
      <c r="A276" s="24"/>
      <c r="B276" s="24"/>
      <c r="D276" s="25"/>
      <c r="E276" s="24"/>
      <c r="F276" s="105"/>
    </row>
    <row r="277" spans="1:6" ht="12.75" x14ac:dyDescent="0.2">
      <c r="A277" s="24"/>
      <c r="B277" s="24"/>
      <c r="D277" s="25"/>
      <c r="E277" s="24"/>
      <c r="F277" s="105"/>
    </row>
    <row r="278" spans="1:6" ht="12.75" x14ac:dyDescent="0.2">
      <c r="A278" s="24"/>
      <c r="B278" s="24"/>
      <c r="D278" s="25"/>
      <c r="E278" s="24"/>
      <c r="F278" s="105"/>
    </row>
    <row r="279" spans="1:6" ht="12.75" x14ac:dyDescent="0.2">
      <c r="A279" s="24"/>
      <c r="B279" s="24"/>
      <c r="D279" s="25"/>
      <c r="E279" s="24"/>
      <c r="F279" s="105"/>
    </row>
    <row r="280" spans="1:6" ht="12.75" x14ac:dyDescent="0.2">
      <c r="A280" s="24"/>
      <c r="B280" s="24"/>
      <c r="D280" s="25"/>
      <c r="E280" s="24"/>
      <c r="F280" s="105"/>
    </row>
    <row r="281" spans="1:6" ht="12.75" x14ac:dyDescent="0.2">
      <c r="A281" s="24"/>
      <c r="B281" s="24"/>
      <c r="D281" s="25"/>
      <c r="E281" s="24"/>
      <c r="F281" s="105"/>
    </row>
    <row r="282" spans="1:6" ht="12.75" x14ac:dyDescent="0.2">
      <c r="A282" s="24"/>
      <c r="B282" s="24"/>
      <c r="D282" s="25"/>
      <c r="E282" s="24"/>
      <c r="F282" s="105"/>
    </row>
    <row r="283" spans="1:6" ht="12.75" x14ac:dyDescent="0.2">
      <c r="A283" s="24"/>
      <c r="B283" s="24"/>
      <c r="D283" s="25"/>
      <c r="E283" s="24"/>
      <c r="F283" s="105"/>
    </row>
    <row r="284" spans="1:6" ht="12.75" x14ac:dyDescent="0.2">
      <c r="A284" s="24"/>
      <c r="B284" s="24"/>
      <c r="D284" s="25"/>
      <c r="E284" s="24"/>
      <c r="F284" s="105"/>
    </row>
    <row r="285" spans="1:6" ht="12.75" x14ac:dyDescent="0.2">
      <c r="A285" s="24"/>
      <c r="B285" s="24"/>
      <c r="D285" s="25"/>
      <c r="E285" s="24"/>
      <c r="F285" s="105"/>
    </row>
    <row r="286" spans="1:6" ht="12.75" x14ac:dyDescent="0.2">
      <c r="A286" s="24"/>
      <c r="B286" s="24"/>
      <c r="D286" s="25"/>
      <c r="E286" s="24"/>
      <c r="F286" s="105"/>
    </row>
    <row r="287" spans="1:6" ht="12.75" x14ac:dyDescent="0.2">
      <c r="A287" s="24"/>
      <c r="B287" s="24"/>
      <c r="D287" s="25"/>
      <c r="E287" s="24"/>
      <c r="F287" s="105"/>
    </row>
    <row r="288" spans="1:6" ht="12.75" x14ac:dyDescent="0.2">
      <c r="A288" s="24"/>
      <c r="B288" s="24"/>
      <c r="D288" s="25"/>
      <c r="E288" s="24"/>
      <c r="F288" s="105"/>
    </row>
    <row r="289" spans="1:6" ht="12.75" x14ac:dyDescent="0.2">
      <c r="A289" s="24"/>
      <c r="B289" s="24"/>
      <c r="D289" s="25"/>
      <c r="E289" s="24"/>
      <c r="F289" s="105"/>
    </row>
    <row r="290" spans="1:6" ht="12.75" x14ac:dyDescent="0.2">
      <c r="A290" s="24"/>
      <c r="B290" s="24"/>
      <c r="D290" s="25"/>
      <c r="E290" s="24"/>
      <c r="F290" s="105"/>
    </row>
    <row r="291" spans="1:6" ht="12.75" x14ac:dyDescent="0.2">
      <c r="A291" s="24"/>
      <c r="B291" s="24"/>
      <c r="D291" s="25"/>
      <c r="E291" s="24"/>
      <c r="F291" s="105"/>
    </row>
    <row r="292" spans="1:6" ht="12.75" x14ac:dyDescent="0.2">
      <c r="A292" s="24"/>
      <c r="B292" s="24"/>
      <c r="D292" s="25"/>
      <c r="E292" s="24"/>
      <c r="F292" s="105"/>
    </row>
    <row r="293" spans="1:6" ht="12.75" x14ac:dyDescent="0.2">
      <c r="A293" s="24"/>
      <c r="B293" s="24"/>
      <c r="D293" s="25"/>
      <c r="E293" s="24"/>
      <c r="F293" s="105"/>
    </row>
    <row r="294" spans="1:6" ht="12.75" x14ac:dyDescent="0.2">
      <c r="A294" s="24"/>
      <c r="B294" s="24"/>
      <c r="D294" s="25"/>
      <c r="E294" s="24"/>
      <c r="F294" s="105"/>
    </row>
    <row r="295" spans="1:6" ht="12.75" x14ac:dyDescent="0.2">
      <c r="A295" s="24"/>
      <c r="B295" s="24"/>
      <c r="D295" s="25"/>
      <c r="E295" s="24"/>
      <c r="F295" s="105"/>
    </row>
    <row r="296" spans="1:6" ht="12.75" x14ac:dyDescent="0.2">
      <c r="A296" s="24"/>
      <c r="B296" s="24"/>
      <c r="D296" s="25"/>
      <c r="E296" s="24"/>
      <c r="F296" s="105"/>
    </row>
    <row r="297" spans="1:6" ht="12.75" x14ac:dyDescent="0.2">
      <c r="A297" s="24"/>
      <c r="B297" s="24"/>
      <c r="D297" s="25"/>
      <c r="E297" s="24"/>
      <c r="F297" s="105"/>
    </row>
    <row r="298" spans="1:6" ht="12.75" x14ac:dyDescent="0.2">
      <c r="A298" s="24"/>
      <c r="B298" s="24"/>
      <c r="D298" s="25"/>
      <c r="E298" s="24"/>
      <c r="F298" s="105"/>
    </row>
    <row r="299" spans="1:6" ht="12.75" x14ac:dyDescent="0.2">
      <c r="A299" s="24"/>
      <c r="B299" s="24"/>
      <c r="D299" s="25"/>
      <c r="E299" s="24"/>
      <c r="F299" s="105"/>
    </row>
    <row r="300" spans="1:6" ht="12.75" x14ac:dyDescent="0.2">
      <c r="A300" s="24"/>
      <c r="B300" s="24"/>
      <c r="D300" s="25"/>
      <c r="E300" s="24"/>
      <c r="F300" s="105"/>
    </row>
    <row r="301" spans="1:6" ht="12.75" x14ac:dyDescent="0.2">
      <c r="A301" s="24"/>
      <c r="B301" s="24"/>
      <c r="D301" s="25"/>
      <c r="E301" s="24"/>
      <c r="F301" s="105"/>
    </row>
    <row r="302" spans="1:6" ht="12.75" x14ac:dyDescent="0.2">
      <c r="A302" s="24"/>
      <c r="B302" s="24"/>
      <c r="D302" s="25"/>
      <c r="E302" s="24"/>
      <c r="F302" s="105"/>
    </row>
    <row r="303" spans="1:6" ht="12.75" x14ac:dyDescent="0.2">
      <c r="A303" s="24"/>
      <c r="B303" s="24"/>
      <c r="D303" s="25"/>
      <c r="E303" s="24"/>
      <c r="F303" s="105"/>
    </row>
    <row r="304" spans="1:6" ht="12.75" x14ac:dyDescent="0.2">
      <c r="A304" s="24"/>
      <c r="B304" s="24"/>
      <c r="D304" s="25"/>
      <c r="E304" s="24"/>
      <c r="F304" s="105"/>
    </row>
    <row r="305" spans="1:6" ht="12.75" x14ac:dyDescent="0.2">
      <c r="A305" s="24"/>
      <c r="B305" s="24"/>
      <c r="D305" s="25"/>
      <c r="E305" s="24"/>
      <c r="F305" s="105"/>
    </row>
    <row r="306" spans="1:6" ht="12.75" x14ac:dyDescent="0.2">
      <c r="A306" s="24"/>
      <c r="B306" s="24"/>
      <c r="D306" s="25"/>
      <c r="E306" s="24"/>
      <c r="F306" s="105"/>
    </row>
    <row r="307" spans="1:6" ht="12.75" x14ac:dyDescent="0.2">
      <c r="A307" s="24"/>
      <c r="B307" s="24"/>
      <c r="D307" s="25"/>
      <c r="E307" s="24"/>
      <c r="F307" s="105"/>
    </row>
    <row r="308" spans="1:6" ht="12.75" x14ac:dyDescent="0.2">
      <c r="A308" s="24"/>
      <c r="B308" s="24"/>
      <c r="D308" s="25"/>
      <c r="E308" s="24"/>
      <c r="F308" s="105"/>
    </row>
    <row r="309" spans="1:6" ht="12.75" x14ac:dyDescent="0.2">
      <c r="A309" s="24"/>
      <c r="B309" s="24"/>
      <c r="D309" s="25"/>
      <c r="E309" s="24"/>
      <c r="F309" s="105"/>
    </row>
    <row r="310" spans="1:6" ht="12.75" x14ac:dyDescent="0.2">
      <c r="A310" s="24"/>
      <c r="B310" s="24"/>
      <c r="D310" s="25"/>
      <c r="E310" s="24"/>
      <c r="F310" s="105"/>
    </row>
    <row r="311" spans="1:6" ht="12.75" x14ac:dyDescent="0.2">
      <c r="A311" s="24"/>
      <c r="B311" s="24"/>
      <c r="D311" s="25"/>
      <c r="E311" s="24"/>
      <c r="F311" s="105"/>
    </row>
    <row r="312" spans="1:6" ht="12.75" x14ac:dyDescent="0.2">
      <c r="A312" s="24"/>
      <c r="B312" s="24"/>
      <c r="D312" s="25"/>
      <c r="E312" s="24"/>
      <c r="F312" s="105"/>
    </row>
    <row r="313" spans="1:6" ht="12.75" x14ac:dyDescent="0.2">
      <c r="A313" s="24"/>
      <c r="B313" s="24"/>
      <c r="D313" s="25"/>
      <c r="E313" s="24"/>
      <c r="F313" s="105"/>
    </row>
    <row r="314" spans="1:6" ht="12.75" x14ac:dyDescent="0.2">
      <c r="A314" s="24"/>
      <c r="B314" s="24"/>
      <c r="D314" s="25"/>
      <c r="E314" s="24"/>
      <c r="F314" s="105"/>
    </row>
    <row r="315" spans="1:6" ht="12.75" x14ac:dyDescent="0.2">
      <c r="A315" s="24"/>
      <c r="B315" s="24"/>
      <c r="D315" s="25"/>
      <c r="E315" s="24"/>
      <c r="F315" s="105"/>
    </row>
    <row r="316" spans="1:6" ht="12.75" x14ac:dyDescent="0.2">
      <c r="A316" s="24"/>
      <c r="B316" s="24"/>
      <c r="D316" s="25"/>
      <c r="E316" s="24"/>
      <c r="F316" s="105"/>
    </row>
    <row r="317" spans="1:6" ht="12.75" x14ac:dyDescent="0.2">
      <c r="A317" s="24"/>
      <c r="B317" s="24"/>
      <c r="D317" s="25"/>
      <c r="E317" s="24"/>
      <c r="F317" s="105"/>
    </row>
    <row r="318" spans="1:6" ht="12.75" x14ac:dyDescent="0.2">
      <c r="A318" s="24"/>
      <c r="B318" s="24"/>
      <c r="D318" s="25"/>
      <c r="E318" s="24"/>
      <c r="F318" s="105"/>
    </row>
    <row r="319" spans="1:6" ht="12.75" x14ac:dyDescent="0.2">
      <c r="A319" s="24"/>
      <c r="B319" s="24"/>
      <c r="D319" s="25"/>
      <c r="E319" s="24"/>
      <c r="F319" s="105"/>
    </row>
    <row r="320" spans="1:6" ht="12.75" x14ac:dyDescent="0.2">
      <c r="A320" s="24"/>
      <c r="B320" s="24"/>
      <c r="D320" s="25"/>
      <c r="E320" s="24"/>
      <c r="F320" s="105"/>
    </row>
    <row r="321" spans="1:6" ht="12.75" x14ac:dyDescent="0.2">
      <c r="A321" s="24"/>
      <c r="B321" s="24"/>
      <c r="D321" s="25"/>
      <c r="E321" s="24"/>
      <c r="F321" s="105"/>
    </row>
    <row r="322" spans="1:6" ht="12.75" x14ac:dyDescent="0.2">
      <c r="A322" s="24"/>
      <c r="B322" s="24"/>
      <c r="D322" s="25"/>
      <c r="E322" s="24"/>
      <c r="F322" s="105"/>
    </row>
    <row r="323" spans="1:6" ht="12.75" x14ac:dyDescent="0.2">
      <c r="A323" s="24"/>
      <c r="B323" s="24"/>
      <c r="D323" s="25"/>
      <c r="E323" s="24"/>
      <c r="F323" s="105"/>
    </row>
    <row r="324" spans="1:6" ht="12.75" x14ac:dyDescent="0.2">
      <c r="A324" s="24"/>
      <c r="B324" s="24"/>
      <c r="D324" s="25"/>
      <c r="E324" s="24"/>
      <c r="F324" s="105"/>
    </row>
    <row r="325" spans="1:6" ht="12.75" x14ac:dyDescent="0.2">
      <c r="A325" s="24"/>
      <c r="B325" s="24"/>
      <c r="D325" s="25"/>
      <c r="E325" s="24"/>
      <c r="F325" s="105"/>
    </row>
    <row r="326" spans="1:6" ht="12.75" x14ac:dyDescent="0.2">
      <c r="A326" s="24"/>
      <c r="B326" s="24"/>
      <c r="D326" s="25"/>
      <c r="E326" s="24"/>
      <c r="F326" s="105"/>
    </row>
    <row r="327" spans="1:6" ht="12.75" x14ac:dyDescent="0.2">
      <c r="A327" s="24"/>
      <c r="B327" s="24"/>
      <c r="D327" s="25"/>
      <c r="E327" s="24"/>
      <c r="F327" s="105"/>
    </row>
    <row r="328" spans="1:6" ht="12.75" x14ac:dyDescent="0.2">
      <c r="A328" s="24"/>
      <c r="B328" s="24"/>
      <c r="D328" s="25"/>
      <c r="E328" s="24"/>
      <c r="F328" s="105"/>
    </row>
    <row r="329" spans="1:6" ht="12.75" x14ac:dyDescent="0.2">
      <c r="A329" s="24"/>
      <c r="B329" s="24"/>
      <c r="D329" s="25"/>
      <c r="E329" s="24"/>
      <c r="F329" s="105"/>
    </row>
    <row r="330" spans="1:6" ht="12.75" x14ac:dyDescent="0.2">
      <c r="A330" s="24"/>
      <c r="B330" s="24"/>
      <c r="D330" s="25"/>
      <c r="E330" s="24"/>
      <c r="F330" s="105"/>
    </row>
    <row r="331" spans="1:6" ht="12.75" x14ac:dyDescent="0.2">
      <c r="A331" s="24"/>
      <c r="B331" s="24"/>
      <c r="D331" s="25"/>
      <c r="E331" s="24"/>
      <c r="F331" s="105"/>
    </row>
    <row r="332" spans="1:6" ht="12.75" x14ac:dyDescent="0.2">
      <c r="A332" s="24"/>
      <c r="B332" s="24"/>
      <c r="D332" s="25"/>
      <c r="E332" s="24"/>
      <c r="F332" s="105"/>
    </row>
    <row r="333" spans="1:6" ht="12.75" x14ac:dyDescent="0.2">
      <c r="A333" s="24"/>
      <c r="B333" s="24"/>
      <c r="D333" s="25"/>
      <c r="E333" s="24"/>
      <c r="F333" s="105"/>
    </row>
    <row r="334" spans="1:6" ht="12.75" x14ac:dyDescent="0.2">
      <c r="A334" s="24"/>
      <c r="B334" s="24"/>
      <c r="D334" s="25"/>
      <c r="E334" s="24"/>
      <c r="F334" s="105"/>
    </row>
    <row r="335" spans="1:6" ht="12.75" x14ac:dyDescent="0.2">
      <c r="A335" s="24"/>
      <c r="B335" s="24"/>
      <c r="D335" s="25"/>
      <c r="E335" s="24"/>
      <c r="F335" s="105"/>
    </row>
    <row r="336" spans="1:6" ht="12.75" x14ac:dyDescent="0.2">
      <c r="A336" s="24"/>
      <c r="B336" s="24"/>
      <c r="D336" s="25"/>
      <c r="E336" s="24"/>
      <c r="F336" s="105"/>
    </row>
    <row r="337" spans="1:6" ht="12.75" x14ac:dyDescent="0.2">
      <c r="A337" s="24"/>
      <c r="B337" s="24"/>
      <c r="D337" s="25"/>
      <c r="E337" s="24"/>
      <c r="F337" s="105"/>
    </row>
    <row r="338" spans="1:6" ht="12.75" x14ac:dyDescent="0.2">
      <c r="A338" s="24"/>
      <c r="B338" s="24"/>
      <c r="D338" s="25"/>
      <c r="E338" s="24"/>
      <c r="F338" s="105"/>
    </row>
    <row r="339" spans="1:6" ht="12.75" x14ac:dyDescent="0.2">
      <c r="A339" s="24"/>
      <c r="B339" s="24"/>
      <c r="D339" s="25"/>
      <c r="E339" s="24"/>
      <c r="F339" s="105"/>
    </row>
    <row r="340" spans="1:6" ht="12.75" x14ac:dyDescent="0.2">
      <c r="A340" s="24"/>
      <c r="B340" s="24"/>
      <c r="D340" s="25"/>
      <c r="E340" s="24"/>
      <c r="F340" s="105"/>
    </row>
    <row r="341" spans="1:6" ht="12.75" x14ac:dyDescent="0.2">
      <c r="A341" s="24"/>
      <c r="B341" s="24"/>
      <c r="D341" s="25"/>
      <c r="E341" s="24"/>
      <c r="F341" s="105"/>
    </row>
    <row r="342" spans="1:6" ht="12.75" x14ac:dyDescent="0.2">
      <c r="A342" s="24"/>
      <c r="B342" s="24"/>
      <c r="D342" s="25"/>
      <c r="E342" s="24"/>
      <c r="F342" s="105"/>
    </row>
    <row r="343" spans="1:6" ht="12.75" x14ac:dyDescent="0.2">
      <c r="A343" s="24"/>
      <c r="B343" s="24"/>
      <c r="D343" s="25"/>
      <c r="E343" s="24"/>
      <c r="F343" s="105"/>
    </row>
    <row r="344" spans="1:6" ht="12.75" x14ac:dyDescent="0.2">
      <c r="A344" s="24"/>
      <c r="B344" s="24"/>
      <c r="D344" s="25"/>
      <c r="E344" s="24"/>
      <c r="F344" s="105"/>
    </row>
    <row r="345" spans="1:6" ht="12.75" x14ac:dyDescent="0.2">
      <c r="A345" s="24"/>
      <c r="B345" s="24"/>
      <c r="D345" s="25"/>
      <c r="E345" s="24"/>
      <c r="F345" s="105"/>
    </row>
    <row r="346" spans="1:6" ht="12.75" x14ac:dyDescent="0.2">
      <c r="A346" s="24"/>
      <c r="B346" s="24"/>
      <c r="D346" s="25"/>
      <c r="E346" s="24"/>
      <c r="F346" s="105"/>
    </row>
    <row r="347" spans="1:6" ht="12.75" x14ac:dyDescent="0.2">
      <c r="A347" s="24"/>
      <c r="B347" s="24"/>
      <c r="D347" s="25"/>
      <c r="E347" s="24"/>
      <c r="F347" s="105"/>
    </row>
    <row r="348" spans="1:6" ht="12.75" x14ac:dyDescent="0.2">
      <c r="A348" s="24"/>
      <c r="B348" s="24"/>
      <c r="D348" s="25"/>
      <c r="E348" s="24"/>
      <c r="F348" s="105"/>
    </row>
    <row r="349" spans="1:6" ht="12.75" x14ac:dyDescent="0.2">
      <c r="A349" s="24"/>
      <c r="B349" s="24"/>
      <c r="D349" s="25"/>
      <c r="E349" s="24"/>
      <c r="F349" s="105"/>
    </row>
    <row r="350" spans="1:6" ht="12.75" x14ac:dyDescent="0.2">
      <c r="A350" s="24"/>
      <c r="B350" s="24"/>
      <c r="D350" s="25"/>
      <c r="E350" s="24"/>
      <c r="F350" s="105"/>
    </row>
    <row r="351" spans="1:6" ht="12.75" x14ac:dyDescent="0.2">
      <c r="A351" s="24"/>
      <c r="B351" s="24"/>
      <c r="D351" s="25"/>
      <c r="E351" s="24"/>
      <c r="F351" s="105"/>
    </row>
    <row r="352" spans="1:6" ht="12.75" x14ac:dyDescent="0.2">
      <c r="A352" s="24"/>
      <c r="B352" s="24"/>
      <c r="D352" s="25"/>
      <c r="E352" s="24"/>
      <c r="F352" s="105"/>
    </row>
    <row r="353" spans="1:6" ht="12.75" x14ac:dyDescent="0.2">
      <c r="A353" s="24"/>
      <c r="B353" s="24"/>
      <c r="D353" s="25"/>
      <c r="E353" s="24"/>
      <c r="F353" s="105"/>
    </row>
    <row r="354" spans="1:6" ht="12.75" x14ac:dyDescent="0.2">
      <c r="A354" s="24"/>
      <c r="B354" s="24"/>
      <c r="D354" s="25"/>
      <c r="E354" s="24"/>
      <c r="F354" s="105"/>
    </row>
    <row r="355" spans="1:6" ht="12.75" x14ac:dyDescent="0.2">
      <c r="A355" s="24"/>
      <c r="B355" s="24"/>
      <c r="D355" s="25"/>
      <c r="E355" s="24"/>
      <c r="F355" s="105"/>
    </row>
    <row r="356" spans="1:6" ht="12.75" x14ac:dyDescent="0.2">
      <c r="A356" s="24"/>
      <c r="B356" s="24"/>
      <c r="D356" s="25"/>
      <c r="E356" s="24"/>
      <c r="F356" s="105"/>
    </row>
    <row r="357" spans="1:6" ht="12.75" x14ac:dyDescent="0.2">
      <c r="A357" s="24"/>
      <c r="B357" s="24"/>
      <c r="D357" s="25"/>
      <c r="E357" s="24"/>
      <c r="F357" s="105"/>
    </row>
    <row r="358" spans="1:6" ht="12.75" x14ac:dyDescent="0.2">
      <c r="A358" s="24"/>
      <c r="B358" s="24"/>
      <c r="D358" s="25"/>
      <c r="E358" s="24"/>
      <c r="F358" s="105"/>
    </row>
    <row r="359" spans="1:6" ht="12.75" x14ac:dyDescent="0.2">
      <c r="A359" s="24"/>
      <c r="B359" s="24"/>
      <c r="D359" s="25"/>
      <c r="E359" s="24"/>
      <c r="F359" s="105"/>
    </row>
    <row r="360" spans="1:6" ht="12.75" x14ac:dyDescent="0.2">
      <c r="A360" s="24"/>
      <c r="B360" s="24"/>
      <c r="D360" s="25"/>
      <c r="E360" s="24"/>
      <c r="F360" s="105"/>
    </row>
    <row r="361" spans="1:6" ht="12.75" x14ac:dyDescent="0.2">
      <c r="A361" s="24"/>
      <c r="B361" s="24"/>
      <c r="D361" s="25"/>
      <c r="E361" s="24"/>
      <c r="F361" s="105"/>
    </row>
    <row r="362" spans="1:6" ht="12.75" x14ac:dyDescent="0.2">
      <c r="A362" s="24"/>
      <c r="B362" s="24"/>
      <c r="D362" s="25"/>
      <c r="E362" s="24"/>
      <c r="F362" s="105"/>
    </row>
    <row r="363" spans="1:6" ht="12.75" x14ac:dyDescent="0.2">
      <c r="A363" s="24"/>
      <c r="B363" s="24"/>
      <c r="D363" s="25"/>
      <c r="E363" s="24"/>
      <c r="F363" s="105"/>
    </row>
    <row r="364" spans="1:6" ht="12.75" x14ac:dyDescent="0.2">
      <c r="A364" s="24"/>
      <c r="B364" s="24"/>
      <c r="D364" s="25"/>
      <c r="E364" s="24"/>
      <c r="F364" s="105"/>
    </row>
    <row r="365" spans="1:6" ht="12.75" x14ac:dyDescent="0.2">
      <c r="A365" s="24"/>
      <c r="B365" s="24"/>
      <c r="D365" s="25"/>
      <c r="E365" s="24"/>
      <c r="F365" s="105"/>
    </row>
    <row r="366" spans="1:6" ht="12.75" x14ac:dyDescent="0.2">
      <c r="A366" s="24"/>
      <c r="B366" s="24"/>
      <c r="D366" s="25"/>
      <c r="E366" s="24"/>
      <c r="F366" s="105"/>
    </row>
    <row r="367" spans="1:6" ht="12.75" x14ac:dyDescent="0.2">
      <c r="A367" s="24"/>
      <c r="B367" s="24"/>
      <c r="D367" s="25"/>
      <c r="E367" s="24"/>
      <c r="F367" s="105"/>
    </row>
    <row r="368" spans="1:6" ht="12.75" x14ac:dyDescent="0.2">
      <c r="A368" s="24"/>
      <c r="B368" s="24"/>
      <c r="D368" s="25"/>
      <c r="E368" s="24"/>
      <c r="F368" s="105"/>
    </row>
    <row r="369" spans="1:6" ht="12.75" x14ac:dyDescent="0.2">
      <c r="A369" s="24"/>
      <c r="B369" s="24"/>
      <c r="D369" s="25"/>
      <c r="E369" s="24"/>
      <c r="F369" s="105"/>
    </row>
    <row r="370" spans="1:6" ht="12.75" x14ac:dyDescent="0.2">
      <c r="A370" s="24"/>
      <c r="B370" s="24"/>
      <c r="D370" s="25"/>
      <c r="E370" s="24"/>
      <c r="F370" s="105"/>
    </row>
    <row r="371" spans="1:6" ht="12.75" x14ac:dyDescent="0.2">
      <c r="A371" s="24"/>
      <c r="B371" s="24"/>
      <c r="D371" s="25"/>
      <c r="E371" s="24"/>
      <c r="F371" s="105"/>
    </row>
    <row r="372" spans="1:6" ht="12.75" x14ac:dyDescent="0.2">
      <c r="A372" s="24"/>
      <c r="B372" s="24"/>
      <c r="D372" s="25"/>
      <c r="E372" s="24"/>
      <c r="F372" s="105"/>
    </row>
    <row r="373" spans="1:6" ht="12.75" x14ac:dyDescent="0.2">
      <c r="A373" s="24"/>
      <c r="B373" s="24"/>
      <c r="D373" s="25"/>
      <c r="E373" s="24"/>
      <c r="F373" s="105"/>
    </row>
    <row r="374" spans="1:6" ht="12.75" x14ac:dyDescent="0.2">
      <c r="A374" s="24"/>
      <c r="B374" s="24"/>
      <c r="D374" s="25"/>
      <c r="E374" s="24"/>
      <c r="F374" s="105"/>
    </row>
    <row r="375" spans="1:6" ht="12.75" x14ac:dyDescent="0.2">
      <c r="A375" s="24"/>
      <c r="B375" s="24"/>
      <c r="D375" s="25"/>
      <c r="E375" s="24"/>
      <c r="F375" s="105"/>
    </row>
    <row r="376" spans="1:6" ht="12.75" x14ac:dyDescent="0.2">
      <c r="A376" s="24"/>
      <c r="B376" s="24"/>
      <c r="D376" s="25"/>
      <c r="E376" s="24"/>
      <c r="F376" s="105"/>
    </row>
    <row r="377" spans="1:6" ht="12.75" x14ac:dyDescent="0.2">
      <c r="A377" s="24"/>
      <c r="B377" s="24"/>
      <c r="D377" s="25"/>
      <c r="E377" s="24"/>
      <c r="F377" s="105"/>
    </row>
    <row r="378" spans="1:6" ht="12.75" x14ac:dyDescent="0.2">
      <c r="A378" s="24"/>
      <c r="B378" s="24"/>
      <c r="D378" s="25"/>
      <c r="E378" s="24"/>
      <c r="F378" s="105"/>
    </row>
    <row r="379" spans="1:6" ht="12.75" x14ac:dyDescent="0.2">
      <c r="A379" s="24"/>
      <c r="B379" s="24"/>
      <c r="D379" s="25"/>
      <c r="E379" s="24"/>
      <c r="F379" s="105"/>
    </row>
    <row r="380" spans="1:6" ht="12.75" x14ac:dyDescent="0.2">
      <c r="A380" s="24"/>
      <c r="B380" s="24"/>
      <c r="D380" s="25"/>
      <c r="E380" s="24"/>
      <c r="F380" s="105"/>
    </row>
    <row r="381" spans="1:6" ht="12.75" x14ac:dyDescent="0.2">
      <c r="A381" s="24"/>
      <c r="B381" s="24"/>
      <c r="D381" s="25"/>
      <c r="E381" s="24"/>
      <c r="F381" s="105"/>
    </row>
    <row r="382" spans="1:6" ht="12.75" x14ac:dyDescent="0.2">
      <c r="A382" s="24"/>
      <c r="B382" s="24"/>
      <c r="D382" s="25"/>
      <c r="E382" s="24"/>
      <c r="F382" s="105"/>
    </row>
    <row r="383" spans="1:6" ht="12.75" x14ac:dyDescent="0.2">
      <c r="A383" s="24"/>
      <c r="B383" s="24"/>
      <c r="D383" s="25"/>
      <c r="E383" s="24"/>
      <c r="F383" s="105"/>
    </row>
    <row r="384" spans="1:6" ht="12.75" x14ac:dyDescent="0.2">
      <c r="A384" s="24"/>
      <c r="B384" s="24"/>
      <c r="D384" s="25"/>
      <c r="E384" s="24"/>
      <c r="F384" s="105"/>
    </row>
    <row r="385" spans="1:6" ht="12.75" x14ac:dyDescent="0.2">
      <c r="A385" s="24"/>
      <c r="B385" s="24"/>
      <c r="D385" s="25"/>
      <c r="E385" s="24"/>
      <c r="F385" s="105"/>
    </row>
    <row r="386" spans="1:6" ht="12.75" x14ac:dyDescent="0.2">
      <c r="A386" s="24"/>
      <c r="B386" s="24"/>
      <c r="D386" s="25"/>
      <c r="E386" s="24"/>
      <c r="F386" s="105"/>
    </row>
    <row r="387" spans="1:6" ht="12.75" x14ac:dyDescent="0.2">
      <c r="A387" s="24"/>
      <c r="B387" s="24"/>
      <c r="D387" s="25"/>
      <c r="E387" s="24"/>
      <c r="F387" s="105"/>
    </row>
    <row r="388" spans="1:6" ht="12.75" x14ac:dyDescent="0.2">
      <c r="A388" s="24"/>
      <c r="B388" s="24"/>
      <c r="D388" s="25"/>
      <c r="E388" s="24"/>
      <c r="F388" s="105"/>
    </row>
    <row r="389" spans="1:6" ht="12.75" x14ac:dyDescent="0.2">
      <c r="A389" s="24"/>
      <c r="B389" s="24"/>
      <c r="D389" s="25"/>
      <c r="E389" s="24"/>
      <c r="F389" s="105"/>
    </row>
    <row r="390" spans="1:6" ht="12.75" x14ac:dyDescent="0.2">
      <c r="A390" s="24"/>
      <c r="B390" s="24"/>
      <c r="D390" s="25"/>
      <c r="E390" s="24"/>
      <c r="F390" s="105"/>
    </row>
    <row r="391" spans="1:6" ht="12.75" x14ac:dyDescent="0.2">
      <c r="A391" s="24"/>
      <c r="B391" s="24"/>
      <c r="D391" s="25"/>
      <c r="E391" s="24"/>
      <c r="F391" s="105"/>
    </row>
    <row r="392" spans="1:6" ht="12.75" x14ac:dyDescent="0.2">
      <c r="A392" s="24"/>
      <c r="B392" s="24"/>
      <c r="D392" s="25"/>
      <c r="E392" s="24"/>
      <c r="F392" s="105"/>
    </row>
    <row r="393" spans="1:6" ht="12.75" x14ac:dyDescent="0.2">
      <c r="A393" s="24"/>
      <c r="B393" s="24"/>
      <c r="D393" s="25"/>
      <c r="E393" s="24"/>
      <c r="F393" s="105"/>
    </row>
    <row r="394" spans="1:6" ht="12.75" x14ac:dyDescent="0.2">
      <c r="A394" s="24"/>
      <c r="B394" s="24"/>
      <c r="D394" s="25"/>
      <c r="E394" s="24"/>
      <c r="F394" s="105"/>
    </row>
    <row r="395" spans="1:6" ht="12.75" x14ac:dyDescent="0.2">
      <c r="A395" s="24"/>
      <c r="B395" s="24"/>
      <c r="D395" s="25"/>
      <c r="E395" s="24"/>
      <c r="F395" s="105"/>
    </row>
    <row r="396" spans="1:6" ht="12.75" x14ac:dyDescent="0.2">
      <c r="A396" s="24"/>
      <c r="B396" s="24"/>
      <c r="D396" s="25"/>
      <c r="E396" s="24"/>
      <c r="F396" s="105"/>
    </row>
    <row r="397" spans="1:6" ht="12.75" x14ac:dyDescent="0.2">
      <c r="A397" s="24"/>
      <c r="B397" s="24"/>
      <c r="D397" s="25"/>
      <c r="E397" s="24"/>
      <c r="F397" s="105"/>
    </row>
    <row r="398" spans="1:6" ht="12.75" x14ac:dyDescent="0.2">
      <c r="A398" s="24"/>
      <c r="B398" s="24"/>
      <c r="D398" s="25"/>
      <c r="E398" s="24"/>
      <c r="F398" s="105"/>
    </row>
    <row r="399" spans="1:6" ht="12.75" x14ac:dyDescent="0.2">
      <c r="A399" s="24"/>
      <c r="B399" s="24"/>
      <c r="D399" s="25"/>
      <c r="E399" s="24"/>
      <c r="F399" s="105"/>
    </row>
    <row r="400" spans="1:6" ht="12.75" x14ac:dyDescent="0.2">
      <c r="A400" s="24"/>
      <c r="B400" s="24"/>
      <c r="D400" s="25"/>
      <c r="E400" s="24"/>
      <c r="F400" s="105"/>
    </row>
    <row r="401" spans="1:6" ht="12.75" x14ac:dyDescent="0.2">
      <c r="A401" s="24"/>
      <c r="B401" s="24"/>
      <c r="D401" s="25"/>
      <c r="E401" s="24"/>
      <c r="F401" s="105"/>
    </row>
    <row r="402" spans="1:6" ht="12.75" x14ac:dyDescent="0.2">
      <c r="A402" s="24"/>
      <c r="B402" s="24"/>
      <c r="D402" s="25"/>
      <c r="E402" s="24"/>
      <c r="F402" s="105"/>
    </row>
    <row r="403" spans="1:6" ht="12.75" x14ac:dyDescent="0.2">
      <c r="A403" s="24"/>
      <c r="B403" s="24"/>
      <c r="D403" s="25"/>
      <c r="E403" s="24"/>
      <c r="F403" s="105"/>
    </row>
    <row r="404" spans="1:6" ht="12.75" x14ac:dyDescent="0.2">
      <c r="A404" s="24"/>
      <c r="B404" s="24"/>
      <c r="D404" s="25"/>
      <c r="E404" s="24"/>
      <c r="F404" s="105"/>
    </row>
    <row r="405" spans="1:6" ht="12.75" x14ac:dyDescent="0.2">
      <c r="A405" s="24"/>
      <c r="B405" s="24"/>
      <c r="D405" s="25"/>
      <c r="E405" s="24"/>
      <c r="F405" s="105"/>
    </row>
    <row r="406" spans="1:6" ht="12.75" x14ac:dyDescent="0.2">
      <c r="A406" s="24"/>
      <c r="B406" s="24"/>
      <c r="D406" s="25"/>
      <c r="E406" s="24"/>
      <c r="F406" s="105"/>
    </row>
    <row r="407" spans="1:6" ht="12.75" x14ac:dyDescent="0.2">
      <c r="A407" s="24"/>
      <c r="B407" s="24"/>
      <c r="D407" s="25"/>
      <c r="E407" s="24"/>
      <c r="F407" s="105"/>
    </row>
    <row r="408" spans="1:6" ht="12.75" x14ac:dyDescent="0.2">
      <c r="A408" s="24"/>
      <c r="B408" s="24"/>
      <c r="D408" s="25"/>
      <c r="E408" s="24"/>
      <c r="F408" s="105"/>
    </row>
    <row r="409" spans="1:6" ht="12.75" x14ac:dyDescent="0.2">
      <c r="A409" s="24"/>
      <c r="B409" s="24"/>
      <c r="D409" s="25"/>
      <c r="E409" s="24"/>
      <c r="F409" s="105"/>
    </row>
    <row r="410" spans="1:6" ht="12.75" x14ac:dyDescent="0.2">
      <c r="A410" s="24"/>
      <c r="B410" s="24"/>
      <c r="D410" s="25"/>
      <c r="E410" s="24"/>
      <c r="F410" s="105"/>
    </row>
    <row r="411" spans="1:6" ht="12.75" x14ac:dyDescent="0.2">
      <c r="A411" s="24"/>
      <c r="B411" s="24"/>
      <c r="D411" s="25"/>
      <c r="E411" s="24"/>
      <c r="F411" s="105"/>
    </row>
    <row r="412" spans="1:6" ht="12.75" x14ac:dyDescent="0.2">
      <c r="A412" s="24"/>
      <c r="B412" s="24"/>
      <c r="D412" s="25"/>
      <c r="E412" s="24"/>
      <c r="F412" s="105"/>
    </row>
    <row r="413" spans="1:6" ht="12.75" x14ac:dyDescent="0.2">
      <c r="A413" s="24"/>
      <c r="B413" s="24"/>
      <c r="D413" s="25"/>
      <c r="E413" s="24"/>
      <c r="F413" s="105"/>
    </row>
    <row r="414" spans="1:6" ht="12.75" x14ac:dyDescent="0.2">
      <c r="A414" s="24"/>
      <c r="B414" s="24"/>
      <c r="D414" s="25"/>
      <c r="E414" s="24"/>
      <c r="F414" s="105"/>
    </row>
    <row r="415" spans="1:6" ht="12.75" x14ac:dyDescent="0.2">
      <c r="A415" s="24"/>
      <c r="B415" s="24"/>
      <c r="D415" s="25"/>
      <c r="E415" s="24"/>
      <c r="F415" s="105"/>
    </row>
    <row r="416" spans="1:6" ht="12.75" x14ac:dyDescent="0.2">
      <c r="A416" s="24"/>
      <c r="B416" s="24"/>
      <c r="D416" s="25"/>
      <c r="E416" s="24"/>
      <c r="F416" s="105"/>
    </row>
    <row r="417" spans="1:6" ht="12.75" x14ac:dyDescent="0.2">
      <c r="A417" s="24"/>
      <c r="B417" s="24"/>
      <c r="D417" s="25"/>
      <c r="E417" s="24"/>
      <c r="F417" s="105"/>
    </row>
    <row r="418" spans="1:6" ht="12.75" x14ac:dyDescent="0.2">
      <c r="A418" s="24"/>
      <c r="B418" s="24"/>
      <c r="D418" s="25"/>
      <c r="E418" s="24"/>
      <c r="F418" s="105"/>
    </row>
    <row r="419" spans="1:6" ht="12.75" x14ac:dyDescent="0.2">
      <c r="A419" s="24"/>
      <c r="B419" s="24"/>
      <c r="D419" s="25"/>
      <c r="E419" s="24"/>
      <c r="F419" s="105"/>
    </row>
    <row r="420" spans="1:6" ht="12.75" x14ac:dyDescent="0.2">
      <c r="A420" s="24"/>
      <c r="B420" s="24"/>
      <c r="D420" s="25"/>
      <c r="E420" s="24"/>
      <c r="F420" s="105"/>
    </row>
    <row r="421" spans="1:6" ht="12.75" x14ac:dyDescent="0.2">
      <c r="A421" s="24"/>
      <c r="B421" s="24"/>
      <c r="D421" s="25"/>
      <c r="E421" s="24"/>
      <c r="F421" s="105"/>
    </row>
    <row r="422" spans="1:6" ht="12.75" x14ac:dyDescent="0.2">
      <c r="A422" s="24"/>
      <c r="B422" s="24"/>
      <c r="D422" s="25"/>
      <c r="E422" s="24"/>
      <c r="F422" s="105"/>
    </row>
    <row r="423" spans="1:6" ht="12.75" x14ac:dyDescent="0.2">
      <c r="A423" s="24"/>
      <c r="B423" s="24"/>
      <c r="D423" s="25"/>
      <c r="E423" s="24"/>
      <c r="F423" s="105"/>
    </row>
    <row r="424" spans="1:6" ht="12.75" x14ac:dyDescent="0.2">
      <c r="A424" s="24"/>
      <c r="B424" s="24"/>
      <c r="D424" s="25"/>
      <c r="E424" s="24"/>
      <c r="F424" s="105"/>
    </row>
    <row r="425" spans="1:6" ht="12.75" x14ac:dyDescent="0.2">
      <c r="A425" s="24"/>
      <c r="B425" s="24"/>
      <c r="D425" s="25"/>
      <c r="E425" s="24"/>
      <c r="F425" s="105"/>
    </row>
    <row r="426" spans="1:6" ht="12.75" x14ac:dyDescent="0.2">
      <c r="A426" s="24"/>
      <c r="B426" s="24"/>
      <c r="D426" s="25"/>
      <c r="E426" s="24"/>
      <c r="F426" s="105"/>
    </row>
    <row r="427" spans="1:6" ht="12.75" x14ac:dyDescent="0.2">
      <c r="A427" s="24"/>
      <c r="B427" s="24"/>
      <c r="D427" s="25"/>
      <c r="E427" s="24"/>
      <c r="F427" s="105"/>
    </row>
    <row r="428" spans="1:6" ht="12.75" x14ac:dyDescent="0.2">
      <c r="A428" s="24"/>
      <c r="B428" s="24"/>
      <c r="D428" s="25"/>
      <c r="E428" s="24"/>
      <c r="F428" s="105"/>
    </row>
    <row r="429" spans="1:6" ht="12.75" x14ac:dyDescent="0.2">
      <c r="A429" s="24"/>
      <c r="B429" s="24"/>
      <c r="D429" s="25"/>
      <c r="E429" s="24"/>
      <c r="F429" s="105"/>
    </row>
    <row r="430" spans="1:6" ht="12.75" x14ac:dyDescent="0.2">
      <c r="A430" s="24"/>
      <c r="B430" s="24"/>
      <c r="D430" s="25"/>
      <c r="E430" s="24"/>
      <c r="F430" s="105"/>
    </row>
    <row r="431" spans="1:6" ht="12.75" x14ac:dyDescent="0.2">
      <c r="A431" s="24"/>
      <c r="B431" s="24"/>
      <c r="D431" s="25"/>
      <c r="E431" s="24"/>
      <c r="F431" s="105"/>
    </row>
    <row r="432" spans="1:6" ht="12.75" x14ac:dyDescent="0.2">
      <c r="A432" s="24"/>
      <c r="B432" s="24"/>
      <c r="D432" s="25"/>
      <c r="E432" s="24"/>
      <c r="F432" s="105"/>
    </row>
    <row r="433" spans="1:6" ht="12.75" x14ac:dyDescent="0.2">
      <c r="A433" s="24"/>
      <c r="B433" s="24"/>
      <c r="D433" s="25"/>
      <c r="E433" s="24"/>
      <c r="F433" s="105"/>
    </row>
    <row r="434" spans="1:6" ht="12.75" x14ac:dyDescent="0.2">
      <c r="A434" s="24"/>
      <c r="B434" s="24"/>
      <c r="D434" s="25"/>
      <c r="E434" s="24"/>
      <c r="F434" s="105"/>
    </row>
    <row r="435" spans="1:6" ht="12.75" x14ac:dyDescent="0.2">
      <c r="A435" s="24"/>
      <c r="B435" s="24"/>
      <c r="D435" s="25"/>
      <c r="E435" s="24"/>
      <c r="F435" s="105"/>
    </row>
    <row r="436" spans="1:6" ht="12.75" x14ac:dyDescent="0.2">
      <c r="A436" s="24"/>
      <c r="B436" s="24"/>
      <c r="D436" s="25"/>
      <c r="E436" s="24"/>
      <c r="F436" s="105"/>
    </row>
    <row r="437" spans="1:6" ht="12.75" x14ac:dyDescent="0.2">
      <c r="A437" s="24"/>
      <c r="B437" s="24"/>
      <c r="D437" s="25"/>
      <c r="E437" s="24"/>
      <c r="F437" s="105"/>
    </row>
    <row r="438" spans="1:6" ht="12.75" x14ac:dyDescent="0.2">
      <c r="A438" s="24"/>
      <c r="B438" s="24"/>
      <c r="D438" s="25"/>
      <c r="E438" s="24"/>
      <c r="F438" s="105"/>
    </row>
    <row r="439" spans="1:6" ht="12.75" x14ac:dyDescent="0.2">
      <c r="A439" s="24"/>
      <c r="B439" s="24"/>
      <c r="D439" s="25"/>
      <c r="E439" s="24"/>
      <c r="F439" s="105"/>
    </row>
    <row r="440" spans="1:6" ht="12.75" x14ac:dyDescent="0.2">
      <c r="A440" s="24"/>
      <c r="B440" s="24"/>
      <c r="D440" s="25"/>
      <c r="E440" s="24"/>
      <c r="F440" s="105"/>
    </row>
    <row r="441" spans="1:6" ht="12.75" x14ac:dyDescent="0.2">
      <c r="A441" s="24"/>
      <c r="B441" s="24"/>
      <c r="D441" s="25"/>
      <c r="E441" s="24"/>
      <c r="F441" s="105"/>
    </row>
    <row r="442" spans="1:6" ht="12.75" x14ac:dyDescent="0.2">
      <c r="A442" s="24"/>
      <c r="B442" s="24"/>
      <c r="D442" s="25"/>
      <c r="E442" s="24"/>
      <c r="F442" s="105"/>
    </row>
    <row r="443" spans="1:6" ht="12.75" x14ac:dyDescent="0.2">
      <c r="A443" s="24"/>
      <c r="B443" s="24"/>
      <c r="D443" s="25"/>
      <c r="E443" s="24"/>
      <c r="F443" s="105"/>
    </row>
    <row r="444" spans="1:6" ht="12.75" x14ac:dyDescent="0.2">
      <c r="A444" s="24"/>
      <c r="B444" s="24"/>
      <c r="D444" s="25"/>
      <c r="E444" s="24"/>
      <c r="F444" s="105"/>
    </row>
    <row r="445" spans="1:6" ht="12.75" x14ac:dyDescent="0.2">
      <c r="A445" s="24"/>
      <c r="B445" s="24"/>
      <c r="D445" s="25"/>
      <c r="E445" s="24"/>
      <c r="F445" s="105"/>
    </row>
    <row r="446" spans="1:6" ht="12.75" x14ac:dyDescent="0.2">
      <c r="A446" s="24"/>
      <c r="B446" s="24"/>
      <c r="D446" s="25"/>
      <c r="E446" s="24"/>
      <c r="F446" s="105"/>
    </row>
    <row r="447" spans="1:6" ht="12.75" x14ac:dyDescent="0.2">
      <c r="A447" s="24"/>
      <c r="B447" s="24"/>
      <c r="D447" s="25"/>
      <c r="E447" s="24"/>
      <c r="F447" s="105"/>
    </row>
    <row r="448" spans="1:6" ht="12.75" x14ac:dyDescent="0.2">
      <c r="A448" s="24"/>
      <c r="B448" s="24"/>
      <c r="D448" s="25"/>
      <c r="E448" s="24"/>
      <c r="F448" s="105"/>
    </row>
    <row r="449" spans="1:6" ht="12.75" x14ac:dyDescent="0.2">
      <c r="A449" s="24"/>
      <c r="B449" s="24"/>
      <c r="D449" s="25"/>
      <c r="E449" s="24"/>
      <c r="F449" s="105"/>
    </row>
    <row r="450" spans="1:6" ht="12.75" x14ac:dyDescent="0.2">
      <c r="A450" s="24"/>
      <c r="B450" s="24"/>
      <c r="D450" s="25"/>
      <c r="E450" s="24"/>
      <c r="F450" s="105"/>
    </row>
    <row r="451" spans="1:6" ht="12.75" x14ac:dyDescent="0.2">
      <c r="A451" s="24"/>
      <c r="B451" s="24"/>
      <c r="D451" s="25"/>
      <c r="E451" s="24"/>
      <c r="F451" s="105"/>
    </row>
    <row r="452" spans="1:6" ht="12.75" x14ac:dyDescent="0.2">
      <c r="A452" s="24"/>
      <c r="B452" s="24"/>
      <c r="D452" s="25"/>
      <c r="E452" s="24"/>
      <c r="F452" s="105"/>
    </row>
    <row r="453" spans="1:6" ht="12.75" x14ac:dyDescent="0.2">
      <c r="A453" s="24"/>
      <c r="B453" s="24"/>
      <c r="D453" s="25"/>
      <c r="E453" s="24"/>
      <c r="F453" s="105"/>
    </row>
    <row r="454" spans="1:6" ht="12.75" x14ac:dyDescent="0.2">
      <c r="A454" s="24"/>
      <c r="B454" s="24"/>
      <c r="D454" s="25"/>
      <c r="E454" s="24"/>
      <c r="F454" s="105"/>
    </row>
    <row r="455" spans="1:6" ht="12.75" x14ac:dyDescent="0.2">
      <c r="A455" s="24"/>
      <c r="B455" s="24"/>
      <c r="D455" s="25"/>
      <c r="E455" s="24"/>
      <c r="F455" s="105"/>
    </row>
    <row r="456" spans="1:6" ht="12.75" x14ac:dyDescent="0.2">
      <c r="A456" s="24"/>
      <c r="B456" s="24"/>
      <c r="D456" s="25"/>
      <c r="E456" s="24"/>
      <c r="F456" s="105"/>
    </row>
    <row r="457" spans="1:6" ht="12.75" x14ac:dyDescent="0.2">
      <c r="A457" s="24"/>
      <c r="B457" s="24"/>
      <c r="D457" s="25"/>
      <c r="E457" s="24"/>
      <c r="F457" s="105"/>
    </row>
    <row r="458" spans="1:6" ht="12.75" x14ac:dyDescent="0.2">
      <c r="A458" s="24"/>
      <c r="B458" s="24"/>
      <c r="D458" s="25"/>
      <c r="E458" s="24"/>
      <c r="F458" s="105"/>
    </row>
    <row r="459" spans="1:6" ht="12.75" x14ac:dyDescent="0.2">
      <c r="A459" s="24"/>
      <c r="B459" s="24"/>
      <c r="D459" s="25"/>
      <c r="E459" s="24"/>
      <c r="F459" s="105"/>
    </row>
    <row r="460" spans="1:6" ht="12.75" x14ac:dyDescent="0.2">
      <c r="A460" s="24"/>
      <c r="B460" s="24"/>
      <c r="D460" s="25"/>
      <c r="E460" s="24"/>
      <c r="F460" s="105"/>
    </row>
    <row r="461" spans="1:6" ht="12.75" x14ac:dyDescent="0.2">
      <c r="A461" s="24"/>
      <c r="B461" s="24"/>
      <c r="D461" s="25"/>
      <c r="E461" s="24"/>
      <c r="F461" s="105"/>
    </row>
    <row r="462" spans="1:6" ht="12.75" x14ac:dyDescent="0.2">
      <c r="A462" s="24"/>
      <c r="B462" s="24"/>
      <c r="D462" s="25"/>
      <c r="E462" s="24"/>
      <c r="F462" s="105"/>
    </row>
    <row r="463" spans="1:6" ht="12.75" x14ac:dyDescent="0.2">
      <c r="A463" s="24"/>
      <c r="B463" s="24"/>
      <c r="D463" s="25"/>
      <c r="E463" s="24"/>
      <c r="F463" s="105"/>
    </row>
    <row r="464" spans="1:6" ht="12.75" x14ac:dyDescent="0.2">
      <c r="A464" s="24"/>
      <c r="B464" s="24"/>
      <c r="D464" s="25"/>
      <c r="E464" s="24"/>
      <c r="F464" s="105"/>
    </row>
    <row r="465" spans="1:6" ht="12.75" x14ac:dyDescent="0.2">
      <c r="A465" s="24"/>
      <c r="B465" s="24"/>
      <c r="D465" s="25"/>
      <c r="E465" s="24"/>
      <c r="F465" s="105"/>
    </row>
    <row r="466" spans="1:6" ht="12.75" x14ac:dyDescent="0.2">
      <c r="A466" s="24"/>
      <c r="B466" s="24"/>
      <c r="D466" s="25"/>
      <c r="E466" s="24"/>
      <c r="F466" s="105"/>
    </row>
    <row r="467" spans="1:6" ht="12.75" x14ac:dyDescent="0.2">
      <c r="A467" s="24"/>
      <c r="B467" s="24"/>
      <c r="D467" s="25"/>
      <c r="E467" s="24"/>
      <c r="F467" s="105"/>
    </row>
    <row r="468" spans="1:6" ht="12.75" x14ac:dyDescent="0.2">
      <c r="A468" s="24"/>
      <c r="B468" s="24"/>
      <c r="D468" s="25"/>
      <c r="E468" s="24"/>
      <c r="F468" s="105"/>
    </row>
    <row r="469" spans="1:6" ht="12.75" x14ac:dyDescent="0.2">
      <c r="A469" s="24"/>
      <c r="B469" s="24"/>
      <c r="D469" s="25"/>
      <c r="E469" s="24"/>
      <c r="F469" s="105"/>
    </row>
    <row r="470" spans="1:6" ht="12.75" x14ac:dyDescent="0.2">
      <c r="A470" s="24"/>
      <c r="B470" s="24"/>
      <c r="D470" s="25"/>
      <c r="E470" s="24"/>
      <c r="F470" s="105"/>
    </row>
    <row r="471" spans="1:6" ht="12.75" x14ac:dyDescent="0.2">
      <c r="A471" s="24"/>
      <c r="B471" s="24"/>
      <c r="D471" s="25"/>
      <c r="E471" s="24"/>
      <c r="F471" s="105"/>
    </row>
    <row r="472" spans="1:6" ht="12.75" x14ac:dyDescent="0.2">
      <c r="A472" s="24"/>
      <c r="B472" s="24"/>
      <c r="D472" s="25"/>
      <c r="E472" s="24"/>
      <c r="F472" s="105"/>
    </row>
    <row r="473" spans="1:6" ht="12.75" x14ac:dyDescent="0.2">
      <c r="A473" s="24"/>
      <c r="B473" s="24"/>
      <c r="D473" s="25"/>
      <c r="E473" s="24"/>
      <c r="F473" s="105"/>
    </row>
    <row r="474" spans="1:6" ht="12.75" x14ac:dyDescent="0.2">
      <c r="A474" s="24"/>
      <c r="B474" s="24"/>
      <c r="D474" s="25"/>
      <c r="E474" s="24"/>
      <c r="F474" s="105"/>
    </row>
    <row r="475" spans="1:6" ht="12.75" x14ac:dyDescent="0.2">
      <c r="A475" s="24"/>
      <c r="B475" s="24"/>
      <c r="D475" s="25"/>
      <c r="E475" s="24"/>
      <c r="F475" s="105"/>
    </row>
    <row r="476" spans="1:6" ht="12.75" x14ac:dyDescent="0.2">
      <c r="A476" s="24"/>
      <c r="B476" s="24"/>
      <c r="D476" s="25"/>
      <c r="E476" s="24"/>
      <c r="F476" s="105"/>
    </row>
    <row r="477" spans="1:6" ht="12.75" x14ac:dyDescent="0.2">
      <c r="A477" s="24"/>
      <c r="B477" s="24"/>
      <c r="D477" s="25"/>
      <c r="E477" s="24"/>
      <c r="F477" s="105"/>
    </row>
    <row r="478" spans="1:6" ht="12.75" x14ac:dyDescent="0.2">
      <c r="A478" s="24"/>
      <c r="B478" s="24"/>
      <c r="D478" s="25"/>
      <c r="E478" s="24"/>
      <c r="F478" s="105"/>
    </row>
    <row r="479" spans="1:6" ht="12.75" x14ac:dyDescent="0.2">
      <c r="A479" s="24"/>
      <c r="B479" s="24"/>
      <c r="D479" s="25"/>
      <c r="E479" s="24"/>
      <c r="F479" s="105"/>
    </row>
    <row r="480" spans="1:6" ht="12.75" x14ac:dyDescent="0.2">
      <c r="A480" s="24"/>
      <c r="B480" s="24"/>
      <c r="D480" s="25"/>
      <c r="E480" s="24"/>
      <c r="F480" s="105"/>
    </row>
    <row r="481" spans="1:6" ht="12.75" x14ac:dyDescent="0.2">
      <c r="A481" s="24"/>
      <c r="B481" s="24"/>
      <c r="D481" s="25"/>
      <c r="E481" s="24"/>
      <c r="F481" s="105"/>
    </row>
    <row r="482" spans="1:6" ht="12.75" x14ac:dyDescent="0.2">
      <c r="A482" s="24"/>
      <c r="B482" s="24"/>
      <c r="D482" s="25"/>
      <c r="E482" s="24"/>
      <c r="F482" s="105"/>
    </row>
    <row r="483" spans="1:6" ht="12.75" x14ac:dyDescent="0.2">
      <c r="A483" s="24"/>
      <c r="B483" s="24"/>
      <c r="D483" s="25"/>
      <c r="E483" s="24"/>
      <c r="F483" s="105"/>
    </row>
    <row r="484" spans="1:6" ht="12.75" x14ac:dyDescent="0.2">
      <c r="A484" s="24"/>
      <c r="B484" s="24"/>
      <c r="D484" s="25"/>
      <c r="E484" s="24"/>
      <c r="F484" s="105"/>
    </row>
    <row r="485" spans="1:6" ht="12.75" x14ac:dyDescent="0.2">
      <c r="A485" s="24"/>
      <c r="B485" s="24"/>
      <c r="D485" s="25"/>
      <c r="E485" s="24"/>
      <c r="F485" s="105"/>
    </row>
    <row r="486" spans="1:6" ht="12.75" x14ac:dyDescent="0.2">
      <c r="A486" s="24"/>
      <c r="B486" s="24"/>
      <c r="D486" s="25"/>
      <c r="E486" s="24"/>
      <c r="F486" s="105"/>
    </row>
    <row r="487" spans="1:6" ht="12.75" x14ac:dyDescent="0.2">
      <c r="A487" s="24"/>
      <c r="B487" s="24"/>
      <c r="D487" s="25"/>
      <c r="E487" s="24"/>
      <c r="F487" s="105"/>
    </row>
    <row r="488" spans="1:6" ht="12.75" x14ac:dyDescent="0.2">
      <c r="A488" s="24"/>
      <c r="B488" s="24"/>
      <c r="D488" s="25"/>
      <c r="E488" s="24"/>
      <c r="F488" s="105"/>
    </row>
    <row r="489" spans="1:6" ht="12.75" x14ac:dyDescent="0.2">
      <c r="A489" s="24"/>
      <c r="B489" s="24"/>
      <c r="D489" s="25"/>
      <c r="E489" s="24"/>
      <c r="F489" s="105"/>
    </row>
    <row r="490" spans="1:6" ht="12.75" x14ac:dyDescent="0.2">
      <c r="A490" s="24"/>
      <c r="B490" s="24"/>
      <c r="D490" s="25"/>
      <c r="E490" s="24"/>
      <c r="F490" s="105"/>
    </row>
    <row r="491" spans="1:6" ht="12.75" x14ac:dyDescent="0.2">
      <c r="A491" s="24"/>
      <c r="B491" s="24"/>
      <c r="D491" s="25"/>
      <c r="E491" s="24"/>
      <c r="F491" s="105"/>
    </row>
    <row r="492" spans="1:6" ht="12.75" x14ac:dyDescent="0.2">
      <c r="A492" s="24"/>
      <c r="B492" s="24"/>
      <c r="D492" s="25"/>
      <c r="E492" s="24"/>
      <c r="F492" s="105"/>
    </row>
    <row r="493" spans="1:6" ht="12.75" x14ac:dyDescent="0.2">
      <c r="A493" s="24"/>
      <c r="B493" s="24"/>
      <c r="D493" s="25"/>
      <c r="E493" s="24"/>
      <c r="F493" s="105"/>
    </row>
    <row r="494" spans="1:6" ht="12.75" x14ac:dyDescent="0.2">
      <c r="A494" s="24"/>
      <c r="B494" s="24"/>
      <c r="D494" s="25"/>
      <c r="E494" s="24"/>
      <c r="F494" s="105"/>
    </row>
    <row r="495" spans="1:6" ht="12.75" x14ac:dyDescent="0.2">
      <c r="A495" s="24"/>
      <c r="B495" s="24"/>
      <c r="D495" s="25"/>
      <c r="E495" s="24"/>
      <c r="F495" s="105"/>
    </row>
    <row r="496" spans="1:6" ht="12.75" x14ac:dyDescent="0.2">
      <c r="A496" s="24"/>
      <c r="B496" s="24"/>
      <c r="D496" s="25"/>
      <c r="E496" s="24"/>
      <c r="F496" s="105"/>
    </row>
    <row r="497" spans="1:6" ht="12.75" x14ac:dyDescent="0.2">
      <c r="A497" s="24"/>
      <c r="B497" s="24"/>
      <c r="D497" s="25"/>
      <c r="E497" s="24"/>
      <c r="F497" s="105"/>
    </row>
    <row r="498" spans="1:6" ht="12.75" x14ac:dyDescent="0.2">
      <c r="A498" s="24"/>
      <c r="B498" s="24"/>
      <c r="D498" s="25"/>
      <c r="E498" s="24"/>
      <c r="F498" s="105"/>
    </row>
    <row r="499" spans="1:6" ht="12.75" x14ac:dyDescent="0.2">
      <c r="A499" s="24"/>
      <c r="B499" s="24"/>
      <c r="D499" s="25"/>
      <c r="E499" s="24"/>
      <c r="F499" s="105"/>
    </row>
    <row r="500" spans="1:6" ht="12.75" x14ac:dyDescent="0.2">
      <c r="A500" s="24"/>
      <c r="B500" s="24"/>
      <c r="D500" s="25"/>
      <c r="E500" s="24"/>
      <c r="F500" s="105"/>
    </row>
    <row r="501" spans="1:6" ht="12.75" x14ac:dyDescent="0.2">
      <c r="A501" s="24"/>
      <c r="B501" s="24"/>
      <c r="D501" s="25"/>
      <c r="E501" s="24"/>
      <c r="F501" s="105"/>
    </row>
    <row r="502" spans="1:6" ht="12.75" x14ac:dyDescent="0.2">
      <c r="A502" s="24"/>
      <c r="B502" s="24"/>
      <c r="D502" s="25"/>
      <c r="E502" s="24"/>
      <c r="F502" s="105"/>
    </row>
    <row r="503" spans="1:6" ht="12.75" x14ac:dyDescent="0.2">
      <c r="A503" s="24"/>
      <c r="B503" s="24"/>
      <c r="D503" s="25"/>
      <c r="E503" s="24"/>
      <c r="F503" s="105"/>
    </row>
    <row r="504" spans="1:6" ht="12.75" x14ac:dyDescent="0.2">
      <c r="A504" s="24"/>
      <c r="B504" s="24"/>
      <c r="D504" s="25"/>
      <c r="E504" s="24"/>
      <c r="F504" s="105"/>
    </row>
    <row r="505" spans="1:6" ht="12.75" x14ac:dyDescent="0.2">
      <c r="A505" s="24"/>
      <c r="B505" s="24"/>
      <c r="D505" s="25"/>
      <c r="E505" s="24"/>
      <c r="F505" s="105"/>
    </row>
    <row r="506" spans="1:6" ht="12.75" x14ac:dyDescent="0.2">
      <c r="A506" s="24"/>
      <c r="B506" s="24"/>
      <c r="D506" s="25"/>
      <c r="E506" s="24"/>
      <c r="F506" s="105"/>
    </row>
    <row r="507" spans="1:6" ht="12.75" x14ac:dyDescent="0.2">
      <c r="A507" s="24"/>
      <c r="B507" s="24"/>
      <c r="D507" s="25"/>
      <c r="E507" s="24"/>
      <c r="F507" s="105"/>
    </row>
    <row r="508" spans="1:6" ht="12.75" x14ac:dyDescent="0.2">
      <c r="A508" s="24"/>
      <c r="B508" s="24"/>
      <c r="D508" s="25"/>
      <c r="E508" s="24"/>
      <c r="F508" s="105"/>
    </row>
    <row r="509" spans="1:6" ht="12.75" x14ac:dyDescent="0.2">
      <c r="A509" s="24"/>
      <c r="B509" s="24"/>
      <c r="D509" s="25"/>
      <c r="E509" s="24"/>
      <c r="F509" s="105"/>
    </row>
    <row r="510" spans="1:6" ht="12.75" x14ac:dyDescent="0.2">
      <c r="A510" s="24"/>
      <c r="B510" s="24"/>
      <c r="D510" s="25"/>
      <c r="E510" s="24"/>
      <c r="F510" s="105"/>
    </row>
    <row r="511" spans="1:6" ht="12.75" x14ac:dyDescent="0.2">
      <c r="A511" s="24"/>
      <c r="B511" s="24"/>
      <c r="D511" s="25"/>
      <c r="E511" s="24"/>
      <c r="F511" s="105"/>
    </row>
    <row r="512" spans="1:6" ht="12.75" x14ac:dyDescent="0.2">
      <c r="A512" s="24"/>
      <c r="B512" s="24"/>
      <c r="D512" s="25"/>
      <c r="E512" s="24"/>
      <c r="F512" s="105"/>
    </row>
    <row r="513" spans="1:6" ht="12.75" x14ac:dyDescent="0.2">
      <c r="A513" s="24"/>
      <c r="B513" s="24"/>
      <c r="D513" s="25"/>
      <c r="E513" s="24"/>
      <c r="F513" s="105"/>
    </row>
    <row r="514" spans="1:6" ht="12.75" x14ac:dyDescent="0.2">
      <c r="A514" s="24"/>
      <c r="B514" s="24"/>
      <c r="D514" s="25"/>
      <c r="E514" s="24"/>
      <c r="F514" s="105"/>
    </row>
    <row r="515" spans="1:6" ht="12.75" x14ac:dyDescent="0.2">
      <c r="A515" s="24"/>
      <c r="B515" s="24"/>
      <c r="D515" s="25"/>
      <c r="E515" s="24"/>
      <c r="F515" s="105"/>
    </row>
    <row r="516" spans="1:6" ht="12.75" x14ac:dyDescent="0.2">
      <c r="A516" s="24"/>
      <c r="B516" s="24"/>
      <c r="D516" s="25"/>
      <c r="E516" s="24"/>
      <c r="F516" s="105"/>
    </row>
    <row r="517" spans="1:6" ht="12.75" x14ac:dyDescent="0.2">
      <c r="A517" s="24"/>
      <c r="B517" s="24"/>
      <c r="D517" s="25"/>
      <c r="E517" s="24"/>
      <c r="F517" s="105"/>
    </row>
    <row r="518" spans="1:6" ht="12.75" x14ac:dyDescent="0.2">
      <c r="A518" s="24"/>
      <c r="B518" s="24"/>
      <c r="D518" s="25"/>
      <c r="E518" s="24"/>
      <c r="F518" s="105"/>
    </row>
    <row r="519" spans="1:6" ht="12.75" x14ac:dyDescent="0.2">
      <c r="A519" s="24"/>
      <c r="B519" s="24"/>
      <c r="D519" s="25"/>
      <c r="E519" s="24"/>
      <c r="F519" s="105"/>
    </row>
    <row r="520" spans="1:6" ht="12.75" x14ac:dyDescent="0.2">
      <c r="A520" s="24"/>
      <c r="B520" s="24"/>
      <c r="D520" s="25"/>
      <c r="E520" s="24"/>
      <c r="F520" s="105"/>
    </row>
    <row r="521" spans="1:6" ht="12.75" x14ac:dyDescent="0.2">
      <c r="A521" s="24"/>
      <c r="B521" s="24"/>
      <c r="D521" s="25"/>
      <c r="E521" s="24"/>
      <c r="F521" s="105"/>
    </row>
    <row r="522" spans="1:6" ht="12.75" x14ac:dyDescent="0.2">
      <c r="A522" s="24"/>
      <c r="B522" s="24"/>
      <c r="D522" s="25"/>
      <c r="E522" s="24"/>
      <c r="F522" s="105"/>
    </row>
    <row r="523" spans="1:6" ht="12.75" x14ac:dyDescent="0.2">
      <c r="A523" s="24"/>
      <c r="B523" s="24"/>
      <c r="D523" s="25"/>
      <c r="E523" s="24"/>
      <c r="F523" s="105"/>
    </row>
    <row r="524" spans="1:6" ht="12.75" x14ac:dyDescent="0.2">
      <c r="A524" s="24"/>
      <c r="B524" s="24"/>
      <c r="D524" s="25"/>
      <c r="E524" s="24"/>
      <c r="F524" s="105"/>
    </row>
    <row r="525" spans="1:6" ht="12.75" x14ac:dyDescent="0.2">
      <c r="A525" s="24"/>
      <c r="B525" s="24"/>
      <c r="D525" s="25"/>
      <c r="E525" s="24"/>
      <c r="F525" s="105"/>
    </row>
    <row r="526" spans="1:6" ht="12.75" x14ac:dyDescent="0.2">
      <c r="A526" s="24"/>
      <c r="B526" s="24"/>
      <c r="D526" s="25"/>
      <c r="E526" s="24"/>
      <c r="F526" s="105"/>
    </row>
    <row r="527" spans="1:6" ht="12.75" x14ac:dyDescent="0.2">
      <c r="A527" s="24"/>
      <c r="B527" s="24"/>
      <c r="D527" s="25"/>
      <c r="E527" s="24"/>
      <c r="F527" s="105"/>
    </row>
    <row r="528" spans="1:6" ht="12.75" x14ac:dyDescent="0.2">
      <c r="A528" s="24"/>
      <c r="B528" s="24"/>
      <c r="D528" s="25"/>
      <c r="E528" s="24"/>
      <c r="F528" s="105"/>
    </row>
    <row r="529" spans="1:6" ht="12.75" x14ac:dyDescent="0.2">
      <c r="A529" s="24"/>
      <c r="B529" s="24"/>
      <c r="D529" s="25"/>
      <c r="E529" s="24"/>
      <c r="F529" s="105"/>
    </row>
    <row r="530" spans="1:6" ht="12.75" x14ac:dyDescent="0.2">
      <c r="A530" s="24"/>
      <c r="B530" s="24"/>
      <c r="D530" s="25"/>
      <c r="E530" s="24"/>
      <c r="F530" s="105"/>
    </row>
    <row r="531" spans="1:6" ht="12.75" x14ac:dyDescent="0.2">
      <c r="A531" s="24"/>
      <c r="B531" s="24"/>
      <c r="D531" s="25"/>
      <c r="E531" s="24"/>
      <c r="F531" s="105"/>
    </row>
    <row r="532" spans="1:6" ht="12.75" x14ac:dyDescent="0.2">
      <c r="A532" s="24"/>
      <c r="B532" s="24"/>
      <c r="D532" s="25"/>
      <c r="E532" s="24"/>
      <c r="F532" s="105"/>
    </row>
    <row r="533" spans="1:6" ht="12.75" x14ac:dyDescent="0.2">
      <c r="A533" s="24"/>
      <c r="B533" s="24"/>
      <c r="D533" s="25"/>
      <c r="E533" s="24"/>
      <c r="F533" s="105"/>
    </row>
    <row r="534" spans="1:6" ht="12.75" x14ac:dyDescent="0.2">
      <c r="A534" s="24"/>
      <c r="B534" s="24"/>
      <c r="D534" s="25"/>
      <c r="E534" s="24"/>
      <c r="F534" s="105"/>
    </row>
    <row r="535" spans="1:6" ht="12.75" x14ac:dyDescent="0.2">
      <c r="A535" s="24"/>
      <c r="B535" s="24"/>
      <c r="D535" s="25"/>
      <c r="E535" s="24"/>
      <c r="F535" s="105"/>
    </row>
    <row r="536" spans="1:6" ht="12.75" x14ac:dyDescent="0.2">
      <c r="A536" s="24"/>
      <c r="B536" s="24"/>
      <c r="D536" s="25"/>
      <c r="E536" s="24"/>
      <c r="F536" s="105"/>
    </row>
    <row r="537" spans="1:6" ht="12.75" x14ac:dyDescent="0.2">
      <c r="A537" s="24"/>
      <c r="B537" s="24"/>
      <c r="D537" s="25"/>
      <c r="E537" s="24"/>
      <c r="F537" s="105"/>
    </row>
    <row r="538" spans="1:6" ht="12.75" x14ac:dyDescent="0.2">
      <c r="A538" s="24"/>
      <c r="B538" s="24"/>
      <c r="D538" s="25"/>
      <c r="E538" s="24"/>
      <c r="F538" s="105"/>
    </row>
    <row r="539" spans="1:6" ht="12.75" x14ac:dyDescent="0.2">
      <c r="A539" s="24"/>
      <c r="B539" s="24"/>
      <c r="D539" s="25"/>
      <c r="E539" s="24"/>
      <c r="F539" s="105"/>
    </row>
    <row r="540" spans="1:6" ht="12.75" x14ac:dyDescent="0.2">
      <c r="A540" s="24"/>
      <c r="B540" s="24"/>
      <c r="D540" s="25"/>
      <c r="E540" s="24"/>
      <c r="F540" s="105"/>
    </row>
    <row r="541" spans="1:6" ht="12.75" x14ac:dyDescent="0.2">
      <c r="A541" s="24"/>
      <c r="B541" s="24"/>
      <c r="D541" s="25"/>
      <c r="E541" s="24"/>
      <c r="F541" s="105"/>
    </row>
    <row r="542" spans="1:6" ht="12.75" x14ac:dyDescent="0.2">
      <c r="A542" s="24"/>
      <c r="B542" s="24"/>
      <c r="D542" s="25"/>
      <c r="E542" s="24"/>
      <c r="F542" s="105"/>
    </row>
    <row r="543" spans="1:6" ht="12.75" x14ac:dyDescent="0.2">
      <c r="A543" s="24"/>
      <c r="B543" s="24"/>
      <c r="D543" s="25"/>
      <c r="E543" s="24"/>
      <c r="F543" s="105"/>
    </row>
    <row r="544" spans="1:6" ht="12.75" x14ac:dyDescent="0.2">
      <c r="A544" s="24"/>
      <c r="B544" s="24"/>
      <c r="D544" s="25"/>
      <c r="E544" s="24"/>
      <c r="F544" s="105"/>
    </row>
    <row r="545" spans="1:6" ht="12.75" x14ac:dyDescent="0.2">
      <c r="A545" s="24"/>
      <c r="B545" s="24"/>
      <c r="D545" s="25"/>
      <c r="E545" s="24"/>
      <c r="F545" s="105"/>
    </row>
    <row r="546" spans="1:6" ht="12.75" x14ac:dyDescent="0.2">
      <c r="A546" s="24"/>
      <c r="B546" s="24"/>
      <c r="D546" s="25"/>
      <c r="E546" s="24"/>
      <c r="F546" s="105"/>
    </row>
    <row r="547" spans="1:6" ht="12.75" x14ac:dyDescent="0.2">
      <c r="A547" s="24"/>
      <c r="B547" s="24"/>
      <c r="D547" s="25"/>
      <c r="E547" s="24"/>
      <c r="F547" s="105"/>
    </row>
    <row r="548" spans="1:6" ht="12.75" x14ac:dyDescent="0.2">
      <c r="A548" s="24"/>
      <c r="B548" s="24"/>
      <c r="D548" s="25"/>
      <c r="E548" s="24"/>
      <c r="F548" s="105"/>
    </row>
    <row r="549" spans="1:6" ht="12.75" x14ac:dyDescent="0.2">
      <c r="A549" s="24"/>
      <c r="B549" s="24"/>
      <c r="D549" s="25"/>
      <c r="E549" s="24"/>
      <c r="F549" s="105"/>
    </row>
    <row r="550" spans="1:6" ht="12.75" x14ac:dyDescent="0.2">
      <c r="A550" s="24"/>
      <c r="B550" s="24"/>
      <c r="D550" s="25"/>
      <c r="E550" s="24"/>
      <c r="F550" s="105"/>
    </row>
    <row r="551" spans="1:6" ht="12.75" x14ac:dyDescent="0.2">
      <c r="A551" s="24"/>
      <c r="B551" s="24"/>
      <c r="D551" s="25"/>
      <c r="E551" s="24"/>
      <c r="F551" s="105"/>
    </row>
    <row r="552" spans="1:6" ht="12.75" x14ac:dyDescent="0.2">
      <c r="A552" s="24"/>
      <c r="B552" s="24"/>
      <c r="D552" s="25"/>
      <c r="E552" s="24"/>
      <c r="F552" s="105"/>
    </row>
    <row r="553" spans="1:6" ht="12.75" x14ac:dyDescent="0.2">
      <c r="A553" s="24"/>
      <c r="B553" s="24"/>
      <c r="D553" s="25"/>
      <c r="E553" s="24"/>
      <c r="F553" s="105"/>
    </row>
    <row r="554" spans="1:6" ht="12.75" x14ac:dyDescent="0.2">
      <c r="A554" s="24"/>
      <c r="B554" s="24"/>
      <c r="D554" s="25"/>
      <c r="E554" s="24"/>
      <c r="F554" s="105"/>
    </row>
    <row r="555" spans="1:6" ht="12.75" x14ac:dyDescent="0.2">
      <c r="A555" s="24"/>
      <c r="B555" s="24"/>
      <c r="D555" s="25"/>
      <c r="E555" s="24"/>
      <c r="F555" s="105"/>
    </row>
    <row r="556" spans="1:6" ht="12.75" x14ac:dyDescent="0.2">
      <c r="A556" s="24"/>
      <c r="B556" s="24"/>
      <c r="D556" s="25"/>
      <c r="E556" s="24"/>
      <c r="F556" s="105"/>
    </row>
    <row r="557" spans="1:6" ht="12.75" x14ac:dyDescent="0.2">
      <c r="A557" s="24"/>
      <c r="B557" s="24"/>
      <c r="D557" s="25"/>
      <c r="E557" s="24"/>
      <c r="F557" s="105"/>
    </row>
    <row r="558" spans="1:6" ht="12.75" x14ac:dyDescent="0.2">
      <c r="A558" s="24"/>
      <c r="B558" s="24"/>
      <c r="D558" s="25"/>
      <c r="E558" s="24"/>
      <c r="F558" s="105"/>
    </row>
    <row r="559" spans="1:6" ht="12.75" x14ac:dyDescent="0.2">
      <c r="A559" s="24"/>
      <c r="B559" s="24"/>
      <c r="D559" s="25"/>
      <c r="E559" s="24"/>
      <c r="F559" s="105"/>
    </row>
    <row r="560" spans="1:6" ht="12.75" x14ac:dyDescent="0.2">
      <c r="A560" s="24"/>
      <c r="B560" s="24"/>
      <c r="D560" s="25"/>
      <c r="E560" s="24"/>
      <c r="F560" s="105"/>
    </row>
    <row r="561" spans="1:6" ht="12.75" x14ac:dyDescent="0.2">
      <c r="A561" s="24"/>
      <c r="B561" s="24"/>
      <c r="D561" s="25"/>
      <c r="E561" s="24"/>
      <c r="F561" s="105"/>
    </row>
    <row r="562" spans="1:6" ht="12.75" x14ac:dyDescent="0.2">
      <c r="A562" s="24"/>
      <c r="B562" s="24"/>
      <c r="D562" s="25"/>
      <c r="E562" s="24"/>
      <c r="F562" s="105"/>
    </row>
    <row r="563" spans="1:6" ht="12.75" x14ac:dyDescent="0.2">
      <c r="A563" s="24"/>
      <c r="B563" s="24"/>
      <c r="D563" s="25"/>
      <c r="E563" s="24"/>
      <c r="F563" s="105"/>
    </row>
    <row r="564" spans="1:6" ht="12.75" x14ac:dyDescent="0.2">
      <c r="A564" s="24"/>
      <c r="B564" s="24"/>
      <c r="D564" s="25"/>
      <c r="E564" s="24"/>
      <c r="F564" s="105"/>
    </row>
    <row r="565" spans="1:6" ht="12.75" x14ac:dyDescent="0.2">
      <c r="A565" s="24"/>
      <c r="B565" s="24"/>
      <c r="D565" s="25"/>
      <c r="E565" s="24"/>
      <c r="F565" s="105"/>
    </row>
    <row r="566" spans="1:6" ht="12.75" x14ac:dyDescent="0.2">
      <c r="A566" s="24"/>
      <c r="B566" s="24"/>
      <c r="D566" s="25"/>
      <c r="E566" s="24"/>
      <c r="F566" s="105"/>
    </row>
    <row r="567" spans="1:6" ht="12.75" x14ac:dyDescent="0.2">
      <c r="A567" s="24"/>
      <c r="B567" s="24"/>
      <c r="D567" s="25"/>
      <c r="E567" s="24"/>
      <c r="F567" s="105"/>
    </row>
    <row r="568" spans="1:6" ht="12.75" x14ac:dyDescent="0.2">
      <c r="A568" s="24"/>
      <c r="B568" s="24"/>
      <c r="D568" s="25"/>
      <c r="E568" s="24"/>
      <c r="F568" s="105"/>
    </row>
    <row r="569" spans="1:6" ht="12.75" x14ac:dyDescent="0.2">
      <c r="A569" s="24"/>
      <c r="B569" s="24"/>
      <c r="D569" s="25"/>
      <c r="E569" s="24"/>
      <c r="F569" s="105"/>
    </row>
    <row r="570" spans="1:6" ht="12.75" x14ac:dyDescent="0.2">
      <c r="A570" s="24"/>
      <c r="B570" s="24"/>
      <c r="D570" s="25"/>
      <c r="E570" s="24"/>
      <c r="F570" s="105"/>
    </row>
    <row r="571" spans="1:6" ht="12.75" x14ac:dyDescent="0.2">
      <c r="A571" s="24"/>
      <c r="B571" s="24"/>
      <c r="D571" s="25"/>
      <c r="E571" s="24"/>
      <c r="F571" s="105"/>
    </row>
    <row r="572" spans="1:6" ht="12.75" x14ac:dyDescent="0.2">
      <c r="A572" s="24"/>
      <c r="B572" s="24"/>
      <c r="D572" s="25"/>
      <c r="E572" s="24"/>
      <c r="F572" s="105"/>
    </row>
    <row r="573" spans="1:6" ht="12.75" x14ac:dyDescent="0.2">
      <c r="A573" s="24"/>
      <c r="B573" s="24"/>
      <c r="D573" s="25"/>
      <c r="E573" s="24"/>
      <c r="F573" s="105"/>
    </row>
    <row r="574" spans="1:6" ht="12.75" x14ac:dyDescent="0.2">
      <c r="A574" s="24"/>
      <c r="B574" s="24"/>
      <c r="D574" s="25"/>
      <c r="E574" s="24"/>
      <c r="F574" s="105"/>
    </row>
    <row r="575" spans="1:6" ht="12.75" x14ac:dyDescent="0.2">
      <c r="A575" s="24"/>
      <c r="B575" s="24"/>
      <c r="D575" s="25"/>
      <c r="E575" s="24"/>
      <c r="F575" s="105"/>
    </row>
    <row r="576" spans="1:6" ht="12.75" x14ac:dyDescent="0.2">
      <c r="A576" s="24"/>
      <c r="B576" s="24"/>
      <c r="D576" s="25"/>
      <c r="E576" s="24"/>
      <c r="F576" s="105"/>
    </row>
    <row r="577" spans="1:6" ht="12.75" x14ac:dyDescent="0.2">
      <c r="A577" s="24"/>
      <c r="B577" s="24"/>
      <c r="D577" s="25"/>
      <c r="E577" s="24"/>
      <c r="F577" s="105"/>
    </row>
    <row r="578" spans="1:6" ht="12.75" x14ac:dyDescent="0.2">
      <c r="A578" s="24"/>
      <c r="B578" s="24"/>
      <c r="D578" s="25"/>
      <c r="E578" s="24"/>
      <c r="F578" s="105"/>
    </row>
    <row r="579" spans="1:6" ht="12.75" x14ac:dyDescent="0.2">
      <c r="A579" s="24"/>
      <c r="B579" s="24"/>
      <c r="D579" s="25"/>
      <c r="E579" s="24"/>
      <c r="F579" s="105"/>
    </row>
    <row r="580" spans="1:6" ht="12.75" x14ac:dyDescent="0.2">
      <c r="A580" s="24"/>
      <c r="B580" s="24"/>
      <c r="D580" s="25"/>
      <c r="E580" s="24"/>
      <c r="F580" s="105"/>
    </row>
    <row r="581" spans="1:6" ht="12.75" x14ac:dyDescent="0.2">
      <c r="A581" s="24"/>
      <c r="B581" s="24"/>
      <c r="D581" s="25"/>
      <c r="E581" s="24"/>
      <c r="F581" s="105"/>
    </row>
    <row r="582" spans="1:6" ht="12.75" x14ac:dyDescent="0.2">
      <c r="A582" s="24"/>
      <c r="B582" s="24"/>
      <c r="D582" s="25"/>
      <c r="E582" s="24"/>
      <c r="F582" s="105"/>
    </row>
    <row r="583" spans="1:6" ht="12.75" x14ac:dyDescent="0.2">
      <c r="A583" s="24"/>
      <c r="B583" s="24"/>
      <c r="D583" s="25"/>
      <c r="E583" s="24"/>
      <c r="F583" s="105"/>
    </row>
    <row r="584" spans="1:6" ht="12.75" x14ac:dyDescent="0.2">
      <c r="A584" s="24"/>
      <c r="B584" s="24"/>
      <c r="D584" s="25"/>
      <c r="E584" s="24"/>
      <c r="F584" s="105"/>
    </row>
    <row r="585" spans="1:6" ht="12.75" x14ac:dyDescent="0.2">
      <c r="A585" s="24"/>
      <c r="B585" s="24"/>
      <c r="D585" s="25"/>
      <c r="E585" s="24"/>
      <c r="F585" s="105"/>
    </row>
    <row r="586" spans="1:6" ht="12.75" x14ac:dyDescent="0.2">
      <c r="A586" s="24"/>
      <c r="B586" s="24"/>
      <c r="D586" s="25"/>
      <c r="E586" s="24"/>
      <c r="F586" s="105"/>
    </row>
    <row r="587" spans="1:6" ht="12.75" x14ac:dyDescent="0.2">
      <c r="A587" s="24"/>
      <c r="B587" s="24"/>
      <c r="D587" s="25"/>
      <c r="E587" s="24"/>
      <c r="F587" s="105"/>
    </row>
    <row r="588" spans="1:6" ht="12.75" x14ac:dyDescent="0.2">
      <c r="A588" s="24"/>
      <c r="B588" s="24"/>
      <c r="D588" s="25"/>
      <c r="E588" s="24"/>
      <c r="F588" s="105"/>
    </row>
    <row r="589" spans="1:6" ht="12.75" x14ac:dyDescent="0.2">
      <c r="A589" s="24"/>
      <c r="B589" s="24"/>
      <c r="D589" s="25"/>
      <c r="E589" s="24"/>
      <c r="F589" s="105"/>
    </row>
    <row r="590" spans="1:6" ht="12.75" x14ac:dyDescent="0.2">
      <c r="A590" s="24"/>
      <c r="B590" s="24"/>
      <c r="D590" s="25"/>
      <c r="E590" s="24"/>
      <c r="F590" s="105"/>
    </row>
    <row r="591" spans="1:6" ht="12.75" x14ac:dyDescent="0.2">
      <c r="A591" s="24"/>
      <c r="B591" s="24"/>
      <c r="D591" s="25"/>
      <c r="E591" s="24"/>
      <c r="F591" s="105"/>
    </row>
    <row r="592" spans="1:6" ht="12.75" x14ac:dyDescent="0.2">
      <c r="A592" s="24"/>
      <c r="B592" s="24"/>
      <c r="D592" s="25"/>
      <c r="E592" s="24"/>
      <c r="F592" s="105"/>
    </row>
    <row r="593" spans="1:6" ht="12.75" x14ac:dyDescent="0.2">
      <c r="A593" s="24"/>
      <c r="B593" s="24"/>
      <c r="D593" s="25"/>
      <c r="E593" s="24"/>
      <c r="F593" s="105"/>
    </row>
    <row r="594" spans="1:6" ht="12.75" x14ac:dyDescent="0.2">
      <c r="A594" s="24"/>
      <c r="B594" s="24"/>
      <c r="D594" s="25"/>
      <c r="E594" s="24"/>
      <c r="F594" s="105"/>
    </row>
    <row r="595" spans="1:6" ht="12.75" x14ac:dyDescent="0.2">
      <c r="A595" s="24"/>
      <c r="B595" s="24"/>
      <c r="D595" s="25"/>
      <c r="E595" s="24"/>
      <c r="F595" s="105"/>
    </row>
    <row r="596" spans="1:6" ht="12.75" x14ac:dyDescent="0.2">
      <c r="A596" s="24"/>
      <c r="B596" s="24"/>
      <c r="D596" s="25"/>
      <c r="E596" s="24"/>
      <c r="F596" s="105"/>
    </row>
    <row r="597" spans="1:6" ht="12.75" x14ac:dyDescent="0.2">
      <c r="A597" s="24"/>
      <c r="B597" s="24"/>
      <c r="D597" s="25"/>
      <c r="E597" s="24"/>
      <c r="F597" s="105"/>
    </row>
    <row r="598" spans="1:6" ht="12.75" x14ac:dyDescent="0.2">
      <c r="A598" s="24"/>
      <c r="B598" s="24"/>
      <c r="D598" s="25"/>
      <c r="E598" s="24"/>
      <c r="F598" s="105"/>
    </row>
    <row r="599" spans="1:6" ht="12.75" x14ac:dyDescent="0.2">
      <c r="A599" s="24"/>
      <c r="B599" s="24"/>
      <c r="D599" s="25"/>
      <c r="E599" s="24"/>
      <c r="F599" s="105"/>
    </row>
    <row r="600" spans="1:6" ht="12.75" x14ac:dyDescent="0.2">
      <c r="A600" s="24"/>
      <c r="B600" s="24"/>
      <c r="D600" s="25"/>
      <c r="E600" s="24"/>
      <c r="F600" s="105"/>
    </row>
    <row r="601" spans="1:6" ht="12.75" x14ac:dyDescent="0.2">
      <c r="A601" s="24"/>
      <c r="B601" s="24"/>
      <c r="D601" s="25"/>
      <c r="E601" s="24"/>
      <c r="F601" s="105"/>
    </row>
    <row r="602" spans="1:6" ht="12.75" x14ac:dyDescent="0.2">
      <c r="A602" s="24"/>
      <c r="B602" s="24"/>
      <c r="D602" s="25"/>
      <c r="E602" s="24"/>
      <c r="F602" s="105"/>
    </row>
    <row r="603" spans="1:6" ht="12.75" x14ac:dyDescent="0.2">
      <c r="A603" s="24"/>
      <c r="B603" s="24"/>
      <c r="D603" s="25"/>
      <c r="E603" s="24"/>
      <c r="F603" s="105"/>
    </row>
    <row r="604" spans="1:6" ht="12.75" x14ac:dyDescent="0.2">
      <c r="A604" s="24"/>
      <c r="B604" s="24"/>
      <c r="D604" s="25"/>
      <c r="E604" s="24"/>
      <c r="F604" s="105"/>
    </row>
    <row r="605" spans="1:6" ht="12.75" x14ac:dyDescent="0.2">
      <c r="A605" s="24"/>
      <c r="B605" s="24"/>
      <c r="D605" s="25"/>
      <c r="E605" s="24"/>
      <c r="F605" s="105"/>
    </row>
    <row r="606" spans="1:6" ht="12.75" x14ac:dyDescent="0.2">
      <c r="A606" s="24"/>
      <c r="B606" s="24"/>
      <c r="D606" s="25"/>
      <c r="E606" s="24"/>
      <c r="F606" s="105"/>
    </row>
    <row r="607" spans="1:6" ht="12.75" x14ac:dyDescent="0.2">
      <c r="A607" s="24"/>
      <c r="B607" s="24"/>
      <c r="D607" s="25"/>
      <c r="E607" s="24"/>
      <c r="F607" s="105"/>
    </row>
    <row r="608" spans="1:6" ht="12.75" x14ac:dyDescent="0.2">
      <c r="A608" s="24"/>
      <c r="B608" s="24"/>
      <c r="D608" s="25"/>
      <c r="E608" s="24"/>
      <c r="F608" s="105"/>
    </row>
    <row r="609" spans="1:6" ht="12.75" x14ac:dyDescent="0.2">
      <c r="A609" s="24"/>
      <c r="B609" s="24"/>
      <c r="D609" s="25"/>
      <c r="E609" s="24"/>
      <c r="F609" s="105"/>
    </row>
    <row r="610" spans="1:6" ht="12.75" x14ac:dyDescent="0.2">
      <c r="A610" s="24"/>
      <c r="B610" s="24"/>
      <c r="D610" s="25"/>
      <c r="E610" s="24"/>
      <c r="F610" s="105"/>
    </row>
    <row r="611" spans="1:6" ht="12.75" x14ac:dyDescent="0.2">
      <c r="A611" s="24"/>
      <c r="B611" s="24"/>
      <c r="D611" s="25"/>
      <c r="E611" s="24"/>
      <c r="F611" s="105"/>
    </row>
    <row r="612" spans="1:6" ht="12.75" x14ac:dyDescent="0.2">
      <c r="A612" s="24"/>
      <c r="B612" s="24"/>
      <c r="D612" s="25"/>
      <c r="E612" s="24"/>
      <c r="F612" s="105"/>
    </row>
    <row r="613" spans="1:6" ht="12.75" x14ac:dyDescent="0.2">
      <c r="A613" s="24"/>
      <c r="B613" s="24"/>
      <c r="D613" s="25"/>
      <c r="E613" s="24"/>
      <c r="F613" s="105"/>
    </row>
    <row r="614" spans="1:6" ht="12.75" x14ac:dyDescent="0.2">
      <c r="A614" s="24"/>
      <c r="B614" s="24"/>
      <c r="D614" s="25"/>
      <c r="E614" s="24"/>
      <c r="F614" s="105"/>
    </row>
    <row r="615" spans="1:6" ht="12.75" x14ac:dyDescent="0.2">
      <c r="A615" s="24"/>
      <c r="B615" s="24"/>
      <c r="D615" s="25"/>
      <c r="E615" s="24"/>
      <c r="F615" s="105"/>
    </row>
    <row r="616" spans="1:6" ht="12.75" x14ac:dyDescent="0.2">
      <c r="A616" s="24"/>
      <c r="B616" s="24"/>
      <c r="D616" s="25"/>
      <c r="E616" s="24"/>
      <c r="F616" s="105"/>
    </row>
    <row r="617" spans="1:6" ht="12.75" x14ac:dyDescent="0.2">
      <c r="A617" s="24"/>
      <c r="B617" s="24"/>
      <c r="D617" s="25"/>
      <c r="E617" s="24"/>
      <c r="F617" s="105"/>
    </row>
    <row r="618" spans="1:6" ht="12.75" x14ac:dyDescent="0.2">
      <c r="A618" s="24"/>
      <c r="B618" s="24"/>
      <c r="D618" s="25"/>
      <c r="E618" s="24"/>
      <c r="F618" s="105"/>
    </row>
    <row r="619" spans="1:6" ht="12.75" x14ac:dyDescent="0.2">
      <c r="A619" s="24"/>
      <c r="B619" s="24"/>
      <c r="D619" s="25"/>
      <c r="E619" s="24"/>
      <c r="F619" s="105"/>
    </row>
    <row r="620" spans="1:6" ht="12.75" x14ac:dyDescent="0.2">
      <c r="A620" s="24"/>
      <c r="B620" s="24"/>
      <c r="D620" s="25"/>
      <c r="E620" s="24"/>
      <c r="F620" s="105"/>
    </row>
    <row r="621" spans="1:6" ht="12.75" x14ac:dyDescent="0.2">
      <c r="A621" s="24"/>
      <c r="B621" s="24"/>
      <c r="D621" s="25"/>
      <c r="E621" s="24"/>
      <c r="F621" s="105"/>
    </row>
    <row r="622" spans="1:6" ht="12.75" x14ac:dyDescent="0.2">
      <c r="A622" s="24"/>
      <c r="B622" s="24"/>
      <c r="D622" s="25"/>
      <c r="E622" s="24"/>
      <c r="F622" s="105"/>
    </row>
    <row r="623" spans="1:6" ht="12.75" x14ac:dyDescent="0.2">
      <c r="A623" s="24"/>
      <c r="B623" s="24"/>
      <c r="D623" s="25"/>
      <c r="E623" s="24"/>
      <c r="F623" s="105"/>
    </row>
    <row r="624" spans="1:6" ht="12.75" x14ac:dyDescent="0.2">
      <c r="A624" s="24"/>
      <c r="B624" s="24"/>
      <c r="D624" s="25"/>
      <c r="E624" s="24"/>
      <c r="F624" s="105"/>
    </row>
    <row r="625" spans="1:6" ht="12.75" x14ac:dyDescent="0.2">
      <c r="A625" s="24"/>
      <c r="B625" s="24"/>
      <c r="D625" s="25"/>
      <c r="E625" s="24"/>
      <c r="F625" s="105"/>
    </row>
    <row r="626" spans="1:6" ht="12.75" x14ac:dyDescent="0.2">
      <c r="A626" s="24"/>
      <c r="B626" s="24"/>
      <c r="D626" s="25"/>
      <c r="E626" s="24"/>
      <c r="F626" s="105"/>
    </row>
    <row r="627" spans="1:6" ht="12.75" x14ac:dyDescent="0.2">
      <c r="A627" s="24"/>
      <c r="B627" s="24"/>
      <c r="D627" s="25"/>
      <c r="E627" s="24"/>
      <c r="F627" s="105"/>
    </row>
    <row r="628" spans="1:6" ht="12.75" x14ac:dyDescent="0.2">
      <c r="A628" s="24"/>
      <c r="B628" s="24"/>
      <c r="D628" s="25"/>
      <c r="E628" s="24"/>
      <c r="F628" s="105"/>
    </row>
    <row r="629" spans="1:6" ht="12.75" x14ac:dyDescent="0.2">
      <c r="A629" s="24"/>
      <c r="B629" s="24"/>
      <c r="D629" s="25"/>
      <c r="E629" s="24"/>
      <c r="F629" s="105"/>
    </row>
    <row r="630" spans="1:6" ht="12.75" x14ac:dyDescent="0.2">
      <c r="A630" s="24"/>
      <c r="B630" s="24"/>
      <c r="D630" s="25"/>
      <c r="E630" s="24"/>
      <c r="F630" s="105"/>
    </row>
    <row r="631" spans="1:6" ht="12.75" x14ac:dyDescent="0.2">
      <c r="A631" s="24"/>
      <c r="B631" s="24"/>
      <c r="D631" s="25"/>
      <c r="E631" s="24"/>
      <c r="F631" s="105"/>
    </row>
    <row r="632" spans="1:6" ht="12.75" x14ac:dyDescent="0.2">
      <c r="A632" s="24"/>
      <c r="B632" s="24"/>
      <c r="D632" s="25"/>
      <c r="E632" s="24"/>
      <c r="F632" s="105"/>
    </row>
    <row r="633" spans="1:6" ht="12.75" x14ac:dyDescent="0.2">
      <c r="A633" s="24"/>
      <c r="B633" s="24"/>
      <c r="D633" s="25"/>
      <c r="E633" s="24"/>
      <c r="F633" s="105"/>
    </row>
    <row r="634" spans="1:6" ht="12.75" x14ac:dyDescent="0.2">
      <c r="A634" s="24"/>
      <c r="B634" s="24"/>
      <c r="D634" s="25"/>
      <c r="E634" s="24"/>
      <c r="F634" s="105"/>
    </row>
    <row r="635" spans="1:6" ht="12.75" x14ac:dyDescent="0.2">
      <c r="A635" s="24"/>
      <c r="B635" s="24"/>
      <c r="D635" s="25"/>
      <c r="E635" s="24"/>
      <c r="F635" s="105"/>
    </row>
    <row r="636" spans="1:6" ht="12.75" x14ac:dyDescent="0.2">
      <c r="A636" s="24"/>
      <c r="B636" s="24"/>
      <c r="D636" s="25"/>
      <c r="E636" s="24"/>
      <c r="F636" s="105"/>
    </row>
    <row r="637" spans="1:6" ht="12.75" x14ac:dyDescent="0.2">
      <c r="A637" s="24"/>
      <c r="B637" s="24"/>
      <c r="D637" s="25"/>
      <c r="E637" s="24"/>
      <c r="F637" s="105"/>
    </row>
    <row r="638" spans="1:6" ht="12.75" x14ac:dyDescent="0.2">
      <c r="A638" s="24"/>
      <c r="B638" s="24"/>
      <c r="D638" s="25"/>
      <c r="E638" s="24"/>
      <c r="F638" s="105"/>
    </row>
    <row r="639" spans="1:6" ht="12.75" x14ac:dyDescent="0.2">
      <c r="A639" s="24"/>
      <c r="B639" s="24"/>
      <c r="D639" s="25"/>
      <c r="E639" s="24"/>
      <c r="F639" s="105"/>
    </row>
    <row r="640" spans="1:6" ht="12.75" x14ac:dyDescent="0.2">
      <c r="A640" s="24"/>
      <c r="B640" s="24"/>
      <c r="D640" s="25"/>
      <c r="E640" s="24"/>
      <c r="F640" s="105"/>
    </row>
    <row r="641" spans="1:6" ht="12.75" x14ac:dyDescent="0.2">
      <c r="A641" s="24"/>
      <c r="B641" s="24"/>
      <c r="D641" s="25"/>
      <c r="E641" s="24"/>
      <c r="F641" s="105"/>
    </row>
    <row r="642" spans="1:6" ht="12.75" x14ac:dyDescent="0.2">
      <c r="A642" s="24"/>
      <c r="B642" s="24"/>
      <c r="D642" s="25"/>
      <c r="E642" s="24"/>
      <c r="F642" s="105"/>
    </row>
    <row r="643" spans="1:6" ht="12.75" x14ac:dyDescent="0.2">
      <c r="A643" s="24"/>
      <c r="B643" s="24"/>
      <c r="D643" s="25"/>
      <c r="E643" s="24"/>
      <c r="F643" s="105"/>
    </row>
    <row r="644" spans="1:6" ht="12.75" x14ac:dyDescent="0.2">
      <c r="A644" s="24"/>
      <c r="B644" s="24"/>
      <c r="D644" s="25"/>
      <c r="E644" s="24"/>
      <c r="F644" s="105"/>
    </row>
    <row r="645" spans="1:6" ht="12.75" x14ac:dyDescent="0.2">
      <c r="A645" s="24"/>
      <c r="B645" s="24"/>
      <c r="D645" s="25"/>
      <c r="E645" s="24"/>
      <c r="F645" s="105"/>
    </row>
    <row r="646" spans="1:6" ht="12.75" x14ac:dyDescent="0.2">
      <c r="A646" s="24"/>
      <c r="B646" s="24"/>
      <c r="D646" s="25"/>
      <c r="E646" s="24"/>
      <c r="F646" s="105"/>
    </row>
    <row r="647" spans="1:6" ht="12.75" x14ac:dyDescent="0.2">
      <c r="A647" s="24"/>
      <c r="B647" s="24"/>
      <c r="D647" s="25"/>
      <c r="E647" s="24"/>
      <c r="F647" s="105"/>
    </row>
    <row r="648" spans="1:6" ht="12.75" x14ac:dyDescent="0.2">
      <c r="A648" s="24"/>
      <c r="B648" s="24"/>
      <c r="D648" s="25"/>
      <c r="E648" s="24"/>
      <c r="F648" s="105"/>
    </row>
    <row r="649" spans="1:6" ht="12.75" x14ac:dyDescent="0.2">
      <c r="A649" s="24"/>
      <c r="B649" s="24"/>
      <c r="D649" s="25"/>
      <c r="E649" s="24"/>
      <c r="F649" s="105"/>
    </row>
    <row r="650" spans="1:6" ht="12.75" x14ac:dyDescent="0.2">
      <c r="A650" s="24"/>
      <c r="B650" s="24"/>
      <c r="D650" s="25"/>
      <c r="E650" s="24"/>
      <c r="F650" s="105"/>
    </row>
    <row r="651" spans="1:6" ht="12.75" x14ac:dyDescent="0.2">
      <c r="A651" s="24"/>
      <c r="B651" s="24"/>
      <c r="D651" s="25"/>
      <c r="E651" s="24"/>
      <c r="F651" s="105"/>
    </row>
    <row r="652" spans="1:6" ht="12.75" x14ac:dyDescent="0.2">
      <c r="A652" s="24"/>
      <c r="B652" s="24"/>
      <c r="D652" s="25"/>
      <c r="E652" s="24"/>
      <c r="F652" s="105"/>
    </row>
    <row r="653" spans="1:6" ht="12.75" x14ac:dyDescent="0.2">
      <c r="A653" s="24"/>
      <c r="B653" s="24"/>
      <c r="D653" s="25"/>
      <c r="E653" s="24"/>
      <c r="F653" s="105"/>
    </row>
    <row r="654" spans="1:6" ht="12.75" x14ac:dyDescent="0.2">
      <c r="A654" s="24"/>
      <c r="B654" s="24"/>
      <c r="D654" s="25"/>
      <c r="E654" s="24"/>
      <c r="F654" s="105"/>
    </row>
    <row r="655" spans="1:6" ht="12.75" x14ac:dyDescent="0.2">
      <c r="A655" s="24"/>
      <c r="B655" s="24"/>
      <c r="D655" s="25"/>
      <c r="E655" s="24"/>
      <c r="F655" s="105"/>
    </row>
    <row r="656" spans="1:6" ht="12.75" x14ac:dyDescent="0.2">
      <c r="A656" s="24"/>
      <c r="B656" s="24"/>
      <c r="D656" s="25"/>
      <c r="E656" s="24"/>
      <c r="F656" s="105"/>
    </row>
    <row r="657" spans="1:6" ht="12.75" x14ac:dyDescent="0.2">
      <c r="A657" s="24"/>
      <c r="B657" s="24"/>
      <c r="D657" s="25"/>
      <c r="E657" s="24"/>
      <c r="F657" s="105"/>
    </row>
    <row r="658" spans="1:6" ht="12.75" x14ac:dyDescent="0.2">
      <c r="A658" s="24"/>
      <c r="B658" s="24"/>
      <c r="D658" s="25"/>
      <c r="E658" s="24"/>
      <c r="F658" s="105"/>
    </row>
    <row r="659" spans="1:6" ht="12.75" x14ac:dyDescent="0.2">
      <c r="A659" s="24"/>
      <c r="B659" s="24"/>
      <c r="D659" s="25"/>
      <c r="E659" s="24"/>
      <c r="F659" s="105"/>
    </row>
    <row r="660" spans="1:6" ht="12.75" x14ac:dyDescent="0.2">
      <c r="A660" s="24"/>
      <c r="B660" s="24"/>
      <c r="D660" s="25"/>
      <c r="E660" s="24"/>
      <c r="F660" s="105"/>
    </row>
    <row r="661" spans="1:6" ht="12.75" x14ac:dyDescent="0.2">
      <c r="A661" s="24"/>
      <c r="B661" s="24"/>
      <c r="D661" s="25"/>
      <c r="E661" s="24"/>
      <c r="F661" s="105"/>
    </row>
    <row r="662" spans="1:6" ht="12.75" x14ac:dyDescent="0.2">
      <c r="A662" s="24"/>
      <c r="B662" s="24"/>
      <c r="D662" s="25"/>
      <c r="E662" s="24"/>
      <c r="F662" s="105"/>
    </row>
    <row r="663" spans="1:6" ht="12.75" x14ac:dyDescent="0.2">
      <c r="A663" s="24"/>
      <c r="B663" s="24"/>
      <c r="D663" s="25"/>
      <c r="E663" s="24"/>
      <c r="F663" s="105"/>
    </row>
    <row r="664" spans="1:6" ht="12.75" x14ac:dyDescent="0.2">
      <c r="A664" s="24"/>
      <c r="B664" s="24"/>
      <c r="D664" s="25"/>
      <c r="E664" s="24"/>
      <c r="F664" s="105"/>
    </row>
    <row r="665" spans="1:6" ht="12.75" x14ac:dyDescent="0.2">
      <c r="A665" s="24"/>
      <c r="B665" s="24"/>
      <c r="D665" s="25"/>
      <c r="E665" s="24"/>
      <c r="F665" s="105"/>
    </row>
    <row r="666" spans="1:6" ht="12.75" x14ac:dyDescent="0.2">
      <c r="A666" s="24"/>
      <c r="B666" s="24"/>
      <c r="D666" s="25"/>
      <c r="E666" s="24"/>
      <c r="F666" s="105"/>
    </row>
    <row r="667" spans="1:6" ht="12.75" x14ac:dyDescent="0.2">
      <c r="A667" s="24"/>
      <c r="B667" s="24"/>
      <c r="D667" s="25"/>
      <c r="E667" s="24"/>
      <c r="F667" s="105"/>
    </row>
    <row r="668" spans="1:6" ht="12.75" x14ac:dyDescent="0.2">
      <c r="A668" s="24"/>
      <c r="B668" s="24"/>
      <c r="D668" s="25"/>
      <c r="E668" s="24"/>
      <c r="F668" s="105"/>
    </row>
    <row r="669" spans="1:6" ht="12.75" x14ac:dyDescent="0.2">
      <c r="A669" s="24"/>
      <c r="B669" s="24"/>
      <c r="D669" s="25"/>
      <c r="E669" s="24"/>
      <c r="F669" s="105"/>
    </row>
    <row r="670" spans="1:6" ht="12.75" x14ac:dyDescent="0.2">
      <c r="A670" s="24"/>
      <c r="B670" s="24"/>
      <c r="D670" s="25"/>
      <c r="E670" s="24"/>
      <c r="F670" s="105"/>
    </row>
    <row r="671" spans="1:6" ht="12.75" x14ac:dyDescent="0.2">
      <c r="A671" s="24"/>
      <c r="B671" s="24"/>
      <c r="D671" s="25"/>
      <c r="E671" s="24"/>
      <c r="F671" s="105"/>
    </row>
    <row r="672" spans="1:6" ht="12.75" x14ac:dyDescent="0.2">
      <c r="A672" s="24"/>
      <c r="B672" s="24"/>
      <c r="D672" s="25"/>
      <c r="E672" s="24"/>
      <c r="F672" s="105"/>
    </row>
    <row r="673" spans="1:6" ht="12.75" x14ac:dyDescent="0.2">
      <c r="A673" s="24"/>
      <c r="B673" s="24"/>
      <c r="D673" s="25"/>
      <c r="E673" s="24"/>
      <c r="F673" s="105"/>
    </row>
    <row r="674" spans="1:6" ht="12.75" x14ac:dyDescent="0.2">
      <c r="A674" s="24"/>
      <c r="B674" s="24"/>
      <c r="D674" s="25"/>
      <c r="E674" s="24"/>
      <c r="F674" s="105"/>
    </row>
    <row r="675" spans="1:6" ht="12.75" x14ac:dyDescent="0.2">
      <c r="A675" s="24"/>
      <c r="B675" s="24"/>
      <c r="D675" s="25"/>
      <c r="E675" s="24"/>
      <c r="F675" s="105"/>
    </row>
    <row r="676" spans="1:6" ht="12.75" x14ac:dyDescent="0.2">
      <c r="A676" s="24"/>
      <c r="B676" s="24"/>
      <c r="D676" s="25"/>
      <c r="E676" s="24"/>
      <c r="F676" s="105"/>
    </row>
    <row r="677" spans="1:6" ht="12.75" x14ac:dyDescent="0.2">
      <c r="A677" s="24"/>
      <c r="B677" s="24"/>
      <c r="D677" s="25"/>
      <c r="E677" s="24"/>
      <c r="F677" s="105"/>
    </row>
    <row r="678" spans="1:6" ht="12.75" x14ac:dyDescent="0.2">
      <c r="A678" s="24"/>
      <c r="B678" s="24"/>
      <c r="D678" s="25"/>
      <c r="E678" s="24"/>
      <c r="F678" s="105"/>
    </row>
    <row r="679" spans="1:6" ht="12.75" x14ac:dyDescent="0.2">
      <c r="A679" s="24"/>
      <c r="B679" s="24"/>
      <c r="D679" s="25"/>
      <c r="E679" s="24"/>
      <c r="F679" s="105"/>
    </row>
    <row r="680" spans="1:6" ht="12.75" x14ac:dyDescent="0.2">
      <c r="A680" s="24"/>
      <c r="B680" s="24"/>
      <c r="D680" s="25"/>
      <c r="E680" s="24"/>
      <c r="F680" s="105"/>
    </row>
    <row r="681" spans="1:6" ht="12.75" x14ac:dyDescent="0.2">
      <c r="A681" s="24"/>
      <c r="B681" s="24"/>
      <c r="D681" s="25"/>
      <c r="E681" s="24"/>
      <c r="F681" s="105"/>
    </row>
    <row r="682" spans="1:6" ht="12.75" x14ac:dyDescent="0.2">
      <c r="A682" s="24"/>
      <c r="B682" s="24"/>
      <c r="D682" s="25"/>
      <c r="E682" s="24"/>
      <c r="F682" s="105"/>
    </row>
    <row r="683" spans="1:6" ht="12.75" x14ac:dyDescent="0.2">
      <c r="A683" s="24"/>
      <c r="B683" s="24"/>
      <c r="D683" s="25"/>
      <c r="E683" s="24"/>
      <c r="F683" s="105"/>
    </row>
    <row r="684" spans="1:6" ht="12.75" x14ac:dyDescent="0.2">
      <c r="A684" s="24"/>
      <c r="B684" s="24"/>
      <c r="D684" s="25"/>
      <c r="E684" s="24"/>
      <c r="F684" s="105"/>
    </row>
    <row r="685" spans="1:6" ht="12.75" x14ac:dyDescent="0.2">
      <c r="A685" s="24"/>
      <c r="B685" s="24"/>
      <c r="D685" s="25"/>
      <c r="E685" s="24"/>
      <c r="F685" s="105"/>
    </row>
    <row r="686" spans="1:6" ht="12.75" x14ac:dyDescent="0.2">
      <c r="A686" s="24"/>
      <c r="B686" s="24"/>
      <c r="D686" s="25"/>
      <c r="E686" s="24"/>
      <c r="F686" s="105"/>
    </row>
    <row r="687" spans="1:6" ht="12.75" x14ac:dyDescent="0.2">
      <c r="A687" s="24"/>
      <c r="B687" s="24"/>
      <c r="D687" s="25"/>
      <c r="E687" s="24"/>
      <c r="F687" s="105"/>
    </row>
    <row r="688" spans="1:6" ht="12.75" x14ac:dyDescent="0.2">
      <c r="A688" s="24"/>
      <c r="B688" s="24"/>
      <c r="D688" s="25"/>
      <c r="E688" s="24"/>
      <c r="F688" s="105"/>
    </row>
    <row r="689" spans="1:6" ht="12.75" x14ac:dyDescent="0.2">
      <c r="A689" s="24"/>
      <c r="B689" s="24"/>
      <c r="D689" s="25"/>
      <c r="E689" s="24"/>
      <c r="F689" s="105"/>
    </row>
    <row r="690" spans="1:6" ht="12.75" x14ac:dyDescent="0.2">
      <c r="A690" s="24"/>
      <c r="B690" s="24"/>
      <c r="D690" s="25"/>
      <c r="E690" s="24"/>
      <c r="F690" s="105"/>
    </row>
    <row r="691" spans="1:6" ht="12.75" x14ac:dyDescent="0.2">
      <c r="A691" s="24"/>
      <c r="B691" s="24"/>
      <c r="D691" s="25"/>
      <c r="E691" s="24"/>
      <c r="F691" s="105"/>
    </row>
    <row r="692" spans="1:6" ht="12.75" x14ac:dyDescent="0.2">
      <c r="A692" s="24"/>
      <c r="B692" s="24"/>
      <c r="D692" s="25"/>
      <c r="E692" s="24"/>
      <c r="F692" s="105"/>
    </row>
    <row r="693" spans="1:6" ht="12.75" x14ac:dyDescent="0.2">
      <c r="A693" s="24"/>
      <c r="B693" s="24"/>
      <c r="D693" s="25"/>
      <c r="E693" s="24"/>
      <c r="F693" s="105"/>
    </row>
    <row r="694" spans="1:6" ht="12.75" x14ac:dyDescent="0.2">
      <c r="A694" s="24"/>
      <c r="B694" s="24"/>
      <c r="D694" s="25"/>
      <c r="E694" s="24"/>
      <c r="F694" s="105"/>
    </row>
    <row r="695" spans="1:6" ht="12.75" x14ac:dyDescent="0.2">
      <c r="A695" s="24"/>
      <c r="B695" s="24"/>
      <c r="D695" s="25"/>
      <c r="E695" s="24"/>
      <c r="F695" s="105"/>
    </row>
    <row r="696" spans="1:6" ht="12.75" x14ac:dyDescent="0.2">
      <c r="A696" s="24"/>
      <c r="B696" s="24"/>
      <c r="D696" s="25"/>
      <c r="E696" s="24"/>
      <c r="F696" s="105"/>
    </row>
    <row r="697" spans="1:6" ht="12.75" x14ac:dyDescent="0.2">
      <c r="A697" s="24"/>
      <c r="B697" s="24"/>
      <c r="D697" s="25"/>
      <c r="E697" s="24"/>
      <c r="F697" s="105"/>
    </row>
    <row r="698" spans="1:6" ht="12.75" x14ac:dyDescent="0.2">
      <c r="A698" s="24"/>
      <c r="B698" s="24"/>
      <c r="D698" s="25"/>
      <c r="E698" s="24"/>
      <c r="F698" s="105"/>
    </row>
    <row r="699" spans="1:6" ht="12.75" x14ac:dyDescent="0.2">
      <c r="A699" s="24"/>
      <c r="B699" s="24"/>
      <c r="D699" s="25"/>
      <c r="E699" s="24"/>
      <c r="F699" s="105"/>
    </row>
    <row r="700" spans="1:6" ht="12.75" x14ac:dyDescent="0.2">
      <c r="A700" s="24"/>
      <c r="B700" s="24"/>
      <c r="D700" s="25"/>
      <c r="E700" s="24"/>
      <c r="F700" s="105"/>
    </row>
    <row r="701" spans="1:6" ht="12.75" x14ac:dyDescent="0.2">
      <c r="A701" s="24"/>
      <c r="B701" s="24"/>
      <c r="D701" s="25"/>
      <c r="E701" s="24"/>
      <c r="F701" s="105"/>
    </row>
    <row r="702" spans="1:6" ht="12.75" x14ac:dyDescent="0.2">
      <c r="A702" s="24"/>
      <c r="B702" s="24"/>
      <c r="D702" s="25"/>
      <c r="E702" s="24"/>
      <c r="F702" s="105"/>
    </row>
    <row r="703" spans="1:6" ht="12.75" x14ac:dyDescent="0.2">
      <c r="A703" s="24"/>
      <c r="B703" s="24"/>
      <c r="D703" s="25"/>
      <c r="E703" s="24"/>
      <c r="F703" s="105"/>
    </row>
    <row r="704" spans="1:6" ht="12.75" x14ac:dyDescent="0.2">
      <c r="A704" s="24"/>
      <c r="B704" s="24"/>
      <c r="D704" s="25"/>
      <c r="E704" s="24"/>
      <c r="F704" s="105"/>
    </row>
    <row r="705" spans="1:6" ht="12.75" x14ac:dyDescent="0.2">
      <c r="A705" s="24"/>
      <c r="B705" s="24"/>
      <c r="D705" s="25"/>
      <c r="E705" s="24"/>
      <c r="F705" s="105"/>
    </row>
    <row r="706" spans="1:6" ht="12.75" x14ac:dyDescent="0.2">
      <c r="A706" s="24"/>
      <c r="B706" s="24"/>
      <c r="D706" s="25"/>
      <c r="E706" s="24"/>
      <c r="F706" s="105"/>
    </row>
    <row r="707" spans="1:6" ht="12.75" x14ac:dyDescent="0.2">
      <c r="A707" s="24"/>
      <c r="B707" s="24"/>
      <c r="D707" s="25"/>
      <c r="E707" s="24"/>
      <c r="F707" s="105"/>
    </row>
    <row r="708" spans="1:6" ht="12.75" x14ac:dyDescent="0.2">
      <c r="A708" s="24"/>
      <c r="B708" s="24"/>
      <c r="D708" s="25"/>
      <c r="E708" s="24"/>
      <c r="F708" s="105"/>
    </row>
    <row r="709" spans="1:6" ht="12.75" x14ac:dyDescent="0.2">
      <c r="A709" s="24"/>
      <c r="B709" s="24"/>
      <c r="D709" s="25"/>
      <c r="E709" s="24"/>
      <c r="F709" s="105"/>
    </row>
    <row r="710" spans="1:6" ht="12.75" x14ac:dyDescent="0.2">
      <c r="A710" s="24"/>
      <c r="B710" s="24"/>
      <c r="D710" s="25"/>
      <c r="E710" s="24"/>
      <c r="F710" s="105"/>
    </row>
    <row r="711" spans="1:6" ht="12.75" x14ac:dyDescent="0.2">
      <c r="A711" s="24"/>
      <c r="B711" s="24"/>
      <c r="D711" s="25"/>
      <c r="E711" s="24"/>
      <c r="F711" s="105"/>
    </row>
    <row r="712" spans="1:6" ht="12.75" x14ac:dyDescent="0.2">
      <c r="A712" s="24"/>
      <c r="B712" s="24"/>
      <c r="D712" s="25"/>
      <c r="E712" s="24"/>
      <c r="F712" s="105"/>
    </row>
    <row r="713" spans="1:6" ht="12.75" x14ac:dyDescent="0.2">
      <c r="A713" s="24"/>
      <c r="B713" s="24"/>
      <c r="D713" s="25"/>
      <c r="E713" s="24"/>
      <c r="F713" s="105"/>
    </row>
    <row r="714" spans="1:6" ht="12.75" x14ac:dyDescent="0.2">
      <c r="A714" s="24"/>
      <c r="B714" s="24"/>
      <c r="D714" s="25"/>
      <c r="E714" s="24"/>
      <c r="F714" s="105"/>
    </row>
    <row r="715" spans="1:6" ht="12.75" x14ac:dyDescent="0.2">
      <c r="A715" s="24"/>
      <c r="B715" s="24"/>
      <c r="D715" s="25"/>
      <c r="E715" s="24"/>
      <c r="F715" s="105"/>
    </row>
    <row r="716" spans="1:6" ht="12.75" x14ac:dyDescent="0.2">
      <c r="A716" s="24"/>
      <c r="B716" s="24"/>
      <c r="D716" s="25"/>
      <c r="E716" s="24"/>
      <c r="F716" s="105"/>
    </row>
    <row r="717" spans="1:6" ht="12.75" x14ac:dyDescent="0.2">
      <c r="A717" s="24"/>
      <c r="B717" s="24"/>
      <c r="D717" s="25"/>
      <c r="E717" s="24"/>
      <c r="F717" s="105"/>
    </row>
    <row r="718" spans="1:6" ht="12.75" x14ac:dyDescent="0.2">
      <c r="A718" s="24"/>
      <c r="B718" s="24"/>
      <c r="D718" s="25"/>
      <c r="E718" s="24"/>
      <c r="F718" s="105"/>
    </row>
    <row r="719" spans="1:6" ht="12.75" x14ac:dyDescent="0.2">
      <c r="A719" s="24"/>
      <c r="B719" s="24"/>
      <c r="D719" s="25"/>
      <c r="E719" s="24"/>
      <c r="F719" s="105"/>
    </row>
    <row r="720" spans="1:6" ht="12.75" x14ac:dyDescent="0.2">
      <c r="A720" s="24"/>
      <c r="B720" s="24"/>
      <c r="D720" s="25"/>
      <c r="E720" s="24"/>
      <c r="F720" s="105"/>
    </row>
    <row r="721" spans="1:6" ht="12.75" x14ac:dyDescent="0.2">
      <c r="A721" s="24"/>
      <c r="B721" s="24"/>
      <c r="D721" s="25"/>
      <c r="E721" s="24"/>
      <c r="F721" s="105"/>
    </row>
    <row r="722" spans="1:6" ht="12.75" x14ac:dyDescent="0.2">
      <c r="A722" s="24"/>
      <c r="B722" s="24"/>
      <c r="D722" s="25"/>
      <c r="E722" s="24"/>
      <c r="F722" s="105"/>
    </row>
    <row r="723" spans="1:6" ht="12.75" x14ac:dyDescent="0.2">
      <c r="A723" s="24"/>
      <c r="B723" s="24"/>
      <c r="D723" s="25"/>
      <c r="E723" s="24"/>
      <c r="F723" s="105"/>
    </row>
    <row r="724" spans="1:6" ht="12.75" x14ac:dyDescent="0.2">
      <c r="A724" s="24"/>
      <c r="B724" s="24"/>
      <c r="D724" s="25"/>
      <c r="E724" s="24"/>
      <c r="F724" s="105"/>
    </row>
    <row r="725" spans="1:6" ht="12.75" x14ac:dyDescent="0.2">
      <c r="A725" s="24"/>
      <c r="B725" s="24"/>
      <c r="D725" s="25"/>
      <c r="E725" s="24"/>
      <c r="F725" s="105"/>
    </row>
    <row r="726" spans="1:6" ht="12.75" x14ac:dyDescent="0.2">
      <c r="A726" s="24"/>
      <c r="B726" s="24"/>
      <c r="D726" s="25"/>
      <c r="E726" s="24"/>
      <c r="F726" s="105"/>
    </row>
    <row r="727" spans="1:6" ht="12.75" x14ac:dyDescent="0.2">
      <c r="A727" s="24"/>
      <c r="B727" s="24"/>
      <c r="D727" s="25"/>
      <c r="E727" s="24"/>
      <c r="F727" s="105"/>
    </row>
    <row r="728" spans="1:6" ht="12.75" x14ac:dyDescent="0.2">
      <c r="A728" s="24"/>
      <c r="B728" s="24"/>
      <c r="D728" s="25"/>
      <c r="E728" s="24"/>
      <c r="F728" s="105"/>
    </row>
    <row r="729" spans="1:6" ht="12.75" x14ac:dyDescent="0.2">
      <c r="A729" s="24"/>
      <c r="B729" s="24"/>
      <c r="D729" s="25"/>
      <c r="E729" s="24"/>
      <c r="F729" s="105"/>
    </row>
    <row r="730" spans="1:6" ht="12.75" x14ac:dyDescent="0.2">
      <c r="A730" s="24"/>
      <c r="B730" s="24"/>
      <c r="D730" s="25"/>
      <c r="E730" s="24"/>
      <c r="F730" s="105"/>
    </row>
    <row r="731" spans="1:6" ht="12.75" x14ac:dyDescent="0.2">
      <c r="A731" s="24"/>
      <c r="B731" s="24"/>
      <c r="D731" s="25"/>
      <c r="E731" s="24"/>
      <c r="F731" s="105"/>
    </row>
    <row r="732" spans="1:6" ht="12.75" x14ac:dyDescent="0.2">
      <c r="A732" s="24"/>
      <c r="B732" s="24"/>
      <c r="D732" s="25"/>
      <c r="E732" s="24"/>
      <c r="F732" s="105"/>
    </row>
    <row r="733" spans="1:6" ht="12.75" x14ac:dyDescent="0.2">
      <c r="A733" s="24"/>
      <c r="B733" s="24"/>
      <c r="D733" s="25"/>
      <c r="E733" s="24"/>
      <c r="F733" s="105"/>
    </row>
    <row r="734" spans="1:6" ht="12.75" x14ac:dyDescent="0.2">
      <c r="A734" s="24"/>
      <c r="B734" s="24"/>
      <c r="D734" s="25"/>
      <c r="E734" s="24"/>
      <c r="F734" s="105"/>
    </row>
    <row r="735" spans="1:6" ht="12.75" x14ac:dyDescent="0.2">
      <c r="A735" s="24"/>
      <c r="B735" s="24"/>
      <c r="D735" s="25"/>
      <c r="E735" s="24"/>
      <c r="F735" s="105"/>
    </row>
    <row r="736" spans="1:6" ht="12.75" x14ac:dyDescent="0.2">
      <c r="A736" s="24"/>
      <c r="B736" s="24"/>
      <c r="D736" s="25"/>
      <c r="E736" s="24"/>
      <c r="F736" s="105"/>
    </row>
    <row r="737" spans="1:6" ht="12.75" x14ac:dyDescent="0.2">
      <c r="A737" s="24"/>
      <c r="B737" s="24"/>
      <c r="D737" s="25"/>
      <c r="E737" s="24"/>
      <c r="F737" s="105"/>
    </row>
    <row r="738" spans="1:6" ht="12.75" x14ac:dyDescent="0.2">
      <c r="A738" s="24"/>
      <c r="B738" s="24"/>
      <c r="D738" s="25"/>
      <c r="E738" s="24"/>
      <c r="F738" s="105"/>
    </row>
    <row r="739" spans="1:6" ht="12.75" x14ac:dyDescent="0.2">
      <c r="A739" s="24"/>
      <c r="B739" s="24"/>
      <c r="D739" s="25"/>
      <c r="E739" s="24"/>
      <c r="F739" s="105"/>
    </row>
    <row r="740" spans="1:6" ht="12.75" x14ac:dyDescent="0.2">
      <c r="A740" s="24"/>
      <c r="B740" s="24"/>
      <c r="D740" s="25"/>
      <c r="E740" s="24"/>
      <c r="F740" s="105"/>
    </row>
    <row r="741" spans="1:6" ht="12.75" x14ac:dyDescent="0.2">
      <c r="A741" s="24"/>
      <c r="B741" s="24"/>
      <c r="D741" s="25"/>
      <c r="E741" s="24"/>
      <c r="F741" s="105"/>
    </row>
    <row r="742" spans="1:6" ht="12.75" x14ac:dyDescent="0.2">
      <c r="A742" s="24"/>
      <c r="B742" s="24"/>
      <c r="D742" s="25"/>
      <c r="E742" s="24"/>
      <c r="F742" s="105"/>
    </row>
    <row r="743" spans="1:6" ht="12.75" x14ac:dyDescent="0.2">
      <c r="A743" s="24"/>
      <c r="B743" s="24"/>
      <c r="D743" s="25"/>
      <c r="E743" s="24"/>
      <c r="F743" s="105"/>
    </row>
    <row r="744" spans="1:6" ht="12.75" x14ac:dyDescent="0.2">
      <c r="A744" s="24"/>
      <c r="B744" s="24"/>
      <c r="D744" s="25"/>
      <c r="E744" s="24"/>
      <c r="F744" s="105"/>
    </row>
    <row r="745" spans="1:6" ht="12.75" x14ac:dyDescent="0.2">
      <c r="A745" s="24"/>
      <c r="B745" s="24"/>
      <c r="D745" s="25"/>
      <c r="E745" s="24"/>
      <c r="F745" s="105"/>
    </row>
    <row r="746" spans="1:6" ht="12.75" x14ac:dyDescent="0.2">
      <c r="A746" s="24"/>
      <c r="B746" s="24"/>
      <c r="D746" s="25"/>
      <c r="E746" s="24"/>
      <c r="F746" s="105"/>
    </row>
    <row r="747" spans="1:6" ht="12.75" x14ac:dyDescent="0.2">
      <c r="A747" s="24"/>
      <c r="B747" s="24"/>
      <c r="D747" s="25"/>
      <c r="E747" s="24"/>
      <c r="F747" s="105"/>
    </row>
    <row r="748" spans="1:6" ht="12.75" x14ac:dyDescent="0.2">
      <c r="A748" s="24"/>
      <c r="B748" s="24"/>
      <c r="D748" s="25"/>
      <c r="E748" s="24"/>
      <c r="F748" s="105"/>
    </row>
    <row r="749" spans="1:6" ht="12.75" x14ac:dyDescent="0.2">
      <c r="A749" s="24"/>
      <c r="B749" s="24"/>
      <c r="D749" s="25"/>
      <c r="E749" s="24"/>
      <c r="F749" s="105"/>
    </row>
    <row r="750" spans="1:6" ht="12.75" x14ac:dyDescent="0.2">
      <c r="A750" s="24"/>
      <c r="B750" s="24"/>
      <c r="D750" s="25"/>
      <c r="E750" s="24"/>
      <c r="F750" s="105"/>
    </row>
    <row r="751" spans="1:6" ht="12.75" x14ac:dyDescent="0.2">
      <c r="A751" s="24"/>
      <c r="B751" s="24"/>
      <c r="D751" s="25"/>
      <c r="E751" s="24"/>
      <c r="F751" s="105"/>
    </row>
    <row r="752" spans="1:6" ht="12.75" x14ac:dyDescent="0.2">
      <c r="A752" s="24"/>
      <c r="B752" s="24"/>
      <c r="D752" s="25"/>
      <c r="E752" s="24"/>
      <c r="F752" s="105"/>
    </row>
    <row r="753" spans="1:6" ht="12.75" x14ac:dyDescent="0.2">
      <c r="A753" s="24"/>
      <c r="B753" s="24"/>
      <c r="D753" s="25"/>
      <c r="E753" s="24"/>
      <c r="F753" s="105"/>
    </row>
    <row r="754" spans="1:6" ht="12.75" x14ac:dyDescent="0.2">
      <c r="A754" s="24"/>
      <c r="B754" s="24"/>
      <c r="D754" s="25"/>
      <c r="E754" s="24"/>
      <c r="F754" s="105"/>
    </row>
    <row r="755" spans="1:6" ht="12.75" x14ac:dyDescent="0.2">
      <c r="A755" s="24"/>
      <c r="B755" s="24"/>
      <c r="D755" s="25"/>
      <c r="E755" s="24"/>
      <c r="F755" s="105"/>
    </row>
    <row r="756" spans="1:6" ht="12.75" x14ac:dyDescent="0.2">
      <c r="A756" s="24"/>
      <c r="B756" s="24"/>
      <c r="D756" s="25"/>
      <c r="E756" s="24"/>
      <c r="F756" s="105"/>
    </row>
    <row r="757" spans="1:6" ht="12.75" x14ac:dyDescent="0.2">
      <c r="A757" s="24"/>
      <c r="B757" s="24"/>
      <c r="D757" s="25"/>
      <c r="E757" s="24"/>
      <c r="F757" s="105"/>
    </row>
    <row r="758" spans="1:6" ht="12.75" x14ac:dyDescent="0.2">
      <c r="A758" s="24"/>
      <c r="B758" s="24"/>
      <c r="D758" s="25"/>
      <c r="E758" s="24"/>
      <c r="F758" s="105"/>
    </row>
    <row r="759" spans="1:6" ht="12.75" x14ac:dyDescent="0.2">
      <c r="A759" s="24"/>
      <c r="B759" s="24"/>
      <c r="D759" s="25"/>
      <c r="E759" s="24"/>
      <c r="F759" s="105"/>
    </row>
    <row r="760" spans="1:6" ht="12.75" x14ac:dyDescent="0.2">
      <c r="A760" s="24"/>
      <c r="B760" s="24"/>
      <c r="D760" s="25"/>
      <c r="E760" s="24"/>
      <c r="F760" s="105"/>
    </row>
    <row r="761" spans="1:6" ht="12.75" x14ac:dyDescent="0.2">
      <c r="A761" s="24"/>
      <c r="B761" s="24"/>
      <c r="D761" s="25"/>
      <c r="E761" s="24"/>
      <c r="F761" s="105"/>
    </row>
    <row r="762" spans="1:6" ht="12.75" x14ac:dyDescent="0.2">
      <c r="A762" s="24"/>
      <c r="B762" s="24"/>
      <c r="D762" s="25"/>
      <c r="E762" s="24"/>
      <c r="F762" s="105"/>
    </row>
    <row r="763" spans="1:6" ht="12.75" x14ac:dyDescent="0.2">
      <c r="A763" s="24"/>
      <c r="B763" s="24"/>
      <c r="D763" s="25"/>
      <c r="E763" s="24"/>
      <c r="F763" s="105"/>
    </row>
    <row r="764" spans="1:6" ht="12.75" x14ac:dyDescent="0.2">
      <c r="A764" s="24"/>
      <c r="B764" s="24"/>
      <c r="D764" s="25"/>
      <c r="E764" s="24"/>
      <c r="F764" s="105"/>
    </row>
    <row r="765" spans="1:6" ht="12.75" x14ac:dyDescent="0.2">
      <c r="A765" s="24"/>
      <c r="B765" s="24"/>
      <c r="D765" s="25"/>
      <c r="E765" s="24"/>
      <c r="F765" s="105"/>
    </row>
    <row r="766" spans="1:6" ht="12.75" x14ac:dyDescent="0.2">
      <c r="A766" s="24"/>
      <c r="B766" s="24"/>
      <c r="D766" s="25"/>
      <c r="E766" s="24"/>
      <c r="F766" s="105"/>
    </row>
    <row r="767" spans="1:6" ht="12.75" x14ac:dyDescent="0.2">
      <c r="A767" s="24"/>
      <c r="B767" s="24"/>
      <c r="D767" s="25"/>
      <c r="E767" s="24"/>
      <c r="F767" s="105"/>
    </row>
    <row r="768" spans="1:6" ht="12.75" x14ac:dyDescent="0.2">
      <c r="A768" s="24"/>
      <c r="B768" s="24"/>
      <c r="D768" s="25"/>
      <c r="E768" s="24"/>
      <c r="F768" s="105"/>
    </row>
    <row r="769" spans="1:6" ht="12.75" x14ac:dyDescent="0.2">
      <c r="A769" s="24"/>
      <c r="B769" s="24"/>
      <c r="D769" s="25"/>
      <c r="E769" s="24"/>
      <c r="F769" s="105"/>
    </row>
    <row r="770" spans="1:6" ht="12.75" x14ac:dyDescent="0.2">
      <c r="A770" s="24"/>
      <c r="B770" s="24"/>
      <c r="D770" s="25"/>
      <c r="E770" s="24"/>
      <c r="F770" s="105"/>
    </row>
    <row r="771" spans="1:6" ht="12.75" x14ac:dyDescent="0.2">
      <c r="A771" s="24"/>
      <c r="B771" s="24"/>
      <c r="D771" s="25"/>
      <c r="E771" s="24"/>
      <c r="F771" s="105"/>
    </row>
    <row r="772" spans="1:6" ht="12.75" x14ac:dyDescent="0.2">
      <c r="A772" s="24"/>
      <c r="B772" s="24"/>
      <c r="D772" s="25"/>
      <c r="E772" s="24"/>
      <c r="F772" s="105"/>
    </row>
    <row r="773" spans="1:6" ht="12.75" x14ac:dyDescent="0.2">
      <c r="A773" s="24"/>
      <c r="B773" s="24"/>
      <c r="D773" s="25"/>
      <c r="E773" s="24"/>
      <c r="F773" s="105"/>
    </row>
    <row r="774" spans="1:6" ht="12.75" x14ac:dyDescent="0.2">
      <c r="A774" s="24"/>
      <c r="B774" s="24"/>
      <c r="D774" s="25"/>
      <c r="E774" s="24"/>
      <c r="F774" s="105"/>
    </row>
    <row r="775" spans="1:6" ht="12.75" x14ac:dyDescent="0.2">
      <c r="A775" s="24"/>
      <c r="B775" s="24"/>
      <c r="D775" s="25"/>
      <c r="E775" s="24"/>
      <c r="F775" s="105"/>
    </row>
    <row r="776" spans="1:6" ht="12.75" x14ac:dyDescent="0.2">
      <c r="A776" s="24"/>
      <c r="B776" s="24"/>
      <c r="D776" s="25"/>
      <c r="E776" s="24"/>
      <c r="F776" s="105"/>
    </row>
    <row r="777" spans="1:6" ht="12.75" x14ac:dyDescent="0.2">
      <c r="A777" s="24"/>
      <c r="B777" s="24"/>
      <c r="D777" s="25"/>
      <c r="E777" s="24"/>
      <c r="F777" s="105"/>
    </row>
    <row r="778" spans="1:6" ht="12.75" x14ac:dyDescent="0.2">
      <c r="A778" s="24"/>
      <c r="B778" s="24"/>
      <c r="D778" s="25"/>
      <c r="E778" s="24"/>
      <c r="F778" s="105"/>
    </row>
    <row r="779" spans="1:6" ht="12.75" x14ac:dyDescent="0.2">
      <c r="A779" s="24"/>
      <c r="B779" s="24"/>
      <c r="D779" s="25"/>
      <c r="E779" s="24"/>
      <c r="F779" s="105"/>
    </row>
    <row r="780" spans="1:6" ht="12.75" x14ac:dyDescent="0.2">
      <c r="A780" s="24"/>
      <c r="B780" s="24"/>
      <c r="D780" s="25"/>
      <c r="E780" s="24"/>
      <c r="F780" s="105"/>
    </row>
    <row r="781" spans="1:6" ht="12.75" x14ac:dyDescent="0.2">
      <c r="A781" s="24"/>
      <c r="B781" s="24"/>
      <c r="D781" s="25"/>
      <c r="E781" s="24"/>
      <c r="F781" s="105"/>
    </row>
    <row r="782" spans="1:6" ht="12.75" x14ac:dyDescent="0.2">
      <c r="A782" s="24"/>
      <c r="B782" s="24"/>
      <c r="D782" s="25"/>
      <c r="E782" s="24"/>
      <c r="F782" s="105"/>
    </row>
    <row r="783" spans="1:6" ht="12.75" x14ac:dyDescent="0.2">
      <c r="A783" s="24"/>
      <c r="B783" s="24"/>
      <c r="D783" s="25"/>
      <c r="E783" s="24"/>
      <c r="F783" s="105"/>
    </row>
    <row r="784" spans="1:6" ht="12.75" x14ac:dyDescent="0.2">
      <c r="A784" s="24"/>
      <c r="B784" s="24"/>
      <c r="D784" s="25"/>
      <c r="E784" s="24"/>
      <c r="F784" s="105"/>
    </row>
    <row r="785" spans="1:6" ht="12.75" x14ac:dyDescent="0.2">
      <c r="A785" s="24"/>
      <c r="B785" s="24"/>
      <c r="D785" s="25"/>
      <c r="E785" s="24"/>
      <c r="F785" s="105"/>
    </row>
    <row r="786" spans="1:6" ht="12.75" x14ac:dyDescent="0.2">
      <c r="A786" s="24"/>
      <c r="B786" s="24"/>
      <c r="D786" s="25"/>
      <c r="E786" s="24"/>
      <c r="F786" s="105"/>
    </row>
    <row r="787" spans="1:6" ht="12.75" x14ac:dyDescent="0.2">
      <c r="A787" s="24"/>
      <c r="B787" s="24"/>
      <c r="D787" s="25"/>
      <c r="E787" s="24"/>
      <c r="F787" s="105"/>
    </row>
    <row r="788" spans="1:6" ht="12.75" x14ac:dyDescent="0.2">
      <c r="A788" s="24"/>
      <c r="B788" s="24"/>
      <c r="D788" s="25"/>
      <c r="E788" s="24"/>
      <c r="F788" s="105"/>
    </row>
    <row r="789" spans="1:6" ht="12.75" x14ac:dyDescent="0.2">
      <c r="A789" s="24"/>
      <c r="B789" s="24"/>
      <c r="D789" s="25"/>
      <c r="E789" s="24"/>
      <c r="F789" s="105"/>
    </row>
    <row r="790" spans="1:6" ht="12.75" x14ac:dyDescent="0.2">
      <c r="A790" s="24"/>
      <c r="B790" s="24"/>
      <c r="D790" s="25"/>
      <c r="E790" s="24"/>
      <c r="F790" s="105"/>
    </row>
    <row r="791" spans="1:6" ht="12.75" x14ac:dyDescent="0.2">
      <c r="A791" s="24"/>
      <c r="B791" s="24"/>
      <c r="D791" s="25"/>
      <c r="E791" s="24"/>
      <c r="F791" s="105"/>
    </row>
    <row r="792" spans="1:6" ht="12.75" x14ac:dyDescent="0.2">
      <c r="A792" s="24"/>
      <c r="B792" s="24"/>
      <c r="D792" s="25"/>
      <c r="E792" s="24"/>
      <c r="F792" s="105"/>
    </row>
    <row r="793" spans="1:6" ht="12.75" x14ac:dyDescent="0.2">
      <c r="A793" s="24"/>
      <c r="B793" s="24"/>
      <c r="D793" s="25"/>
      <c r="E793" s="24"/>
      <c r="F793" s="105"/>
    </row>
    <row r="794" spans="1:6" ht="12.75" x14ac:dyDescent="0.2">
      <c r="A794" s="24"/>
      <c r="B794" s="24"/>
      <c r="D794" s="25"/>
      <c r="E794" s="24"/>
      <c r="F794" s="105"/>
    </row>
    <row r="795" spans="1:6" ht="12.75" x14ac:dyDescent="0.2">
      <c r="A795" s="24"/>
      <c r="B795" s="24"/>
      <c r="D795" s="25"/>
      <c r="E795" s="24"/>
      <c r="F795" s="105"/>
    </row>
    <row r="796" spans="1:6" ht="12.75" x14ac:dyDescent="0.2">
      <c r="A796" s="24"/>
      <c r="B796" s="24"/>
      <c r="D796" s="25"/>
      <c r="E796" s="24"/>
      <c r="F796" s="105"/>
    </row>
    <row r="797" spans="1:6" ht="12.75" x14ac:dyDescent="0.2">
      <c r="A797" s="24"/>
      <c r="B797" s="24"/>
      <c r="D797" s="25"/>
      <c r="E797" s="24"/>
      <c r="F797" s="105"/>
    </row>
    <row r="798" spans="1:6" ht="12.75" x14ac:dyDescent="0.2">
      <c r="A798" s="24"/>
      <c r="B798" s="24"/>
      <c r="D798" s="25"/>
      <c r="E798" s="24"/>
      <c r="F798" s="105"/>
    </row>
    <row r="799" spans="1:6" ht="12.75" x14ac:dyDescent="0.2">
      <c r="A799" s="24"/>
      <c r="B799" s="24"/>
      <c r="D799" s="25"/>
      <c r="E799" s="24"/>
      <c r="F799" s="105"/>
    </row>
    <row r="800" spans="1:6" ht="12.75" x14ac:dyDescent="0.2">
      <c r="A800" s="24"/>
      <c r="B800" s="24"/>
      <c r="D800" s="25"/>
      <c r="E800" s="24"/>
      <c r="F800" s="105"/>
    </row>
    <row r="801" spans="1:6" ht="12.75" x14ac:dyDescent="0.2">
      <c r="A801" s="24"/>
      <c r="B801" s="24"/>
      <c r="D801" s="25"/>
      <c r="E801" s="24"/>
      <c r="F801" s="105"/>
    </row>
    <row r="802" spans="1:6" ht="12.75" x14ac:dyDescent="0.2">
      <c r="A802" s="24"/>
      <c r="B802" s="24"/>
      <c r="D802" s="25"/>
      <c r="E802" s="24"/>
      <c r="F802" s="105"/>
    </row>
    <row r="803" spans="1:6" ht="12.75" x14ac:dyDescent="0.2">
      <c r="A803" s="24"/>
      <c r="B803" s="24"/>
      <c r="D803" s="25"/>
      <c r="E803" s="24"/>
      <c r="F803" s="105"/>
    </row>
    <row r="804" spans="1:6" ht="12.75" x14ac:dyDescent="0.2">
      <c r="A804" s="24"/>
      <c r="B804" s="24"/>
      <c r="D804" s="25"/>
      <c r="E804" s="24"/>
      <c r="F804" s="105"/>
    </row>
    <row r="805" spans="1:6" ht="12.75" x14ac:dyDescent="0.2">
      <c r="A805" s="24"/>
      <c r="B805" s="24"/>
      <c r="D805" s="25"/>
      <c r="E805" s="24"/>
      <c r="F805" s="105"/>
    </row>
    <row r="806" spans="1:6" ht="12.75" x14ac:dyDescent="0.2">
      <c r="A806" s="24"/>
      <c r="B806" s="24"/>
      <c r="D806" s="25"/>
      <c r="E806" s="24"/>
      <c r="F806" s="105"/>
    </row>
    <row r="807" spans="1:6" ht="12.75" x14ac:dyDescent="0.2">
      <c r="A807" s="24"/>
      <c r="B807" s="24"/>
      <c r="D807" s="25"/>
      <c r="E807" s="24"/>
      <c r="F807" s="105"/>
    </row>
    <row r="808" spans="1:6" ht="12.75" x14ac:dyDescent="0.2">
      <c r="A808" s="24"/>
      <c r="B808" s="24"/>
      <c r="D808" s="25"/>
      <c r="E808" s="24"/>
      <c r="F808" s="105"/>
    </row>
    <row r="809" spans="1:6" ht="12.75" x14ac:dyDescent="0.2">
      <c r="A809" s="24"/>
      <c r="B809" s="24"/>
      <c r="D809" s="25"/>
      <c r="E809" s="24"/>
      <c r="F809" s="105"/>
    </row>
    <row r="810" spans="1:6" ht="12.75" x14ac:dyDescent="0.2">
      <c r="A810" s="24"/>
      <c r="B810" s="24"/>
      <c r="D810" s="25"/>
      <c r="E810" s="24"/>
      <c r="F810" s="105"/>
    </row>
    <row r="811" spans="1:6" ht="12.75" x14ac:dyDescent="0.2">
      <c r="A811" s="24"/>
      <c r="B811" s="24"/>
      <c r="D811" s="25"/>
      <c r="E811" s="24"/>
      <c r="F811" s="105"/>
    </row>
    <row r="812" spans="1:6" ht="12.75" x14ac:dyDescent="0.2">
      <c r="A812" s="24"/>
      <c r="B812" s="24"/>
      <c r="D812" s="25"/>
      <c r="E812" s="24"/>
      <c r="F812" s="105"/>
    </row>
    <row r="813" spans="1:6" ht="12.75" x14ac:dyDescent="0.2">
      <c r="A813" s="24"/>
      <c r="B813" s="24"/>
      <c r="D813" s="25"/>
      <c r="E813" s="24"/>
      <c r="F813" s="105"/>
    </row>
    <row r="814" spans="1:6" ht="12.75" x14ac:dyDescent="0.2">
      <c r="A814" s="24"/>
      <c r="B814" s="24"/>
      <c r="D814" s="25"/>
      <c r="E814" s="24"/>
      <c r="F814" s="105"/>
    </row>
    <row r="815" spans="1:6" ht="12.75" x14ac:dyDescent="0.2">
      <c r="A815" s="24"/>
      <c r="B815" s="24"/>
      <c r="D815" s="25"/>
      <c r="E815" s="24"/>
      <c r="F815" s="105"/>
    </row>
    <row r="816" spans="1:6" ht="12.75" x14ac:dyDescent="0.2">
      <c r="A816" s="24"/>
      <c r="B816" s="24"/>
      <c r="D816" s="25"/>
      <c r="E816" s="24"/>
      <c r="F816" s="105"/>
    </row>
    <row r="817" spans="1:6" ht="12.75" x14ac:dyDescent="0.2">
      <c r="A817" s="24"/>
      <c r="B817" s="24"/>
      <c r="D817" s="25"/>
      <c r="E817" s="24"/>
      <c r="F817" s="105"/>
    </row>
    <row r="818" spans="1:6" ht="12.75" x14ac:dyDescent="0.2">
      <c r="A818" s="24"/>
      <c r="B818" s="24"/>
      <c r="D818" s="25"/>
      <c r="E818" s="24"/>
      <c r="F818" s="105"/>
    </row>
    <row r="819" spans="1:6" ht="12.75" x14ac:dyDescent="0.2">
      <c r="A819" s="24"/>
      <c r="B819" s="24"/>
      <c r="D819" s="25"/>
      <c r="E819" s="24"/>
      <c r="F819" s="105"/>
    </row>
    <row r="820" spans="1:6" ht="12.75" x14ac:dyDescent="0.2">
      <c r="A820" s="24"/>
      <c r="B820" s="24"/>
      <c r="D820" s="25"/>
      <c r="E820" s="24"/>
      <c r="F820" s="105"/>
    </row>
    <row r="821" spans="1:6" ht="12.75" x14ac:dyDescent="0.2">
      <c r="A821" s="24"/>
      <c r="B821" s="24"/>
      <c r="D821" s="25"/>
      <c r="E821" s="24"/>
      <c r="F821" s="105"/>
    </row>
    <row r="822" spans="1:6" ht="12.75" x14ac:dyDescent="0.2">
      <c r="A822" s="24"/>
      <c r="B822" s="24"/>
      <c r="D822" s="25"/>
      <c r="E822" s="24"/>
      <c r="F822" s="105"/>
    </row>
    <row r="823" spans="1:6" ht="12.75" x14ac:dyDescent="0.2">
      <c r="A823" s="24"/>
      <c r="B823" s="24"/>
      <c r="D823" s="25"/>
      <c r="E823" s="24"/>
      <c r="F823" s="105"/>
    </row>
    <row r="824" spans="1:6" ht="12.75" x14ac:dyDescent="0.2">
      <c r="A824" s="24"/>
      <c r="B824" s="24"/>
      <c r="D824" s="25"/>
      <c r="E824" s="24"/>
      <c r="F824" s="105"/>
    </row>
    <row r="825" spans="1:6" ht="12.75" x14ac:dyDescent="0.2">
      <c r="A825" s="24"/>
      <c r="B825" s="24"/>
      <c r="D825" s="25"/>
      <c r="E825" s="24"/>
      <c r="F825" s="105"/>
    </row>
    <row r="826" spans="1:6" ht="12.75" x14ac:dyDescent="0.2">
      <c r="A826" s="24"/>
      <c r="B826" s="24"/>
      <c r="D826" s="25"/>
      <c r="E826" s="24"/>
      <c r="F826" s="105"/>
    </row>
    <row r="827" spans="1:6" ht="12.75" x14ac:dyDescent="0.2">
      <c r="A827" s="24"/>
      <c r="B827" s="24"/>
      <c r="D827" s="25"/>
      <c r="E827" s="24"/>
      <c r="F827" s="105"/>
    </row>
    <row r="828" spans="1:6" ht="12.75" x14ac:dyDescent="0.2">
      <c r="A828" s="24"/>
      <c r="B828" s="24"/>
      <c r="D828" s="25"/>
      <c r="E828" s="24"/>
      <c r="F828" s="105"/>
    </row>
    <row r="829" spans="1:6" ht="12.75" x14ac:dyDescent="0.2">
      <c r="A829" s="24"/>
      <c r="B829" s="24"/>
      <c r="D829" s="25"/>
      <c r="E829" s="24"/>
      <c r="F829" s="105"/>
    </row>
    <row r="830" spans="1:6" ht="12.75" x14ac:dyDescent="0.2">
      <c r="A830" s="24"/>
      <c r="B830" s="24"/>
      <c r="D830" s="25"/>
      <c r="E830" s="24"/>
      <c r="F830" s="105"/>
    </row>
    <row r="831" spans="1:6" ht="12.75" x14ac:dyDescent="0.2">
      <c r="A831" s="24"/>
      <c r="B831" s="24"/>
      <c r="D831" s="25"/>
      <c r="E831" s="24"/>
      <c r="F831" s="105"/>
    </row>
    <row r="832" spans="1:6" ht="12.75" x14ac:dyDescent="0.2">
      <c r="A832" s="24"/>
      <c r="B832" s="24"/>
      <c r="D832" s="25"/>
      <c r="E832" s="24"/>
      <c r="F832" s="105"/>
    </row>
    <row r="833" spans="1:6" ht="12.75" x14ac:dyDescent="0.2">
      <c r="A833" s="24"/>
      <c r="B833" s="24"/>
      <c r="D833" s="25"/>
      <c r="E833" s="24"/>
      <c r="F833" s="105"/>
    </row>
    <row r="834" spans="1:6" ht="12.75" x14ac:dyDescent="0.2">
      <c r="A834" s="24"/>
      <c r="B834" s="24"/>
      <c r="D834" s="25"/>
      <c r="E834" s="24"/>
      <c r="F834" s="105"/>
    </row>
    <row r="835" spans="1:6" ht="12.75" x14ac:dyDescent="0.2">
      <c r="A835" s="24"/>
      <c r="B835" s="24"/>
      <c r="D835" s="25"/>
      <c r="E835" s="24"/>
      <c r="F835" s="105"/>
    </row>
    <row r="836" spans="1:6" ht="12.75" x14ac:dyDescent="0.2">
      <c r="A836" s="24"/>
      <c r="B836" s="24"/>
      <c r="D836" s="25"/>
      <c r="E836" s="24"/>
      <c r="F836" s="105"/>
    </row>
    <row r="837" spans="1:6" ht="12.75" x14ac:dyDescent="0.2">
      <c r="A837" s="24"/>
      <c r="B837" s="24"/>
      <c r="D837" s="25"/>
      <c r="E837" s="24"/>
      <c r="F837" s="105"/>
    </row>
    <row r="838" spans="1:6" ht="12.75" x14ac:dyDescent="0.2">
      <c r="A838" s="24"/>
      <c r="B838" s="24"/>
      <c r="D838" s="25"/>
      <c r="E838" s="24"/>
      <c r="F838" s="105"/>
    </row>
    <row r="839" spans="1:6" ht="12.75" x14ac:dyDescent="0.2">
      <c r="A839" s="24"/>
      <c r="B839" s="24"/>
      <c r="D839" s="25"/>
      <c r="E839" s="24"/>
      <c r="F839" s="105"/>
    </row>
    <row r="840" spans="1:6" ht="12.75" x14ac:dyDescent="0.2">
      <c r="A840" s="24"/>
      <c r="B840" s="24"/>
      <c r="D840" s="25"/>
      <c r="E840" s="24"/>
      <c r="F840" s="105"/>
    </row>
    <row r="841" spans="1:6" ht="12.75" x14ac:dyDescent="0.2">
      <c r="A841" s="24"/>
      <c r="B841" s="24"/>
      <c r="D841" s="25"/>
      <c r="E841" s="24"/>
      <c r="F841" s="105"/>
    </row>
    <row r="842" spans="1:6" ht="12.75" x14ac:dyDescent="0.2">
      <c r="A842" s="24"/>
      <c r="B842" s="24"/>
      <c r="D842" s="25"/>
      <c r="E842" s="24"/>
      <c r="F842" s="105"/>
    </row>
    <row r="843" spans="1:6" ht="12.75" x14ac:dyDescent="0.2">
      <c r="A843" s="24"/>
      <c r="B843" s="24"/>
      <c r="D843" s="25"/>
      <c r="E843" s="24"/>
      <c r="F843" s="105"/>
    </row>
    <row r="844" spans="1:6" ht="12.75" x14ac:dyDescent="0.2">
      <c r="A844" s="24"/>
      <c r="B844" s="24"/>
      <c r="D844" s="25"/>
      <c r="E844" s="24"/>
      <c r="F844" s="105"/>
    </row>
    <row r="845" spans="1:6" ht="12.75" x14ac:dyDescent="0.2">
      <c r="A845" s="24"/>
      <c r="B845" s="24"/>
      <c r="D845" s="25"/>
      <c r="E845" s="24"/>
      <c r="F845" s="105"/>
    </row>
    <row r="846" spans="1:6" ht="12.75" x14ac:dyDescent="0.2">
      <c r="A846" s="24"/>
      <c r="B846" s="24"/>
      <c r="D846" s="25"/>
      <c r="E846" s="24"/>
      <c r="F846" s="105"/>
    </row>
    <row r="847" spans="1:6" ht="12.75" x14ac:dyDescent="0.2">
      <c r="A847" s="24"/>
      <c r="B847" s="24"/>
      <c r="D847" s="25"/>
      <c r="E847" s="24"/>
      <c r="F847" s="105"/>
    </row>
    <row r="848" spans="1:6" ht="12.75" x14ac:dyDescent="0.2">
      <c r="A848" s="24"/>
      <c r="B848" s="24"/>
      <c r="D848" s="25"/>
      <c r="E848" s="24"/>
      <c r="F848" s="105"/>
    </row>
    <row r="849" spans="1:6" ht="12.75" x14ac:dyDescent="0.2">
      <c r="A849" s="24"/>
      <c r="B849" s="24"/>
      <c r="D849" s="25"/>
      <c r="E849" s="24"/>
      <c r="F849" s="105"/>
    </row>
    <row r="850" spans="1:6" ht="12.75" x14ac:dyDescent="0.2">
      <c r="A850" s="24"/>
      <c r="B850" s="24"/>
      <c r="D850" s="25"/>
      <c r="E850" s="24"/>
      <c r="F850" s="105"/>
    </row>
    <row r="851" spans="1:6" ht="12.75" x14ac:dyDescent="0.2">
      <c r="A851" s="24"/>
      <c r="B851" s="24"/>
      <c r="D851" s="25"/>
      <c r="E851" s="24"/>
      <c r="F851" s="105"/>
    </row>
    <row r="852" spans="1:6" ht="12.75" x14ac:dyDescent="0.2">
      <c r="A852" s="24"/>
      <c r="B852" s="24"/>
      <c r="D852" s="25"/>
      <c r="E852" s="24"/>
      <c r="F852" s="105"/>
    </row>
    <row r="853" spans="1:6" ht="12.75" x14ac:dyDescent="0.2">
      <c r="A853" s="24"/>
      <c r="B853" s="24"/>
      <c r="D853" s="25"/>
      <c r="E853" s="24"/>
      <c r="F853" s="105"/>
    </row>
    <row r="854" spans="1:6" ht="12.75" x14ac:dyDescent="0.2">
      <c r="A854" s="24"/>
      <c r="B854" s="24"/>
      <c r="D854" s="25"/>
      <c r="E854" s="24"/>
      <c r="F854" s="105"/>
    </row>
    <row r="855" spans="1:6" ht="12.75" x14ac:dyDescent="0.2">
      <c r="A855" s="24"/>
      <c r="B855" s="24"/>
      <c r="D855" s="25"/>
      <c r="E855" s="24"/>
      <c r="F855" s="105"/>
    </row>
    <row r="856" spans="1:6" ht="12.75" x14ac:dyDescent="0.2">
      <c r="A856" s="24"/>
      <c r="B856" s="24"/>
      <c r="D856" s="25"/>
      <c r="E856" s="24"/>
      <c r="F856" s="105"/>
    </row>
    <row r="857" spans="1:6" ht="12.75" x14ac:dyDescent="0.2">
      <c r="A857" s="24"/>
      <c r="B857" s="24"/>
      <c r="D857" s="25"/>
      <c r="E857" s="24"/>
      <c r="F857" s="105"/>
    </row>
    <row r="858" spans="1:6" ht="12.75" x14ac:dyDescent="0.2">
      <c r="A858" s="24"/>
      <c r="B858" s="24"/>
      <c r="D858" s="25"/>
      <c r="E858" s="24"/>
      <c r="F858" s="105"/>
    </row>
    <row r="859" spans="1:6" ht="12.75" x14ac:dyDescent="0.2">
      <c r="A859" s="24"/>
      <c r="B859" s="24"/>
      <c r="D859" s="25"/>
      <c r="E859" s="24"/>
      <c r="F859" s="105"/>
    </row>
    <row r="860" spans="1:6" ht="12.75" x14ac:dyDescent="0.2">
      <c r="A860" s="24"/>
      <c r="B860" s="24"/>
      <c r="D860" s="25"/>
      <c r="E860" s="24"/>
      <c r="F860" s="105"/>
    </row>
    <row r="861" spans="1:6" ht="12.75" x14ac:dyDescent="0.2">
      <c r="A861" s="24"/>
      <c r="B861" s="24"/>
      <c r="D861" s="25"/>
      <c r="E861" s="24"/>
      <c r="F861" s="105"/>
    </row>
    <row r="862" spans="1:6" ht="12.75" x14ac:dyDescent="0.2">
      <c r="A862" s="24"/>
      <c r="B862" s="24"/>
      <c r="D862" s="25"/>
      <c r="E862" s="24"/>
      <c r="F862" s="105"/>
    </row>
    <row r="863" spans="1:6" ht="12.75" x14ac:dyDescent="0.2">
      <c r="A863" s="24"/>
      <c r="B863" s="24"/>
      <c r="D863" s="25"/>
      <c r="E863" s="24"/>
      <c r="F863" s="105"/>
    </row>
    <row r="864" spans="1:6" ht="12.75" x14ac:dyDescent="0.2">
      <c r="A864" s="24"/>
      <c r="B864" s="24"/>
      <c r="D864" s="25"/>
      <c r="E864" s="24"/>
      <c r="F864" s="105"/>
    </row>
    <row r="865" spans="1:6" ht="12.75" x14ac:dyDescent="0.2">
      <c r="A865" s="24"/>
      <c r="B865" s="24"/>
      <c r="D865" s="25"/>
      <c r="E865" s="24"/>
      <c r="F865" s="105"/>
    </row>
    <row r="866" spans="1:6" ht="12.75" x14ac:dyDescent="0.2">
      <c r="A866" s="24"/>
      <c r="B866" s="24"/>
      <c r="D866" s="25"/>
      <c r="E866" s="24"/>
      <c r="F866" s="105"/>
    </row>
    <row r="867" spans="1:6" ht="12.75" x14ac:dyDescent="0.2">
      <c r="A867" s="24"/>
      <c r="B867" s="24"/>
      <c r="D867" s="25"/>
      <c r="E867" s="24"/>
      <c r="F867" s="105"/>
    </row>
    <row r="868" spans="1:6" ht="12.75" x14ac:dyDescent="0.2">
      <c r="A868" s="24"/>
      <c r="B868" s="24"/>
      <c r="D868" s="25"/>
      <c r="E868" s="24"/>
      <c r="F868" s="105"/>
    </row>
    <row r="869" spans="1:6" ht="12.75" x14ac:dyDescent="0.2">
      <c r="A869" s="24"/>
      <c r="B869" s="24"/>
      <c r="D869" s="25"/>
      <c r="E869" s="24"/>
      <c r="F869" s="105"/>
    </row>
    <row r="870" spans="1:6" ht="12.75" x14ac:dyDescent="0.2">
      <c r="A870" s="24"/>
      <c r="B870" s="24"/>
      <c r="D870" s="25"/>
      <c r="E870" s="24"/>
      <c r="F870" s="105"/>
    </row>
    <row r="871" spans="1:6" ht="12.75" x14ac:dyDescent="0.2">
      <c r="A871" s="24"/>
      <c r="B871" s="24"/>
      <c r="D871" s="25"/>
      <c r="E871" s="24"/>
      <c r="F871" s="105"/>
    </row>
    <row r="872" spans="1:6" ht="12.75" x14ac:dyDescent="0.2">
      <c r="A872" s="24"/>
      <c r="B872" s="24"/>
      <c r="D872" s="25"/>
      <c r="E872" s="24"/>
      <c r="F872" s="105"/>
    </row>
    <row r="873" spans="1:6" ht="12.75" x14ac:dyDescent="0.2">
      <c r="A873" s="24"/>
      <c r="B873" s="24"/>
      <c r="D873" s="25"/>
      <c r="E873" s="24"/>
      <c r="F873" s="105"/>
    </row>
    <row r="874" spans="1:6" ht="12.75" x14ac:dyDescent="0.2">
      <c r="A874" s="24"/>
      <c r="B874" s="24"/>
      <c r="D874" s="25"/>
      <c r="E874" s="24"/>
      <c r="F874" s="105"/>
    </row>
    <row r="875" spans="1:6" ht="12.75" x14ac:dyDescent="0.2">
      <c r="A875" s="24"/>
      <c r="B875" s="24"/>
      <c r="D875" s="25"/>
      <c r="E875" s="24"/>
      <c r="F875" s="105"/>
    </row>
    <row r="876" spans="1:6" ht="12.75" x14ac:dyDescent="0.2">
      <c r="A876" s="24"/>
      <c r="B876" s="24"/>
      <c r="D876" s="25"/>
      <c r="E876" s="24"/>
      <c r="F876" s="105"/>
    </row>
    <row r="877" spans="1:6" ht="12.75" x14ac:dyDescent="0.2">
      <c r="A877" s="24"/>
      <c r="B877" s="24"/>
      <c r="D877" s="25"/>
      <c r="E877" s="24"/>
      <c r="F877" s="105"/>
    </row>
    <row r="878" spans="1:6" ht="12.75" x14ac:dyDescent="0.2">
      <c r="A878" s="24"/>
      <c r="B878" s="24"/>
      <c r="D878" s="25"/>
      <c r="E878" s="24"/>
      <c r="F878" s="105"/>
    </row>
    <row r="879" spans="1:6" ht="12.75" x14ac:dyDescent="0.2">
      <c r="A879" s="24"/>
      <c r="B879" s="24"/>
      <c r="D879" s="25"/>
      <c r="E879" s="24"/>
      <c r="F879" s="105"/>
    </row>
    <row r="880" spans="1:6" ht="12.75" x14ac:dyDescent="0.2">
      <c r="A880" s="24"/>
      <c r="B880" s="24"/>
      <c r="D880" s="25"/>
      <c r="E880" s="24"/>
      <c r="F880" s="105"/>
    </row>
    <row r="881" spans="1:6" ht="12.75" x14ac:dyDescent="0.2">
      <c r="A881" s="24"/>
      <c r="B881" s="24"/>
      <c r="D881" s="25"/>
      <c r="E881" s="24"/>
      <c r="F881" s="105"/>
    </row>
    <row r="882" spans="1:6" ht="12.75" x14ac:dyDescent="0.2">
      <c r="A882" s="24"/>
      <c r="B882" s="24"/>
      <c r="D882" s="25"/>
      <c r="E882" s="24"/>
      <c r="F882" s="105"/>
    </row>
    <row r="883" spans="1:6" ht="12.75" x14ac:dyDescent="0.2">
      <c r="A883" s="24"/>
      <c r="B883" s="24"/>
      <c r="D883" s="25"/>
      <c r="E883" s="24"/>
      <c r="F883" s="105"/>
    </row>
    <row r="884" spans="1:6" ht="12.75" x14ac:dyDescent="0.2">
      <c r="A884" s="24"/>
      <c r="B884" s="24"/>
      <c r="D884" s="25"/>
      <c r="E884" s="24"/>
      <c r="F884" s="105"/>
    </row>
    <row r="885" spans="1:6" ht="12.75" x14ac:dyDescent="0.2">
      <c r="A885" s="24"/>
      <c r="B885" s="24"/>
      <c r="D885" s="25"/>
      <c r="E885" s="24"/>
      <c r="F885" s="105"/>
    </row>
    <row r="886" spans="1:6" ht="12.75" x14ac:dyDescent="0.2">
      <c r="A886" s="24"/>
      <c r="B886" s="24"/>
      <c r="D886" s="25"/>
      <c r="E886" s="24"/>
      <c r="F886" s="105"/>
    </row>
    <row r="887" spans="1:6" ht="12.75" x14ac:dyDescent="0.2">
      <c r="A887" s="24"/>
      <c r="B887" s="24"/>
      <c r="D887" s="25"/>
      <c r="E887" s="24"/>
      <c r="F887" s="105"/>
    </row>
    <row r="888" spans="1:6" ht="12.75" x14ac:dyDescent="0.2">
      <c r="A888" s="24"/>
      <c r="B888" s="24"/>
      <c r="D888" s="25"/>
      <c r="E888" s="24"/>
      <c r="F888" s="105"/>
    </row>
    <row r="889" spans="1:6" ht="12.75" x14ac:dyDescent="0.2">
      <c r="A889" s="24"/>
      <c r="B889" s="24"/>
      <c r="D889" s="25"/>
      <c r="E889" s="24"/>
      <c r="F889" s="105"/>
    </row>
    <row r="890" spans="1:6" ht="12.75" x14ac:dyDescent="0.2">
      <c r="A890" s="24"/>
      <c r="B890" s="24"/>
      <c r="D890" s="25"/>
      <c r="E890" s="24"/>
      <c r="F890" s="105"/>
    </row>
    <row r="891" spans="1:6" ht="12.75" x14ac:dyDescent="0.2">
      <c r="A891" s="24"/>
      <c r="B891" s="24"/>
      <c r="D891" s="25"/>
      <c r="E891" s="24"/>
      <c r="F891" s="105"/>
    </row>
    <row r="892" spans="1:6" ht="12.75" x14ac:dyDescent="0.2">
      <c r="A892" s="24"/>
      <c r="B892" s="24"/>
      <c r="D892" s="25"/>
      <c r="E892" s="24"/>
      <c r="F892" s="105"/>
    </row>
    <row r="893" spans="1:6" ht="12.75" x14ac:dyDescent="0.2">
      <c r="A893" s="24"/>
      <c r="B893" s="24"/>
      <c r="D893" s="25"/>
      <c r="E893" s="24"/>
      <c r="F893" s="105"/>
    </row>
    <row r="894" spans="1:6" ht="12.75" x14ac:dyDescent="0.2">
      <c r="A894" s="24"/>
      <c r="B894" s="24"/>
      <c r="D894" s="25"/>
      <c r="E894" s="24"/>
      <c r="F894" s="105"/>
    </row>
    <row r="895" spans="1:6" ht="12.75" x14ac:dyDescent="0.2">
      <c r="A895" s="24"/>
      <c r="B895" s="24"/>
      <c r="D895" s="25"/>
      <c r="E895" s="24"/>
      <c r="F895" s="105"/>
    </row>
    <row r="896" spans="1:6" ht="12.75" x14ac:dyDescent="0.2">
      <c r="A896" s="24"/>
      <c r="B896" s="24"/>
      <c r="D896" s="25"/>
      <c r="E896" s="24"/>
      <c r="F896" s="105"/>
    </row>
    <row r="897" spans="1:6" ht="12.75" x14ac:dyDescent="0.2">
      <c r="A897" s="24"/>
      <c r="B897" s="24"/>
      <c r="D897" s="25"/>
      <c r="E897" s="24"/>
      <c r="F897" s="105"/>
    </row>
    <row r="898" spans="1:6" ht="12.75" x14ac:dyDescent="0.2">
      <c r="A898" s="24"/>
      <c r="B898" s="24"/>
      <c r="D898" s="25"/>
      <c r="E898" s="24"/>
      <c r="F898" s="105"/>
    </row>
    <row r="899" spans="1:6" ht="12.75" x14ac:dyDescent="0.2">
      <c r="A899" s="24"/>
      <c r="B899" s="24"/>
      <c r="D899" s="25"/>
      <c r="E899" s="24"/>
      <c r="F899" s="105"/>
    </row>
    <row r="900" spans="1:6" ht="12.75" x14ac:dyDescent="0.2">
      <c r="A900" s="24"/>
      <c r="B900" s="24"/>
      <c r="D900" s="25"/>
      <c r="E900" s="24"/>
      <c r="F900" s="105"/>
    </row>
    <row r="901" spans="1:6" ht="12.75" x14ac:dyDescent="0.2">
      <c r="A901" s="24"/>
      <c r="B901" s="24"/>
      <c r="D901" s="25"/>
      <c r="E901" s="24"/>
      <c r="F901" s="105"/>
    </row>
    <row r="902" spans="1:6" ht="12.75" x14ac:dyDescent="0.2">
      <c r="A902" s="24"/>
      <c r="B902" s="24"/>
      <c r="D902" s="25"/>
      <c r="E902" s="24"/>
      <c r="F902" s="105"/>
    </row>
    <row r="903" spans="1:6" ht="12.75" x14ac:dyDescent="0.2">
      <c r="A903" s="24"/>
      <c r="B903" s="24"/>
      <c r="D903" s="25"/>
      <c r="E903" s="24"/>
      <c r="F903" s="105"/>
    </row>
    <row r="904" spans="1:6" ht="12.75" x14ac:dyDescent="0.2">
      <c r="A904" s="24"/>
      <c r="B904" s="24"/>
      <c r="D904" s="25"/>
      <c r="E904" s="24"/>
      <c r="F904" s="105"/>
    </row>
    <row r="905" spans="1:6" ht="12.75" x14ac:dyDescent="0.2">
      <c r="A905" s="24"/>
      <c r="B905" s="24"/>
      <c r="D905" s="25"/>
      <c r="E905" s="24"/>
      <c r="F905" s="105"/>
    </row>
    <row r="906" spans="1:6" ht="12.75" x14ac:dyDescent="0.2">
      <c r="A906" s="24"/>
      <c r="B906" s="24"/>
      <c r="D906" s="25"/>
      <c r="E906" s="24"/>
      <c r="F906" s="105"/>
    </row>
    <row r="907" spans="1:6" ht="12.75" x14ac:dyDescent="0.2">
      <c r="A907" s="24"/>
      <c r="B907" s="24"/>
      <c r="D907" s="25"/>
      <c r="E907" s="24"/>
      <c r="F907" s="105"/>
    </row>
    <row r="908" spans="1:6" ht="12.75" x14ac:dyDescent="0.2">
      <c r="A908" s="24"/>
      <c r="B908" s="24"/>
      <c r="D908" s="25"/>
      <c r="E908" s="24"/>
      <c r="F908" s="105"/>
    </row>
    <row r="909" spans="1:6" ht="12.75" x14ac:dyDescent="0.2">
      <c r="A909" s="24"/>
      <c r="B909" s="24"/>
      <c r="D909" s="25"/>
      <c r="E909" s="24"/>
      <c r="F909" s="105"/>
    </row>
    <row r="910" spans="1:6" ht="12.75" x14ac:dyDescent="0.2">
      <c r="A910" s="24"/>
      <c r="B910" s="24"/>
      <c r="D910" s="25"/>
      <c r="E910" s="24"/>
      <c r="F910" s="105"/>
    </row>
    <row r="911" spans="1:6" ht="12.75" x14ac:dyDescent="0.2">
      <c r="A911" s="24"/>
      <c r="B911" s="24"/>
      <c r="D911" s="25"/>
      <c r="E911" s="24"/>
      <c r="F911" s="105"/>
    </row>
    <row r="912" spans="1:6" ht="12.75" x14ac:dyDescent="0.2">
      <c r="A912" s="24"/>
      <c r="B912" s="24"/>
      <c r="D912" s="25"/>
      <c r="E912" s="24"/>
      <c r="F912" s="105"/>
    </row>
    <row r="913" spans="1:6" ht="12.75" x14ac:dyDescent="0.2">
      <c r="A913" s="24"/>
      <c r="B913" s="24"/>
      <c r="D913" s="25"/>
      <c r="E913" s="24"/>
      <c r="F913" s="105"/>
    </row>
    <row r="914" spans="1:6" ht="12.75" x14ac:dyDescent="0.2">
      <c r="A914" s="24"/>
      <c r="B914" s="24"/>
      <c r="D914" s="25"/>
      <c r="E914" s="24"/>
      <c r="F914" s="105"/>
    </row>
    <row r="915" spans="1:6" ht="12.75" x14ac:dyDescent="0.2">
      <c r="A915" s="24"/>
      <c r="B915" s="24"/>
      <c r="D915" s="25"/>
      <c r="E915" s="24"/>
      <c r="F915" s="105"/>
    </row>
    <row r="916" spans="1:6" ht="12.75" x14ac:dyDescent="0.2">
      <c r="A916" s="24"/>
      <c r="B916" s="24"/>
      <c r="D916" s="25"/>
      <c r="E916" s="24"/>
      <c r="F916" s="105"/>
    </row>
    <row r="917" spans="1:6" ht="12.75" x14ac:dyDescent="0.2">
      <c r="A917" s="24"/>
      <c r="B917" s="24"/>
      <c r="D917" s="25"/>
      <c r="E917" s="24"/>
      <c r="F917" s="105"/>
    </row>
    <row r="918" spans="1:6" ht="12.75" x14ac:dyDescent="0.2">
      <c r="A918" s="24"/>
      <c r="B918" s="24"/>
      <c r="D918" s="25"/>
      <c r="E918" s="24"/>
      <c r="F918" s="105"/>
    </row>
    <row r="919" spans="1:6" ht="12.75" x14ac:dyDescent="0.2">
      <c r="A919" s="24"/>
      <c r="B919" s="24"/>
      <c r="D919" s="25"/>
      <c r="E919" s="24"/>
      <c r="F919" s="105"/>
    </row>
    <row r="920" spans="1:6" ht="12.75" x14ac:dyDescent="0.2">
      <c r="A920" s="24"/>
      <c r="B920" s="24"/>
      <c r="D920" s="25"/>
      <c r="E920" s="24"/>
      <c r="F920" s="105"/>
    </row>
    <row r="921" spans="1:6" ht="12.75" x14ac:dyDescent="0.2">
      <c r="A921" s="24"/>
      <c r="B921" s="24"/>
      <c r="D921" s="25"/>
      <c r="E921" s="24"/>
      <c r="F921" s="105"/>
    </row>
    <row r="922" spans="1:6" ht="12.75" x14ac:dyDescent="0.2">
      <c r="A922" s="24"/>
      <c r="B922" s="24"/>
      <c r="D922" s="25"/>
      <c r="E922" s="24"/>
      <c r="F922" s="105"/>
    </row>
    <row r="923" spans="1:6" ht="12.75" x14ac:dyDescent="0.2">
      <c r="A923" s="24"/>
      <c r="B923" s="24"/>
      <c r="D923" s="25"/>
      <c r="E923" s="24"/>
      <c r="F923" s="105"/>
    </row>
    <row r="924" spans="1:6" ht="12.75" x14ac:dyDescent="0.2">
      <c r="A924" s="24"/>
      <c r="B924" s="24"/>
      <c r="D924" s="25"/>
      <c r="E924" s="24"/>
      <c r="F924" s="105"/>
    </row>
    <row r="925" spans="1:6" ht="12.75" x14ac:dyDescent="0.2">
      <c r="A925" s="24"/>
      <c r="B925" s="24"/>
      <c r="D925" s="25"/>
      <c r="E925" s="24"/>
      <c r="F925" s="105"/>
    </row>
    <row r="926" spans="1:6" ht="12.75" x14ac:dyDescent="0.2">
      <c r="A926" s="24"/>
      <c r="B926" s="24"/>
      <c r="D926" s="25"/>
      <c r="E926" s="24"/>
      <c r="F926" s="105"/>
    </row>
    <row r="927" spans="1:6" ht="12.75" x14ac:dyDescent="0.2">
      <c r="A927" s="24"/>
      <c r="B927" s="24"/>
      <c r="D927" s="25"/>
      <c r="E927" s="24"/>
      <c r="F927" s="105"/>
    </row>
    <row r="928" spans="1:6" ht="12.75" x14ac:dyDescent="0.2">
      <c r="A928" s="24"/>
      <c r="B928" s="24"/>
      <c r="D928" s="25"/>
      <c r="E928" s="24"/>
      <c r="F928" s="105"/>
    </row>
    <row r="929" spans="1:6" ht="12.75" x14ac:dyDescent="0.2">
      <c r="A929" s="24"/>
      <c r="B929" s="24"/>
      <c r="D929" s="25"/>
      <c r="E929" s="24"/>
      <c r="F929" s="105"/>
    </row>
    <row r="930" spans="1:6" ht="12.75" x14ac:dyDescent="0.2">
      <c r="A930" s="24"/>
      <c r="B930" s="24"/>
      <c r="D930" s="25"/>
      <c r="E930" s="24"/>
      <c r="F930" s="105"/>
    </row>
    <row r="931" spans="1:6" ht="12.75" x14ac:dyDescent="0.2">
      <c r="A931" s="24"/>
      <c r="B931" s="24"/>
      <c r="D931" s="25"/>
      <c r="E931" s="24"/>
      <c r="F931" s="105"/>
    </row>
    <row r="932" spans="1:6" ht="12.75" x14ac:dyDescent="0.2">
      <c r="A932" s="24"/>
      <c r="B932" s="24"/>
      <c r="D932" s="25"/>
      <c r="E932" s="24"/>
      <c r="F932" s="105"/>
    </row>
    <row r="933" spans="1:6" ht="12.75" x14ac:dyDescent="0.2">
      <c r="A933" s="24"/>
      <c r="B933" s="24"/>
      <c r="D933" s="25"/>
      <c r="E933" s="24"/>
      <c r="F933" s="105"/>
    </row>
    <row r="934" spans="1:6" ht="12.75" x14ac:dyDescent="0.2">
      <c r="A934" s="24"/>
      <c r="B934" s="24"/>
      <c r="D934" s="25"/>
      <c r="E934" s="24"/>
      <c r="F934" s="105"/>
    </row>
    <row r="935" spans="1:6" ht="12.75" x14ac:dyDescent="0.2">
      <c r="A935" s="24"/>
      <c r="B935" s="24"/>
      <c r="D935" s="25"/>
      <c r="E935" s="24"/>
      <c r="F935" s="105"/>
    </row>
    <row r="936" spans="1:6" ht="12.75" x14ac:dyDescent="0.2">
      <c r="A936" s="24"/>
      <c r="B936" s="24"/>
      <c r="D936" s="25"/>
      <c r="E936" s="24"/>
      <c r="F936" s="105"/>
    </row>
    <row r="937" spans="1:6" ht="12.75" x14ac:dyDescent="0.2">
      <c r="A937" s="24"/>
      <c r="B937" s="24"/>
      <c r="D937" s="25"/>
      <c r="E937" s="24"/>
      <c r="F937" s="105"/>
    </row>
    <row r="938" spans="1:6" ht="12.75" x14ac:dyDescent="0.2">
      <c r="A938" s="24"/>
      <c r="B938" s="24"/>
      <c r="D938" s="25"/>
      <c r="E938" s="24"/>
      <c r="F938" s="105"/>
    </row>
    <row r="939" spans="1:6" ht="12.75" x14ac:dyDescent="0.2">
      <c r="A939" s="24"/>
      <c r="B939" s="24"/>
      <c r="D939" s="25"/>
      <c r="E939" s="24"/>
      <c r="F939" s="105"/>
    </row>
    <row r="940" spans="1:6" ht="12.75" x14ac:dyDescent="0.2">
      <c r="A940" s="24"/>
      <c r="B940" s="24"/>
      <c r="D940" s="25"/>
      <c r="E940" s="24"/>
      <c r="F940" s="105"/>
    </row>
    <row r="941" spans="1:6" ht="12.75" x14ac:dyDescent="0.2">
      <c r="A941" s="24"/>
      <c r="B941" s="24"/>
      <c r="D941" s="25"/>
      <c r="E941" s="24"/>
      <c r="F941" s="105"/>
    </row>
    <row r="942" spans="1:6" ht="12.75" x14ac:dyDescent="0.2">
      <c r="A942" s="24"/>
      <c r="B942" s="24"/>
      <c r="D942" s="25"/>
      <c r="E942" s="24"/>
      <c r="F942" s="105"/>
    </row>
    <row r="943" spans="1:6" ht="12.75" x14ac:dyDescent="0.2">
      <c r="A943" s="24"/>
      <c r="B943" s="24"/>
      <c r="D943" s="25"/>
      <c r="E943" s="24"/>
      <c r="F943" s="105"/>
    </row>
    <row r="944" spans="1:6" ht="12.75" x14ac:dyDescent="0.2">
      <c r="A944" s="24"/>
      <c r="B944" s="24"/>
      <c r="D944" s="25"/>
      <c r="E944" s="24"/>
      <c r="F944" s="105"/>
    </row>
    <row r="945" spans="1:6" ht="12.75" x14ac:dyDescent="0.2">
      <c r="A945" s="24"/>
      <c r="B945" s="24"/>
      <c r="D945" s="25"/>
      <c r="E945" s="24"/>
      <c r="F945" s="105"/>
    </row>
    <row r="946" spans="1:6" ht="12.75" x14ac:dyDescent="0.2">
      <c r="A946" s="24"/>
      <c r="B946" s="24"/>
      <c r="D946" s="25"/>
      <c r="E946" s="24"/>
      <c r="F946" s="105"/>
    </row>
    <row r="947" spans="1:6" ht="12.75" x14ac:dyDescent="0.2">
      <c r="A947" s="24"/>
      <c r="B947" s="24"/>
      <c r="D947" s="25"/>
      <c r="E947" s="24"/>
      <c r="F947" s="105"/>
    </row>
    <row r="948" spans="1:6" ht="12.75" x14ac:dyDescent="0.2">
      <c r="A948" s="24"/>
      <c r="B948" s="24"/>
      <c r="D948" s="25"/>
      <c r="E948" s="24"/>
      <c r="F948" s="105"/>
    </row>
    <row r="949" spans="1:6" ht="12.75" x14ac:dyDescent="0.2">
      <c r="A949" s="24"/>
      <c r="B949" s="24"/>
      <c r="D949" s="25"/>
      <c r="E949" s="24"/>
      <c r="F949" s="105"/>
    </row>
    <row r="950" spans="1:6" ht="12.75" x14ac:dyDescent="0.2">
      <c r="A950" s="24"/>
      <c r="B950" s="24"/>
      <c r="D950" s="25"/>
      <c r="E950" s="24"/>
      <c r="F950" s="105"/>
    </row>
    <row r="951" spans="1:6" ht="12.75" x14ac:dyDescent="0.2">
      <c r="A951" s="24"/>
      <c r="B951" s="24"/>
      <c r="D951" s="25"/>
      <c r="E951" s="24"/>
      <c r="F951" s="105"/>
    </row>
    <row r="952" spans="1:6" ht="12.75" x14ac:dyDescent="0.2">
      <c r="A952" s="24"/>
      <c r="B952" s="24"/>
      <c r="D952" s="25"/>
      <c r="E952" s="24"/>
      <c r="F952" s="105"/>
    </row>
    <row r="953" spans="1:6" ht="12.75" x14ac:dyDescent="0.2">
      <c r="A953" s="24"/>
      <c r="B953" s="24"/>
      <c r="D953" s="25"/>
      <c r="E953" s="24"/>
      <c r="F953" s="105"/>
    </row>
    <row r="954" spans="1:6" ht="12.75" x14ac:dyDescent="0.2">
      <c r="A954" s="24"/>
      <c r="B954" s="24"/>
      <c r="D954" s="25"/>
      <c r="E954" s="24"/>
      <c r="F954" s="105"/>
    </row>
    <row r="955" spans="1:6" ht="12.75" x14ac:dyDescent="0.2">
      <c r="A955" s="24"/>
      <c r="B955" s="24"/>
      <c r="D955" s="25"/>
      <c r="E955" s="24"/>
      <c r="F955" s="105"/>
    </row>
    <row r="956" spans="1:6" ht="12.75" x14ac:dyDescent="0.2">
      <c r="A956" s="24"/>
      <c r="B956" s="24"/>
      <c r="D956" s="25"/>
      <c r="E956" s="24"/>
      <c r="F956" s="105"/>
    </row>
    <row r="957" spans="1:6" ht="12.75" x14ac:dyDescent="0.2">
      <c r="A957" s="24"/>
      <c r="B957" s="24"/>
      <c r="D957" s="25"/>
      <c r="E957" s="24"/>
      <c r="F957" s="105"/>
    </row>
    <row r="958" spans="1:6" ht="12.75" x14ac:dyDescent="0.2">
      <c r="A958" s="24"/>
      <c r="B958" s="24"/>
      <c r="D958" s="25"/>
      <c r="E958" s="24"/>
      <c r="F958" s="105"/>
    </row>
    <row r="959" spans="1:6" ht="12.75" x14ac:dyDescent="0.2">
      <c r="A959" s="24"/>
      <c r="B959" s="24"/>
      <c r="D959" s="25"/>
      <c r="E959" s="24"/>
      <c r="F959" s="105"/>
    </row>
    <row r="960" spans="1:6" ht="12.75" x14ac:dyDescent="0.2">
      <c r="A960" s="24"/>
      <c r="B960" s="24"/>
      <c r="D960" s="25"/>
      <c r="E960" s="24"/>
      <c r="F960" s="105"/>
    </row>
    <row r="961" spans="1:6" ht="12.75" x14ac:dyDescent="0.2">
      <c r="A961" s="24"/>
      <c r="B961" s="24"/>
      <c r="D961" s="25"/>
      <c r="E961" s="24"/>
      <c r="F961" s="105"/>
    </row>
    <row r="962" spans="1:6" ht="12.75" x14ac:dyDescent="0.2">
      <c r="A962" s="24"/>
      <c r="B962" s="24"/>
      <c r="D962" s="25"/>
      <c r="E962" s="24"/>
      <c r="F962" s="105"/>
    </row>
    <row r="963" spans="1:6" ht="12.75" x14ac:dyDescent="0.2">
      <c r="A963" s="24"/>
      <c r="B963" s="24"/>
      <c r="D963" s="25"/>
      <c r="E963" s="24"/>
      <c r="F963" s="105"/>
    </row>
    <row r="964" spans="1:6" ht="12.75" x14ac:dyDescent="0.2">
      <c r="A964" s="24"/>
      <c r="B964" s="24"/>
      <c r="D964" s="25"/>
      <c r="E964" s="24"/>
      <c r="F964" s="105"/>
    </row>
    <row r="965" spans="1:6" ht="12.75" x14ac:dyDescent="0.2">
      <c r="A965" s="24"/>
      <c r="B965" s="24"/>
      <c r="D965" s="25"/>
      <c r="E965" s="24"/>
      <c r="F965" s="105"/>
    </row>
    <row r="966" spans="1:6" ht="12.75" x14ac:dyDescent="0.2">
      <c r="A966" s="24"/>
      <c r="B966" s="24"/>
      <c r="D966" s="25"/>
      <c r="E966" s="24"/>
      <c r="F966" s="105"/>
    </row>
    <row r="967" spans="1:6" ht="12.75" x14ac:dyDescent="0.2">
      <c r="A967" s="24"/>
      <c r="B967" s="24"/>
      <c r="D967" s="25"/>
      <c r="E967" s="24"/>
      <c r="F967" s="105"/>
    </row>
    <row r="968" spans="1:6" ht="12.75" x14ac:dyDescent="0.2">
      <c r="A968" s="24"/>
      <c r="B968" s="24"/>
      <c r="D968" s="25"/>
      <c r="E968" s="24"/>
      <c r="F968" s="105"/>
    </row>
    <row r="969" spans="1:6" ht="12.75" x14ac:dyDescent="0.2">
      <c r="A969" s="24"/>
      <c r="B969" s="24"/>
      <c r="D969" s="25"/>
      <c r="E969" s="24"/>
      <c r="F969" s="105"/>
    </row>
    <row r="970" spans="1:6" ht="12.75" x14ac:dyDescent="0.2">
      <c r="A970" s="24"/>
      <c r="B970" s="24"/>
      <c r="D970" s="25"/>
      <c r="E970" s="24"/>
      <c r="F970" s="105"/>
    </row>
    <row r="971" spans="1:6" ht="12.75" x14ac:dyDescent="0.2">
      <c r="A971" s="24"/>
      <c r="B971" s="24"/>
      <c r="D971" s="25"/>
      <c r="E971" s="24"/>
      <c r="F971" s="105"/>
    </row>
    <row r="972" spans="1:6" ht="12.75" x14ac:dyDescent="0.2">
      <c r="A972" s="24"/>
      <c r="B972" s="24"/>
      <c r="D972" s="25"/>
      <c r="E972" s="24"/>
      <c r="F972" s="105"/>
    </row>
    <row r="973" spans="1:6" ht="12.75" x14ac:dyDescent="0.2">
      <c r="A973" s="24"/>
      <c r="B973" s="24"/>
      <c r="D973" s="25"/>
      <c r="E973" s="24"/>
      <c r="F973" s="105"/>
    </row>
    <row r="974" spans="1:6" ht="12.75" x14ac:dyDescent="0.2">
      <c r="A974" s="24"/>
      <c r="B974" s="24"/>
      <c r="D974" s="25"/>
      <c r="E974" s="24"/>
      <c r="F974" s="105"/>
    </row>
    <row r="975" spans="1:6" ht="12.75" x14ac:dyDescent="0.2">
      <c r="A975" s="24"/>
      <c r="B975" s="24"/>
      <c r="D975" s="25"/>
      <c r="E975" s="24"/>
      <c r="F975" s="105"/>
    </row>
    <row r="976" spans="1:6" ht="12.75" x14ac:dyDescent="0.2">
      <c r="A976" s="24"/>
      <c r="B976" s="24"/>
      <c r="D976" s="25"/>
      <c r="E976" s="24"/>
      <c r="F976" s="105"/>
    </row>
    <row r="977" spans="1:6" ht="12.75" x14ac:dyDescent="0.2">
      <c r="A977" s="24"/>
      <c r="B977" s="24"/>
      <c r="D977" s="25"/>
      <c r="E977" s="24"/>
      <c r="F977" s="105"/>
    </row>
    <row r="978" spans="1:6" ht="12.75" x14ac:dyDescent="0.2">
      <c r="A978" s="24"/>
      <c r="B978" s="24"/>
      <c r="D978" s="25"/>
      <c r="E978" s="24"/>
      <c r="F978" s="105"/>
    </row>
    <row r="979" spans="1:6" ht="12.75" x14ac:dyDescent="0.2">
      <c r="A979" s="24"/>
      <c r="B979" s="24"/>
      <c r="D979" s="25"/>
      <c r="E979" s="24"/>
      <c r="F979" s="105"/>
    </row>
    <row r="980" spans="1:6" ht="12.75" x14ac:dyDescent="0.2">
      <c r="A980" s="24"/>
      <c r="B980" s="24"/>
      <c r="D980" s="25"/>
      <c r="E980" s="24"/>
      <c r="F980" s="105"/>
    </row>
    <row r="981" spans="1:6" ht="12.75" x14ac:dyDescent="0.2">
      <c r="A981" s="24"/>
      <c r="B981" s="24"/>
      <c r="D981" s="25"/>
      <c r="E981" s="24"/>
      <c r="F981" s="105"/>
    </row>
    <row r="982" spans="1:6" ht="12.75" x14ac:dyDescent="0.2">
      <c r="A982" s="24"/>
      <c r="B982" s="24"/>
      <c r="D982" s="25"/>
      <c r="E982" s="24"/>
      <c r="F982" s="105"/>
    </row>
    <row r="983" spans="1:6" ht="12.75" x14ac:dyDescent="0.2">
      <c r="A983" s="24"/>
      <c r="B983" s="24"/>
      <c r="D983" s="25"/>
      <c r="E983" s="24"/>
      <c r="F983" s="105"/>
    </row>
    <row r="984" spans="1:6" ht="12.75" x14ac:dyDescent="0.2">
      <c r="A984" s="24"/>
      <c r="B984" s="24"/>
      <c r="D984" s="25"/>
      <c r="E984" s="24"/>
      <c r="F984" s="105"/>
    </row>
    <row r="985" spans="1:6" ht="12.75" x14ac:dyDescent="0.2">
      <c r="A985" s="24"/>
      <c r="B985" s="24"/>
      <c r="D985" s="25"/>
      <c r="E985" s="24"/>
      <c r="F985" s="105"/>
    </row>
    <row r="986" spans="1:6" ht="12.75" x14ac:dyDescent="0.2">
      <c r="A986" s="24"/>
      <c r="B986" s="24"/>
      <c r="D986" s="25"/>
      <c r="E986" s="24"/>
      <c r="F986" s="105"/>
    </row>
    <row r="987" spans="1:6" ht="12.75" x14ac:dyDescent="0.2">
      <c r="A987" s="24"/>
      <c r="B987" s="24"/>
      <c r="D987" s="25"/>
      <c r="E987" s="24"/>
      <c r="F987" s="105"/>
    </row>
    <row r="988" spans="1:6" ht="12.75" x14ac:dyDescent="0.2">
      <c r="A988" s="24"/>
      <c r="B988" s="24"/>
      <c r="D988" s="25"/>
      <c r="E988" s="24"/>
      <c r="F988" s="105"/>
    </row>
    <row r="989" spans="1:6" ht="12.75" x14ac:dyDescent="0.2">
      <c r="A989" s="24"/>
      <c r="B989" s="24"/>
      <c r="D989" s="25"/>
      <c r="E989" s="24"/>
      <c r="F989" s="105"/>
    </row>
    <row r="990" spans="1:6" ht="12.75" x14ac:dyDescent="0.2">
      <c r="A990" s="24"/>
      <c r="B990" s="24"/>
      <c r="D990" s="25"/>
      <c r="E990" s="24"/>
      <c r="F990" s="105"/>
    </row>
    <row r="991" spans="1:6" ht="12.75" x14ac:dyDescent="0.2">
      <c r="A991" s="24"/>
      <c r="B991" s="24"/>
      <c r="D991" s="25"/>
      <c r="E991" s="24"/>
      <c r="F991" s="105"/>
    </row>
    <row r="992" spans="1:6" ht="12.75" x14ac:dyDescent="0.2">
      <c r="A992" s="24"/>
      <c r="B992" s="24"/>
      <c r="D992" s="25"/>
      <c r="E992" s="24"/>
      <c r="F992" s="105"/>
    </row>
    <row r="993" spans="1:6" ht="12.75" x14ac:dyDescent="0.2">
      <c r="A993" s="24"/>
      <c r="B993" s="24"/>
      <c r="D993" s="25"/>
      <c r="E993" s="24"/>
      <c r="F993" s="105"/>
    </row>
    <row r="994" spans="1:6" ht="12.75" x14ac:dyDescent="0.2">
      <c r="A994" s="24"/>
      <c r="B994" s="24"/>
      <c r="D994" s="25"/>
      <c r="E994" s="24"/>
      <c r="F994" s="105"/>
    </row>
    <row r="995" spans="1:6" ht="12.75" x14ac:dyDescent="0.2">
      <c r="A995" s="24"/>
      <c r="B995" s="24"/>
      <c r="D995" s="25"/>
      <c r="E995" s="24"/>
      <c r="F995" s="105"/>
    </row>
    <row r="996" spans="1:6" ht="12.75" x14ac:dyDescent="0.2">
      <c r="A996" s="24"/>
      <c r="B996" s="24"/>
      <c r="D996" s="25"/>
      <c r="E996" s="24"/>
      <c r="F996" s="105"/>
    </row>
    <row r="997" spans="1:6" ht="12.75" x14ac:dyDescent="0.2">
      <c r="A997" s="24"/>
      <c r="B997" s="24"/>
      <c r="D997" s="25"/>
      <c r="E997" s="24"/>
      <c r="F997" s="105"/>
    </row>
    <row r="998" spans="1:6" ht="12.75" x14ac:dyDescent="0.2">
      <c r="A998" s="24"/>
      <c r="B998" s="24"/>
      <c r="D998" s="25"/>
      <c r="E998" s="24"/>
      <c r="F998" s="105"/>
    </row>
    <row r="999" spans="1:6" ht="12.75" x14ac:dyDescent="0.2">
      <c r="A999" s="24"/>
      <c r="B999" s="24"/>
      <c r="D999" s="25"/>
      <c r="E999" s="24"/>
      <c r="F999" s="105"/>
    </row>
    <row r="1000" spans="1:6" ht="12.75" x14ac:dyDescent="0.2">
      <c r="A1000" s="24"/>
      <c r="B1000" s="24"/>
      <c r="D1000" s="25"/>
      <c r="E1000" s="24"/>
      <c r="F1000" s="105"/>
    </row>
    <row r="1001" spans="1:6" ht="12.75" x14ac:dyDescent="0.2">
      <c r="A1001" s="24"/>
      <c r="B1001" s="24"/>
      <c r="D1001" s="25"/>
      <c r="E1001" s="24"/>
      <c r="F1001" s="105"/>
    </row>
    <row r="1002" spans="1:6" ht="12.75" x14ac:dyDescent="0.2">
      <c r="A1002" s="24"/>
      <c r="B1002" s="24"/>
      <c r="D1002" s="25"/>
      <c r="E1002" s="24"/>
      <c r="F1002" s="105"/>
    </row>
    <row r="1003" spans="1:6" ht="12.75" x14ac:dyDescent="0.2">
      <c r="A1003" s="24"/>
      <c r="B1003" s="24"/>
      <c r="D1003" s="25"/>
      <c r="E1003" s="24"/>
      <c r="F1003" s="105"/>
    </row>
    <row r="1004" spans="1:6" ht="12.75" x14ac:dyDescent="0.2">
      <c r="A1004" s="24"/>
      <c r="B1004" s="24"/>
      <c r="D1004" s="25"/>
      <c r="E1004" s="24"/>
      <c r="F1004" s="105"/>
    </row>
    <row r="1005" spans="1:6" ht="12.75" x14ac:dyDescent="0.2">
      <c r="A1005" s="24"/>
      <c r="B1005" s="24"/>
      <c r="D1005" s="25"/>
      <c r="E1005" s="24"/>
      <c r="F1005" s="105"/>
    </row>
    <row r="1006" spans="1:6" ht="12.75" x14ac:dyDescent="0.2">
      <c r="A1006" s="24"/>
      <c r="B1006" s="24"/>
      <c r="D1006" s="25"/>
      <c r="E1006" s="24"/>
      <c r="F1006" s="105"/>
    </row>
    <row r="1007" spans="1:6" ht="12.75" x14ac:dyDescent="0.2">
      <c r="A1007" s="24"/>
      <c r="B1007" s="24"/>
      <c r="D1007" s="25"/>
      <c r="E1007" s="24"/>
      <c r="F1007" s="105"/>
    </row>
    <row r="1008" spans="1:6" ht="12.75" x14ac:dyDescent="0.2">
      <c r="A1008" s="24"/>
      <c r="B1008" s="24"/>
      <c r="D1008" s="25"/>
      <c r="E1008" s="24"/>
      <c r="F1008" s="105"/>
    </row>
    <row r="1009" spans="1:6" ht="12.75" x14ac:dyDescent="0.2">
      <c r="A1009" s="24"/>
      <c r="B1009" s="24"/>
      <c r="D1009" s="25"/>
      <c r="E1009" s="24"/>
      <c r="F1009" s="105"/>
    </row>
    <row r="1010" spans="1:6" ht="12.75" x14ac:dyDescent="0.2">
      <c r="A1010" s="24"/>
      <c r="B1010" s="24"/>
      <c r="D1010" s="25"/>
      <c r="E1010" s="24"/>
      <c r="F1010" s="105"/>
    </row>
    <row r="1011" spans="1:6" ht="12.75" x14ac:dyDescent="0.2">
      <c r="A1011" s="24"/>
      <c r="B1011" s="24"/>
      <c r="D1011" s="25"/>
      <c r="E1011" s="24"/>
      <c r="F1011" s="105"/>
    </row>
    <row r="1012" spans="1:6" ht="12.75" x14ac:dyDescent="0.2">
      <c r="A1012" s="24"/>
      <c r="B1012" s="24"/>
      <c r="D1012" s="25"/>
      <c r="E1012" s="24"/>
      <c r="F1012" s="105"/>
    </row>
    <row r="1013" spans="1:6" ht="12.75" x14ac:dyDescent="0.2">
      <c r="A1013" s="24"/>
      <c r="B1013" s="24"/>
      <c r="D1013" s="25"/>
      <c r="E1013" s="24"/>
      <c r="F1013" s="105"/>
    </row>
    <row r="1014" spans="1:6" ht="12.75" x14ac:dyDescent="0.2">
      <c r="A1014" s="24"/>
      <c r="B1014" s="24"/>
      <c r="D1014" s="25"/>
      <c r="E1014" s="24"/>
      <c r="F1014" s="105"/>
    </row>
    <row r="1015" spans="1:6" ht="12.75" x14ac:dyDescent="0.2">
      <c r="A1015" s="24"/>
      <c r="B1015" s="24"/>
      <c r="D1015" s="25"/>
      <c r="E1015" s="24"/>
      <c r="F1015" s="105"/>
    </row>
    <row r="1016" spans="1:6" ht="12.75" x14ac:dyDescent="0.2">
      <c r="A1016" s="24"/>
      <c r="B1016" s="24"/>
      <c r="D1016" s="25"/>
      <c r="E1016" s="24"/>
      <c r="F1016" s="105"/>
    </row>
    <row r="1017" spans="1:6" ht="12.75" x14ac:dyDescent="0.2">
      <c r="A1017" s="24"/>
      <c r="B1017" s="24"/>
      <c r="D1017" s="25"/>
      <c r="E1017" s="24"/>
      <c r="F1017" s="105"/>
    </row>
    <row r="1018" spans="1:6" ht="12.75" x14ac:dyDescent="0.2">
      <c r="A1018" s="24"/>
      <c r="B1018" s="24"/>
      <c r="D1018" s="25"/>
      <c r="E1018" s="24"/>
      <c r="F1018" s="105"/>
    </row>
    <row r="1019" spans="1:6" ht="12.75" x14ac:dyDescent="0.2">
      <c r="A1019" s="24"/>
      <c r="B1019" s="24"/>
      <c r="D1019" s="25"/>
      <c r="E1019" s="24"/>
      <c r="F1019" s="105"/>
    </row>
    <row r="1020" spans="1:6" ht="12.75" x14ac:dyDescent="0.2">
      <c r="A1020" s="24"/>
      <c r="B1020" s="24"/>
      <c r="D1020" s="25"/>
      <c r="E1020" s="24"/>
      <c r="F1020" s="105"/>
    </row>
    <row r="1021" spans="1:6" ht="12.75" x14ac:dyDescent="0.2">
      <c r="A1021" s="24"/>
      <c r="B1021" s="24"/>
      <c r="D1021" s="25"/>
      <c r="E1021" s="24"/>
      <c r="F1021" s="105"/>
    </row>
    <row r="1022" spans="1:6" ht="12.75" x14ac:dyDescent="0.2">
      <c r="A1022" s="24"/>
      <c r="B1022" s="24"/>
      <c r="D1022" s="25"/>
      <c r="E1022" s="24"/>
      <c r="F1022" s="105"/>
    </row>
    <row r="1023" spans="1:6" ht="12.75" x14ac:dyDescent="0.2">
      <c r="A1023" s="24"/>
      <c r="B1023" s="24"/>
      <c r="D1023" s="25"/>
      <c r="E1023" s="24"/>
      <c r="F1023" s="105"/>
    </row>
    <row r="1024" spans="1:6" ht="12.75" x14ac:dyDescent="0.2">
      <c r="A1024" s="24"/>
      <c r="B1024" s="24"/>
      <c r="D1024" s="25"/>
      <c r="E1024" s="24"/>
      <c r="F1024" s="105"/>
    </row>
    <row r="1025" spans="1:6" ht="12.75" x14ac:dyDescent="0.2">
      <c r="A1025" s="24"/>
      <c r="B1025" s="24"/>
      <c r="D1025" s="25"/>
      <c r="E1025" s="24"/>
      <c r="F1025" s="105"/>
    </row>
    <row r="1026" spans="1:6" ht="12.75" x14ac:dyDescent="0.2">
      <c r="A1026" s="24"/>
      <c r="B1026" s="24"/>
      <c r="D1026" s="25"/>
      <c r="E1026" s="24"/>
      <c r="F1026" s="105"/>
    </row>
    <row r="1027" spans="1:6" ht="12.75" x14ac:dyDescent="0.2">
      <c r="A1027" s="24"/>
      <c r="B1027" s="24"/>
      <c r="D1027" s="25"/>
      <c r="E1027" s="24"/>
      <c r="F1027" s="105"/>
    </row>
    <row r="1028" spans="1:6" ht="12.75" x14ac:dyDescent="0.2">
      <c r="A1028" s="24"/>
      <c r="B1028" s="24"/>
      <c r="D1028" s="25"/>
      <c r="E1028" s="24"/>
      <c r="F1028" s="105"/>
    </row>
    <row r="1029" spans="1:6" ht="12.75" x14ac:dyDescent="0.2">
      <c r="A1029" s="24"/>
      <c r="B1029" s="24"/>
      <c r="D1029" s="25"/>
      <c r="E1029" s="24"/>
      <c r="F1029" s="105"/>
    </row>
    <row r="1030" spans="1:6" ht="12.75" x14ac:dyDescent="0.2">
      <c r="A1030" s="24"/>
      <c r="B1030" s="24"/>
      <c r="D1030" s="25"/>
      <c r="E1030" s="24"/>
      <c r="F1030" s="105"/>
    </row>
    <row r="1031" spans="1:6" ht="12.75" x14ac:dyDescent="0.2">
      <c r="A1031" s="24"/>
      <c r="B1031" s="24"/>
      <c r="D1031" s="25"/>
      <c r="E1031" s="24"/>
      <c r="F1031" s="105"/>
    </row>
    <row r="1032" spans="1:6" ht="12.75" x14ac:dyDescent="0.2">
      <c r="A1032" s="24"/>
      <c r="B1032" s="24"/>
      <c r="D1032" s="25"/>
      <c r="E1032" s="24"/>
      <c r="F1032" s="105"/>
    </row>
    <row r="1033" spans="1:6" ht="12.75" x14ac:dyDescent="0.2">
      <c r="A1033" s="24"/>
      <c r="B1033" s="24"/>
      <c r="D1033" s="25"/>
      <c r="E1033" s="24"/>
      <c r="F1033" s="105"/>
    </row>
    <row r="1034" spans="1:6" ht="12.75" x14ac:dyDescent="0.2">
      <c r="A1034" s="24"/>
      <c r="B1034" s="24"/>
      <c r="D1034" s="25"/>
      <c r="E1034" s="24"/>
      <c r="F1034" s="105"/>
    </row>
    <row r="1035" spans="1:6" ht="12.75" x14ac:dyDescent="0.2">
      <c r="A1035" s="24"/>
      <c r="B1035" s="24"/>
      <c r="D1035" s="25"/>
      <c r="E1035" s="24"/>
      <c r="F1035" s="105"/>
    </row>
    <row r="1036" spans="1:6" ht="12.75" x14ac:dyDescent="0.2">
      <c r="A1036" s="24"/>
      <c r="B1036" s="24"/>
      <c r="D1036" s="25"/>
      <c r="E1036" s="24"/>
      <c r="F1036" s="105"/>
    </row>
    <row r="1037" spans="1:6" ht="12.75" x14ac:dyDescent="0.2">
      <c r="A1037" s="24"/>
      <c r="B1037" s="24"/>
      <c r="D1037" s="25"/>
      <c r="E1037" s="24"/>
      <c r="F1037" s="105"/>
    </row>
    <row r="1038" spans="1:6" ht="12.75" x14ac:dyDescent="0.2">
      <c r="A1038" s="24"/>
      <c r="B1038" s="24"/>
      <c r="D1038" s="25"/>
      <c r="E1038" s="24"/>
      <c r="F1038" s="105"/>
    </row>
    <row r="1039" spans="1:6" ht="12.75" x14ac:dyDescent="0.2">
      <c r="A1039" s="24"/>
      <c r="B1039" s="24"/>
      <c r="D1039" s="25"/>
      <c r="E1039" s="24"/>
      <c r="F1039" s="105"/>
    </row>
    <row r="1040" spans="1:6" ht="12.75" x14ac:dyDescent="0.2">
      <c r="A1040" s="24"/>
      <c r="B1040" s="24"/>
      <c r="D1040" s="25"/>
      <c r="E1040" s="24"/>
      <c r="F1040" s="105"/>
    </row>
    <row r="1041" spans="1:6" ht="12.75" x14ac:dyDescent="0.2">
      <c r="A1041" s="24"/>
      <c r="B1041" s="24"/>
      <c r="D1041" s="25"/>
      <c r="E1041" s="24"/>
      <c r="F1041" s="105"/>
    </row>
    <row r="1042" spans="1:6" ht="12.75" x14ac:dyDescent="0.2">
      <c r="A1042" s="24"/>
      <c r="B1042" s="24"/>
      <c r="D1042" s="25"/>
      <c r="E1042" s="24"/>
      <c r="F1042" s="105"/>
    </row>
    <row r="1043" spans="1:6" ht="12.75" x14ac:dyDescent="0.2">
      <c r="A1043" s="24"/>
      <c r="B1043" s="24"/>
      <c r="D1043" s="25"/>
      <c r="E1043" s="24"/>
      <c r="F1043" s="105"/>
    </row>
    <row r="1044" spans="1:6" ht="12.75" x14ac:dyDescent="0.2">
      <c r="A1044" s="24"/>
      <c r="B1044" s="24"/>
      <c r="D1044" s="25"/>
      <c r="E1044" s="24"/>
      <c r="F1044" s="105"/>
    </row>
    <row r="1045" spans="1:6" ht="12.75" x14ac:dyDescent="0.2">
      <c r="A1045" s="24"/>
      <c r="B1045" s="24"/>
      <c r="D1045" s="25"/>
      <c r="E1045" s="24"/>
      <c r="F1045" s="105"/>
    </row>
    <row r="1046" spans="1:6" ht="12.75" x14ac:dyDescent="0.2">
      <c r="A1046" s="24"/>
      <c r="B1046" s="24"/>
      <c r="D1046" s="25"/>
      <c r="E1046" s="24"/>
      <c r="F1046" s="105"/>
    </row>
    <row r="1047" spans="1:6" ht="12.75" x14ac:dyDescent="0.2">
      <c r="A1047" s="24"/>
      <c r="B1047" s="24"/>
      <c r="D1047" s="25"/>
      <c r="E1047" s="24"/>
      <c r="F1047" s="105"/>
    </row>
    <row r="1048" spans="1:6" ht="12.75" x14ac:dyDescent="0.2">
      <c r="A1048" s="24"/>
      <c r="B1048" s="24"/>
      <c r="D1048" s="25"/>
      <c r="E1048" s="24"/>
      <c r="F1048" s="105"/>
    </row>
    <row r="1049" spans="1:6" ht="12.75" x14ac:dyDescent="0.2">
      <c r="A1049" s="24"/>
      <c r="B1049" s="24"/>
      <c r="D1049" s="25"/>
      <c r="E1049" s="24"/>
      <c r="F1049" s="105"/>
    </row>
    <row r="1050" spans="1:6" ht="12.75" x14ac:dyDescent="0.2">
      <c r="A1050" s="24"/>
      <c r="B1050" s="24"/>
      <c r="D1050" s="25"/>
      <c r="E1050" s="24"/>
      <c r="F1050" s="105"/>
    </row>
    <row r="1051" spans="1:6" ht="12.75" x14ac:dyDescent="0.2">
      <c r="A1051" s="24"/>
      <c r="B1051" s="24"/>
      <c r="D1051" s="25"/>
      <c r="E1051" s="24"/>
      <c r="F1051" s="105"/>
    </row>
    <row r="1052" spans="1:6" ht="12.75" x14ac:dyDescent="0.2">
      <c r="A1052" s="24"/>
      <c r="B1052" s="24"/>
      <c r="D1052" s="25"/>
      <c r="E1052" s="24"/>
      <c r="F1052" s="105"/>
    </row>
    <row r="1053" spans="1:6" ht="12.75" x14ac:dyDescent="0.2">
      <c r="A1053" s="24"/>
      <c r="B1053" s="24"/>
      <c r="D1053" s="25"/>
      <c r="E1053" s="24"/>
      <c r="F1053" s="105"/>
    </row>
    <row r="1054" spans="1:6" ht="12.75" x14ac:dyDescent="0.2">
      <c r="A1054" s="24"/>
      <c r="B1054" s="24"/>
      <c r="D1054" s="25"/>
      <c r="E1054" s="24"/>
      <c r="F1054" s="105"/>
    </row>
    <row r="1055" spans="1:6" ht="12.75" x14ac:dyDescent="0.2">
      <c r="A1055" s="24"/>
      <c r="B1055" s="24"/>
      <c r="D1055" s="25"/>
      <c r="E1055" s="24"/>
      <c r="F1055" s="105"/>
    </row>
    <row r="1056" spans="1:6" ht="12.75" x14ac:dyDescent="0.2">
      <c r="A1056" s="24"/>
      <c r="B1056" s="24"/>
      <c r="D1056" s="25"/>
      <c r="E1056" s="24"/>
      <c r="F1056" s="105"/>
    </row>
    <row r="1057" spans="1:6" ht="12.75" x14ac:dyDescent="0.2">
      <c r="A1057" s="24"/>
      <c r="B1057" s="24"/>
      <c r="D1057" s="25"/>
      <c r="E1057" s="24"/>
      <c r="F1057" s="105"/>
    </row>
    <row r="1058" spans="1:6" ht="12.75" x14ac:dyDescent="0.2">
      <c r="A1058" s="24"/>
      <c r="B1058" s="24"/>
      <c r="D1058" s="25"/>
      <c r="E1058" s="24"/>
      <c r="F1058" s="105"/>
    </row>
    <row r="1059" spans="1:6" ht="12.75" x14ac:dyDescent="0.2">
      <c r="A1059" s="24"/>
      <c r="B1059" s="24"/>
      <c r="D1059" s="25"/>
      <c r="E1059" s="24"/>
      <c r="F1059" s="105"/>
    </row>
    <row r="1060" spans="1:6" ht="12.75" x14ac:dyDescent="0.2">
      <c r="A1060" s="24"/>
      <c r="B1060" s="24"/>
      <c r="D1060" s="25"/>
      <c r="E1060" s="24"/>
      <c r="F1060" s="105"/>
    </row>
    <row r="1061" spans="1:6" ht="12.75" x14ac:dyDescent="0.2">
      <c r="A1061" s="24"/>
      <c r="B1061" s="24"/>
      <c r="D1061" s="25"/>
      <c r="E1061" s="24"/>
      <c r="F1061" s="105"/>
    </row>
    <row r="1062" spans="1:6" ht="12.75" x14ac:dyDescent="0.2">
      <c r="A1062" s="24"/>
      <c r="B1062" s="24"/>
      <c r="D1062" s="25"/>
      <c r="E1062" s="24"/>
      <c r="F1062" s="105"/>
    </row>
    <row r="1063" spans="1:6" ht="12.75" x14ac:dyDescent="0.2">
      <c r="A1063" s="24"/>
      <c r="B1063" s="24"/>
      <c r="D1063" s="25"/>
      <c r="E1063" s="24"/>
      <c r="F1063" s="105"/>
    </row>
    <row r="1064" spans="1:6" ht="12.75" x14ac:dyDescent="0.2">
      <c r="A1064" s="24"/>
      <c r="B1064" s="24"/>
      <c r="D1064" s="25"/>
      <c r="E1064" s="24"/>
      <c r="F1064" s="105"/>
    </row>
    <row r="1065" spans="1:6" ht="12.75" x14ac:dyDescent="0.2">
      <c r="A1065" s="24"/>
      <c r="B1065" s="24"/>
      <c r="D1065" s="25"/>
      <c r="E1065" s="24"/>
      <c r="F1065" s="105"/>
    </row>
    <row r="1066" spans="1:6" ht="12.75" x14ac:dyDescent="0.2">
      <c r="A1066" s="24"/>
      <c r="B1066" s="24"/>
      <c r="D1066" s="25"/>
      <c r="E1066" s="24"/>
      <c r="F1066" s="105"/>
    </row>
    <row r="1067" spans="1:6" ht="12.75" x14ac:dyDescent="0.2">
      <c r="A1067" s="24"/>
      <c r="B1067" s="24"/>
      <c r="D1067" s="25"/>
      <c r="E1067" s="24"/>
      <c r="F1067" s="105"/>
    </row>
    <row r="1068" spans="1:6" ht="12.75" x14ac:dyDescent="0.2">
      <c r="A1068" s="24"/>
      <c r="B1068" s="24"/>
      <c r="D1068" s="25"/>
      <c r="E1068" s="24"/>
      <c r="F1068" s="105"/>
    </row>
    <row r="1069" spans="1:6" ht="12.75" x14ac:dyDescent="0.2">
      <c r="A1069" s="24"/>
      <c r="B1069" s="24"/>
      <c r="D1069" s="25"/>
      <c r="E1069" s="24"/>
      <c r="F1069" s="105"/>
    </row>
    <row r="1070" spans="1:6" ht="12.75" x14ac:dyDescent="0.2">
      <c r="A1070" s="24"/>
      <c r="B1070" s="24"/>
      <c r="D1070" s="25"/>
      <c r="E1070" s="24"/>
      <c r="F1070" s="105"/>
    </row>
    <row r="1071" spans="1:6" ht="12.75" x14ac:dyDescent="0.2">
      <c r="A1071" s="24"/>
      <c r="B1071" s="24"/>
      <c r="D1071" s="25"/>
      <c r="E1071" s="24"/>
      <c r="F1071" s="105"/>
    </row>
    <row r="1072" spans="1:6" ht="12.75" x14ac:dyDescent="0.2">
      <c r="A1072" s="24"/>
      <c r="B1072" s="24"/>
      <c r="D1072" s="25"/>
      <c r="E1072" s="24"/>
      <c r="F1072" s="105"/>
    </row>
    <row r="1073" spans="1:6" ht="12.75" x14ac:dyDescent="0.2">
      <c r="A1073" s="24"/>
      <c r="B1073" s="24"/>
      <c r="D1073" s="25"/>
      <c r="E1073" s="24"/>
      <c r="F1073" s="105"/>
    </row>
    <row r="1074" spans="1:6" ht="12.75" x14ac:dyDescent="0.2">
      <c r="A1074" s="24"/>
      <c r="B1074" s="24"/>
      <c r="D1074" s="25"/>
      <c r="E1074" s="24"/>
      <c r="F1074" s="105"/>
    </row>
    <row r="1075" spans="1:6" ht="12.75" x14ac:dyDescent="0.2">
      <c r="A1075" s="24"/>
      <c r="B1075" s="24"/>
      <c r="D1075" s="25"/>
      <c r="E1075" s="24"/>
      <c r="F1075" s="105"/>
    </row>
    <row r="1076" spans="1:6" ht="12.75" x14ac:dyDescent="0.2">
      <c r="A1076" s="24"/>
      <c r="B1076" s="24"/>
      <c r="D1076" s="25"/>
      <c r="E1076" s="24"/>
      <c r="F1076" s="105"/>
    </row>
    <row r="1077" spans="1:6" ht="12.75" x14ac:dyDescent="0.2">
      <c r="A1077" s="24"/>
      <c r="B1077" s="24"/>
      <c r="D1077" s="25"/>
      <c r="E1077" s="24"/>
      <c r="F1077" s="105"/>
    </row>
    <row r="1078" spans="1:6" ht="12.75" x14ac:dyDescent="0.2">
      <c r="A1078" s="24"/>
      <c r="B1078" s="24"/>
      <c r="D1078" s="25"/>
      <c r="E1078" s="24"/>
      <c r="F1078" s="105"/>
    </row>
    <row r="1079" spans="1:6" ht="12.75" x14ac:dyDescent="0.2">
      <c r="A1079" s="24"/>
      <c r="B1079" s="24"/>
      <c r="D1079" s="25"/>
      <c r="E1079" s="24"/>
      <c r="F1079" s="105"/>
    </row>
    <row r="1080" spans="1:6" ht="12.75" x14ac:dyDescent="0.2">
      <c r="A1080" s="24"/>
      <c r="B1080" s="24"/>
      <c r="D1080" s="25"/>
      <c r="E1080" s="24"/>
      <c r="F1080" s="105"/>
    </row>
    <row r="1081" spans="1:6" ht="12.75" x14ac:dyDescent="0.2">
      <c r="A1081" s="24"/>
      <c r="B1081" s="24"/>
      <c r="D1081" s="25"/>
      <c r="E1081" s="24"/>
      <c r="F1081" s="105"/>
    </row>
    <row r="1082" spans="1:6" ht="12.75" x14ac:dyDescent="0.2">
      <c r="A1082" s="24"/>
      <c r="B1082" s="24"/>
      <c r="D1082" s="25"/>
      <c r="E1082" s="24"/>
      <c r="F1082" s="105"/>
    </row>
    <row r="1083" spans="1:6" ht="12.75" x14ac:dyDescent="0.2">
      <c r="A1083" s="24"/>
      <c r="B1083" s="24"/>
      <c r="D1083" s="25"/>
      <c r="E1083" s="24"/>
      <c r="F1083" s="105"/>
    </row>
    <row r="1084" spans="1:6" ht="12.75" x14ac:dyDescent="0.2">
      <c r="A1084" s="24"/>
      <c r="B1084" s="24"/>
      <c r="D1084" s="25"/>
      <c r="E1084" s="24"/>
      <c r="F1084" s="105"/>
    </row>
    <row r="1085" spans="1:6" ht="12.75" x14ac:dyDescent="0.2">
      <c r="A1085" s="24"/>
      <c r="B1085" s="24"/>
      <c r="D1085" s="25"/>
      <c r="E1085" s="24"/>
      <c r="F1085" s="105"/>
    </row>
    <row r="1086" spans="1:6" ht="12.75" x14ac:dyDescent="0.2">
      <c r="A1086" s="24"/>
      <c r="B1086" s="24"/>
      <c r="D1086" s="25"/>
      <c r="E1086" s="24"/>
      <c r="F1086" s="105"/>
    </row>
    <row r="1087" spans="1:6" ht="12.75" x14ac:dyDescent="0.2">
      <c r="A1087" s="24"/>
      <c r="B1087" s="24"/>
      <c r="D1087" s="25"/>
      <c r="E1087" s="24"/>
      <c r="F1087" s="105"/>
    </row>
    <row r="1088" spans="1:6" ht="12.75" x14ac:dyDescent="0.2">
      <c r="A1088" s="24"/>
      <c r="B1088" s="24"/>
      <c r="D1088" s="25"/>
      <c r="E1088" s="24"/>
      <c r="F1088" s="105"/>
    </row>
    <row r="1089" spans="1:6" ht="12.75" x14ac:dyDescent="0.2">
      <c r="A1089" s="24"/>
      <c r="B1089" s="24"/>
      <c r="D1089" s="25"/>
      <c r="E1089" s="24"/>
      <c r="F1089" s="105"/>
    </row>
    <row r="1090" spans="1:6" ht="12.75" x14ac:dyDescent="0.2">
      <c r="A1090" s="24"/>
      <c r="B1090" s="24"/>
      <c r="D1090" s="25"/>
      <c r="E1090" s="24"/>
      <c r="F1090" s="105"/>
    </row>
    <row r="1091" spans="1:6" ht="12.75" x14ac:dyDescent="0.2">
      <c r="A1091" s="24"/>
      <c r="B1091" s="24"/>
      <c r="D1091" s="25"/>
      <c r="E1091" s="24"/>
      <c r="F1091" s="105"/>
    </row>
    <row r="1092" spans="1:6" ht="12.75" x14ac:dyDescent="0.2">
      <c r="A1092" s="24"/>
      <c r="B1092" s="24"/>
      <c r="D1092" s="25"/>
      <c r="E1092" s="24"/>
      <c r="F1092" s="105"/>
    </row>
    <row r="1093" spans="1:6" ht="12.75" x14ac:dyDescent="0.2">
      <c r="A1093" s="24"/>
      <c r="B1093" s="24"/>
      <c r="D1093" s="25"/>
      <c r="E1093" s="24"/>
      <c r="F1093" s="105"/>
    </row>
    <row r="1094" spans="1:6" ht="12.75" x14ac:dyDescent="0.2">
      <c r="A1094" s="24"/>
      <c r="B1094" s="24"/>
      <c r="D1094" s="25"/>
      <c r="E1094" s="24"/>
      <c r="F1094" s="105"/>
    </row>
    <row r="1095" spans="1:6" ht="12.75" x14ac:dyDescent="0.2">
      <c r="A1095" s="24"/>
      <c r="B1095" s="24"/>
      <c r="D1095" s="25"/>
      <c r="E1095" s="24"/>
      <c r="F1095" s="105"/>
    </row>
    <row r="1096" spans="1:6" ht="12.75" x14ac:dyDescent="0.2">
      <c r="A1096" s="24"/>
      <c r="B1096" s="24"/>
      <c r="D1096" s="25"/>
      <c r="E1096" s="24"/>
      <c r="F1096" s="105"/>
    </row>
  </sheetData>
  <mergeCells count="11">
    <mergeCell ref="A101:G101"/>
    <mergeCell ref="A261:G261"/>
    <mergeCell ref="A213:G213"/>
    <mergeCell ref="A215:G215"/>
    <mergeCell ref="A108:G108"/>
    <mergeCell ref="A110:G110"/>
    <mergeCell ref="A49:G49"/>
    <mergeCell ref="A2:G2"/>
    <mergeCell ref="A1:G1"/>
    <mergeCell ref="A51:G51"/>
    <mergeCell ref="A99:G99"/>
  </mergeCells>
  <dataValidations count="1">
    <dataValidation type="custom" allowBlank="1" showDropDown="1" showErrorMessage="1" sqref="F4" xr:uid="{00000000-0002-0000-0400-000000000000}">
      <formula1>AND(#REF!&lt;&gt;"VACANT",ISDATE(F4))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45"/>
  <sheetViews>
    <sheetView workbookViewId="0"/>
  </sheetViews>
  <sheetFormatPr defaultColWidth="12.5703125" defaultRowHeight="15.75" customHeight="1" x14ac:dyDescent="0.2"/>
  <cols>
    <col min="1" max="1" width="7.28515625" customWidth="1"/>
    <col min="2" max="2" width="17.28515625" customWidth="1"/>
    <col min="3" max="3" width="32.85546875" customWidth="1"/>
    <col min="4" max="4" width="55.85546875" customWidth="1"/>
    <col min="6" max="6" width="14.7109375" customWidth="1"/>
    <col min="7" max="7" width="49.7109375" customWidth="1"/>
    <col min="8" max="8" width="35.140625" customWidth="1"/>
  </cols>
  <sheetData>
    <row r="1" spans="1:26" ht="41.25" customHeight="1" x14ac:dyDescent="0.2">
      <c r="A1" s="131" t="s">
        <v>8</v>
      </c>
      <c r="B1" s="132"/>
      <c r="C1" s="132"/>
      <c r="D1" s="132"/>
      <c r="E1" s="132"/>
      <c r="F1" s="132"/>
      <c r="G1" s="132"/>
    </row>
    <row r="2" spans="1:26" ht="26.25" customHeight="1" x14ac:dyDescent="0.2">
      <c r="A2" s="130" t="s">
        <v>2</v>
      </c>
      <c r="B2" s="127"/>
      <c r="C2" s="127"/>
      <c r="D2" s="127"/>
      <c r="E2" s="127"/>
      <c r="F2" s="127"/>
      <c r="G2" s="128"/>
    </row>
    <row r="3" spans="1:26" ht="26.25" customHeight="1" x14ac:dyDescent="0.2">
      <c r="A3" s="2" t="s">
        <v>9</v>
      </c>
      <c r="B3" s="2" t="s">
        <v>10</v>
      </c>
      <c r="C3" s="2" t="s">
        <v>11</v>
      </c>
      <c r="D3" s="3" t="s">
        <v>12</v>
      </c>
      <c r="E3" s="2" t="s">
        <v>13</v>
      </c>
      <c r="F3" s="2" t="s">
        <v>14</v>
      </c>
      <c r="G3" s="2" t="s">
        <v>15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26.25" customHeight="1" x14ac:dyDescent="0.2">
      <c r="A4" s="9">
        <f>1</f>
        <v>1</v>
      </c>
      <c r="B4" s="9">
        <v>679718</v>
      </c>
      <c r="C4" s="10" t="s">
        <v>836</v>
      </c>
      <c r="D4" s="106" t="s">
        <v>837</v>
      </c>
      <c r="E4" s="9" t="s">
        <v>26</v>
      </c>
      <c r="F4" s="107">
        <v>29341</v>
      </c>
      <c r="G4" s="10" t="s">
        <v>838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6.25" customHeight="1" x14ac:dyDescent="0.2">
      <c r="A5" s="9">
        <f t="shared" ref="A5:A11" si="0">A4+1</f>
        <v>2</v>
      </c>
      <c r="B5" s="9">
        <v>956072</v>
      </c>
      <c r="C5" s="10" t="s">
        <v>839</v>
      </c>
      <c r="D5" s="108" t="s">
        <v>840</v>
      </c>
      <c r="E5" s="9" t="s">
        <v>26</v>
      </c>
      <c r="F5" s="109">
        <v>37108</v>
      </c>
      <c r="G5" s="10" t="s">
        <v>838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6.25" customHeight="1" x14ac:dyDescent="0.2">
      <c r="A6" s="9">
        <f t="shared" si="0"/>
        <v>3</v>
      </c>
      <c r="B6" s="9">
        <v>214340</v>
      </c>
      <c r="C6" s="10" t="s">
        <v>841</v>
      </c>
      <c r="D6" s="108" t="s">
        <v>842</v>
      </c>
      <c r="E6" s="9" t="s">
        <v>18</v>
      </c>
      <c r="F6" s="109">
        <v>31391</v>
      </c>
      <c r="G6" s="10" t="s">
        <v>838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6.25" customHeight="1" x14ac:dyDescent="0.2">
      <c r="A7" s="9">
        <f t="shared" si="0"/>
        <v>4</v>
      </c>
      <c r="B7" s="9">
        <v>432299</v>
      </c>
      <c r="C7" s="10" t="s">
        <v>843</v>
      </c>
      <c r="D7" s="108" t="s">
        <v>844</v>
      </c>
      <c r="E7" s="9" t="s">
        <v>26</v>
      </c>
      <c r="F7" s="109">
        <v>31387</v>
      </c>
      <c r="G7" s="10" t="s">
        <v>838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 customHeight="1" x14ac:dyDescent="0.2">
      <c r="A8" s="9">
        <f t="shared" si="0"/>
        <v>5</v>
      </c>
      <c r="B8" s="9">
        <v>946218</v>
      </c>
      <c r="C8" s="10" t="s">
        <v>845</v>
      </c>
      <c r="D8" s="108" t="s">
        <v>29</v>
      </c>
      <c r="E8" s="9" t="s">
        <v>26</v>
      </c>
      <c r="F8" s="109">
        <v>33374</v>
      </c>
      <c r="G8" s="10" t="s">
        <v>838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customHeight="1" x14ac:dyDescent="0.2">
      <c r="A9" s="9">
        <f t="shared" si="0"/>
        <v>6</v>
      </c>
      <c r="B9" s="9">
        <v>838420</v>
      </c>
      <c r="C9" s="10" t="s">
        <v>846</v>
      </c>
      <c r="D9" s="110" t="s">
        <v>101</v>
      </c>
      <c r="E9" s="9" t="s">
        <v>18</v>
      </c>
      <c r="F9" s="107">
        <v>35087</v>
      </c>
      <c r="G9" s="10" t="s">
        <v>838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25" customHeight="1" x14ac:dyDescent="0.2">
      <c r="A10" s="9">
        <f t="shared" si="0"/>
        <v>7</v>
      </c>
      <c r="B10" s="9">
        <v>116532</v>
      </c>
      <c r="C10" s="10" t="s">
        <v>847</v>
      </c>
      <c r="D10" s="108" t="s">
        <v>47</v>
      </c>
      <c r="E10" s="9" t="s">
        <v>18</v>
      </c>
      <c r="F10" s="111">
        <v>31508</v>
      </c>
      <c r="G10" s="10" t="s">
        <v>838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 customHeight="1" x14ac:dyDescent="0.2">
      <c r="A11" s="9">
        <f t="shared" si="0"/>
        <v>8</v>
      </c>
      <c r="B11" s="9">
        <v>679911</v>
      </c>
      <c r="C11" s="10" t="s">
        <v>848</v>
      </c>
      <c r="D11" s="112" t="s">
        <v>286</v>
      </c>
      <c r="E11" s="9" t="s">
        <v>18</v>
      </c>
      <c r="F11" s="113">
        <v>30612</v>
      </c>
      <c r="G11" s="10" t="s">
        <v>838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x14ac:dyDescent="0.2">
      <c r="A12" s="134" t="s">
        <v>106</v>
      </c>
      <c r="B12" s="127"/>
      <c r="C12" s="127"/>
      <c r="D12" s="127"/>
      <c r="E12" s="127"/>
      <c r="F12" s="127"/>
      <c r="G12" s="128"/>
    </row>
    <row r="13" spans="1:26" ht="13.5" x14ac:dyDescent="0.25">
      <c r="A13" s="16"/>
      <c r="B13" s="16"/>
      <c r="C13" s="17"/>
      <c r="D13" s="18"/>
      <c r="E13" s="16"/>
      <c r="F13" s="16"/>
      <c r="G13" s="17"/>
    </row>
    <row r="14" spans="1:26" ht="26.25" customHeight="1" x14ac:dyDescent="0.2">
      <c r="A14" s="135" t="s">
        <v>3</v>
      </c>
      <c r="B14" s="127"/>
      <c r="C14" s="127"/>
      <c r="D14" s="127"/>
      <c r="E14" s="127"/>
      <c r="F14" s="127"/>
      <c r="G14" s="12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6.25" customHeight="1" x14ac:dyDescent="0.2">
      <c r="A15" s="2" t="s">
        <v>9</v>
      </c>
      <c r="B15" s="2" t="s">
        <v>10</v>
      </c>
      <c r="C15" s="2" t="s">
        <v>11</v>
      </c>
      <c r="D15" s="3" t="s">
        <v>12</v>
      </c>
      <c r="E15" s="2" t="s">
        <v>13</v>
      </c>
      <c r="F15" s="2" t="s">
        <v>14</v>
      </c>
      <c r="G15" s="2" t="s">
        <v>15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26.25" customHeight="1" x14ac:dyDescent="0.2">
      <c r="A16" s="9">
        <v>1</v>
      </c>
      <c r="B16" s="9">
        <v>198016</v>
      </c>
      <c r="C16" s="10" t="s">
        <v>849</v>
      </c>
      <c r="D16" s="106" t="s">
        <v>113</v>
      </c>
      <c r="E16" s="9" t="s">
        <v>26</v>
      </c>
      <c r="F16" s="114">
        <v>29402</v>
      </c>
      <c r="G16" s="10" t="s">
        <v>838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6.25" customHeight="1" x14ac:dyDescent="0.2">
      <c r="A17" s="9">
        <v>2</v>
      </c>
      <c r="B17" s="115">
        <v>184086</v>
      </c>
      <c r="C17" s="10" t="s">
        <v>850</v>
      </c>
      <c r="D17" s="95" t="s">
        <v>851</v>
      </c>
      <c r="E17" s="9" t="s">
        <v>18</v>
      </c>
      <c r="F17" s="114">
        <v>29982</v>
      </c>
      <c r="G17" s="10" t="s">
        <v>838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25" customHeight="1" x14ac:dyDescent="0.2">
      <c r="A18" s="9">
        <v>3</v>
      </c>
      <c r="B18" s="115">
        <v>175539</v>
      </c>
      <c r="C18" s="10" t="s">
        <v>852</v>
      </c>
      <c r="D18" s="95" t="s">
        <v>101</v>
      </c>
      <c r="E18" s="9" t="s">
        <v>18</v>
      </c>
      <c r="F18" s="114">
        <v>36635</v>
      </c>
      <c r="G18" s="10" t="s">
        <v>838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6.25" customHeight="1" x14ac:dyDescent="0.2">
      <c r="A19" s="9">
        <v>4</v>
      </c>
      <c r="B19" s="115">
        <v>783099</v>
      </c>
      <c r="C19" s="10" t="s">
        <v>853</v>
      </c>
      <c r="D19" s="95" t="s">
        <v>101</v>
      </c>
      <c r="E19" s="9" t="s">
        <v>26</v>
      </c>
      <c r="F19" s="116">
        <v>35948</v>
      </c>
      <c r="G19" s="10" t="s">
        <v>838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25" customHeight="1" x14ac:dyDescent="0.2">
      <c r="A20" s="9">
        <v>5</v>
      </c>
      <c r="B20" s="115">
        <v>689545</v>
      </c>
      <c r="C20" s="10" t="s">
        <v>854</v>
      </c>
      <c r="D20" s="112" t="s">
        <v>855</v>
      </c>
      <c r="E20" s="9" t="s">
        <v>18</v>
      </c>
      <c r="F20" s="116">
        <v>28913</v>
      </c>
      <c r="G20" s="10" t="s">
        <v>838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 customHeight="1" x14ac:dyDescent="0.2">
      <c r="A21" s="9">
        <v>6</v>
      </c>
      <c r="B21" s="115">
        <v>177823</v>
      </c>
      <c r="C21" s="10" t="s">
        <v>856</v>
      </c>
      <c r="D21" s="108" t="s">
        <v>857</v>
      </c>
      <c r="E21" s="9" t="s">
        <v>26</v>
      </c>
      <c r="F21" s="116">
        <v>28570</v>
      </c>
      <c r="G21" s="10" t="s">
        <v>838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 x14ac:dyDescent="0.2">
      <c r="A22" s="9">
        <v>7</v>
      </c>
      <c r="B22" s="115">
        <v>665387</v>
      </c>
      <c r="C22" s="10" t="s">
        <v>858</v>
      </c>
      <c r="D22" s="108" t="s">
        <v>859</v>
      </c>
      <c r="E22" s="9" t="s">
        <v>26</v>
      </c>
      <c r="F22" s="116">
        <v>30897</v>
      </c>
      <c r="G22" s="10" t="s">
        <v>838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6.25" customHeight="1" x14ac:dyDescent="0.2">
      <c r="A23" s="9">
        <v>8</v>
      </c>
      <c r="B23" s="115">
        <v>298597</v>
      </c>
      <c r="C23" s="10" t="s">
        <v>860</v>
      </c>
      <c r="D23" s="108" t="s">
        <v>29</v>
      </c>
      <c r="E23" s="9" t="s">
        <v>18</v>
      </c>
      <c r="F23" s="116">
        <v>35257</v>
      </c>
      <c r="G23" s="10" t="s">
        <v>838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6.25" customHeight="1" x14ac:dyDescent="0.2">
      <c r="A24" s="9">
        <v>9</v>
      </c>
      <c r="B24" s="9">
        <v>505744</v>
      </c>
      <c r="C24" s="10" t="s">
        <v>861</v>
      </c>
      <c r="D24" s="54" t="s">
        <v>101</v>
      </c>
      <c r="E24" s="9" t="s">
        <v>26</v>
      </c>
      <c r="F24" s="117">
        <v>35374</v>
      </c>
      <c r="G24" s="10" t="s">
        <v>838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x14ac:dyDescent="0.25">
      <c r="A25" s="126" t="s">
        <v>106</v>
      </c>
      <c r="B25" s="127"/>
      <c r="C25" s="127"/>
      <c r="D25" s="127"/>
      <c r="E25" s="127"/>
      <c r="F25" s="127"/>
      <c r="G25" s="128"/>
    </row>
    <row r="26" spans="1:26" ht="13.5" x14ac:dyDescent="0.25">
      <c r="A26" s="16"/>
      <c r="B26" s="16"/>
      <c r="C26" s="17"/>
      <c r="D26" s="18"/>
      <c r="E26" s="16"/>
      <c r="F26" s="16"/>
      <c r="G26" s="17"/>
    </row>
    <row r="27" spans="1:26" ht="26.25" customHeight="1" x14ac:dyDescent="0.2">
      <c r="A27" s="129" t="s">
        <v>4</v>
      </c>
      <c r="B27" s="127"/>
      <c r="C27" s="127"/>
      <c r="D27" s="127"/>
      <c r="E27" s="127"/>
      <c r="F27" s="127"/>
      <c r="G27" s="12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6.25" customHeight="1" x14ac:dyDescent="0.2">
      <c r="A28" s="2" t="s">
        <v>9</v>
      </c>
      <c r="B28" s="2" t="s">
        <v>10</v>
      </c>
      <c r="C28" s="2" t="s">
        <v>11</v>
      </c>
      <c r="D28" s="3" t="s">
        <v>12</v>
      </c>
      <c r="E28" s="2" t="s">
        <v>13</v>
      </c>
      <c r="F28" s="2" t="s">
        <v>14</v>
      </c>
      <c r="G28" s="2" t="s">
        <v>15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26.25" customHeight="1" x14ac:dyDescent="0.2">
      <c r="A29" s="9">
        <f>1</f>
        <v>1</v>
      </c>
      <c r="B29" s="115">
        <v>575385</v>
      </c>
      <c r="C29" s="10" t="s">
        <v>862</v>
      </c>
      <c r="D29" s="54" t="s">
        <v>678</v>
      </c>
      <c r="E29" s="9" t="s">
        <v>26</v>
      </c>
      <c r="F29" s="116">
        <v>29822</v>
      </c>
      <c r="G29" s="10" t="s">
        <v>838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6.25" customHeight="1" x14ac:dyDescent="0.2">
      <c r="A30" s="9">
        <f t="shared" ref="A30:A43" si="1">A29+1</f>
        <v>2</v>
      </c>
      <c r="B30" s="115">
        <v>701306</v>
      </c>
      <c r="C30" s="10" t="s">
        <v>863</v>
      </c>
      <c r="D30" s="54" t="s">
        <v>864</v>
      </c>
      <c r="E30" s="9" t="s">
        <v>26</v>
      </c>
      <c r="F30" s="114">
        <v>29803</v>
      </c>
      <c r="G30" s="10" t="s">
        <v>838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6.25" customHeight="1" x14ac:dyDescent="0.2">
      <c r="A31" s="9">
        <f t="shared" si="1"/>
        <v>3</v>
      </c>
      <c r="B31" s="115">
        <v>453983</v>
      </c>
      <c r="C31" s="10" t="s">
        <v>865</v>
      </c>
      <c r="D31" s="54" t="s">
        <v>22</v>
      </c>
      <c r="E31" s="9" t="s">
        <v>26</v>
      </c>
      <c r="F31" s="114">
        <v>27285</v>
      </c>
      <c r="G31" s="10" t="s">
        <v>838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6.25" customHeight="1" x14ac:dyDescent="0.2">
      <c r="A32" s="9">
        <f t="shared" si="1"/>
        <v>4</v>
      </c>
      <c r="B32" s="115">
        <v>576927</v>
      </c>
      <c r="C32" s="10" t="s">
        <v>866</v>
      </c>
      <c r="D32" s="54" t="s">
        <v>22</v>
      </c>
      <c r="E32" s="9" t="s">
        <v>18</v>
      </c>
      <c r="F32" s="114">
        <v>30455</v>
      </c>
      <c r="G32" s="10" t="s">
        <v>838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6.25" customHeight="1" x14ac:dyDescent="0.2">
      <c r="A33" s="9">
        <f t="shared" si="1"/>
        <v>5</v>
      </c>
      <c r="B33" s="118">
        <v>691972</v>
      </c>
      <c r="C33" s="10" t="s">
        <v>867</v>
      </c>
      <c r="D33" s="54" t="s">
        <v>22</v>
      </c>
      <c r="E33" s="9" t="s">
        <v>26</v>
      </c>
      <c r="F33" s="93">
        <v>36426</v>
      </c>
      <c r="G33" s="10" t="s">
        <v>838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6.25" customHeight="1" x14ac:dyDescent="0.2">
      <c r="A34" s="9">
        <f t="shared" si="1"/>
        <v>6</v>
      </c>
      <c r="B34" s="92">
        <v>635784</v>
      </c>
      <c r="C34" s="10" t="s">
        <v>868</v>
      </c>
      <c r="D34" s="95" t="s">
        <v>286</v>
      </c>
      <c r="E34" s="9" t="s">
        <v>26</v>
      </c>
      <c r="F34" s="116">
        <v>33125</v>
      </c>
      <c r="G34" s="10" t="s">
        <v>838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6.25" customHeight="1" x14ac:dyDescent="0.2">
      <c r="A35" s="9">
        <f t="shared" si="1"/>
        <v>7</v>
      </c>
      <c r="B35" s="92">
        <v>181281</v>
      </c>
      <c r="C35" s="10" t="s">
        <v>869</v>
      </c>
      <c r="D35" s="54" t="s">
        <v>870</v>
      </c>
      <c r="E35" s="9" t="s">
        <v>26</v>
      </c>
      <c r="F35" s="114">
        <v>23345</v>
      </c>
      <c r="G35" s="10" t="s">
        <v>838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6.25" customHeight="1" x14ac:dyDescent="0.2">
      <c r="A36" s="9">
        <f t="shared" si="1"/>
        <v>8</v>
      </c>
      <c r="B36" s="119">
        <v>856465</v>
      </c>
      <c r="C36" s="10" t="s">
        <v>871</v>
      </c>
      <c r="D36" s="54" t="s">
        <v>190</v>
      </c>
      <c r="E36" s="9" t="s">
        <v>18</v>
      </c>
      <c r="F36" s="120">
        <v>36770</v>
      </c>
      <c r="G36" s="10" t="s">
        <v>838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6.25" customHeight="1" x14ac:dyDescent="0.2">
      <c r="A37" s="9">
        <f t="shared" si="1"/>
        <v>9</v>
      </c>
      <c r="B37" s="115">
        <v>571407</v>
      </c>
      <c r="C37" s="10" t="s">
        <v>872</v>
      </c>
      <c r="D37" s="54" t="s">
        <v>113</v>
      </c>
      <c r="E37" s="9" t="s">
        <v>26</v>
      </c>
      <c r="F37" s="116">
        <v>27083</v>
      </c>
      <c r="G37" s="10" t="s">
        <v>838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6.25" customHeight="1" x14ac:dyDescent="0.2">
      <c r="A38" s="9">
        <f t="shared" si="1"/>
        <v>10</v>
      </c>
      <c r="B38" s="115">
        <v>981786</v>
      </c>
      <c r="C38" s="10" t="s">
        <v>873</v>
      </c>
      <c r="D38" s="54" t="s">
        <v>22</v>
      </c>
      <c r="E38" s="9" t="s">
        <v>26</v>
      </c>
      <c r="F38" s="116">
        <v>30837</v>
      </c>
      <c r="G38" s="10" t="s">
        <v>838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6.25" customHeight="1" x14ac:dyDescent="0.2">
      <c r="A39" s="9">
        <f t="shared" si="1"/>
        <v>11</v>
      </c>
      <c r="B39" s="115">
        <v>177281</v>
      </c>
      <c r="C39" s="10" t="s">
        <v>874</v>
      </c>
      <c r="D39" s="54" t="s">
        <v>222</v>
      </c>
      <c r="E39" s="9" t="s">
        <v>26</v>
      </c>
      <c r="F39" s="116">
        <v>26146</v>
      </c>
      <c r="G39" s="10" t="s">
        <v>838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6.25" customHeight="1" x14ac:dyDescent="0.2">
      <c r="A40" s="9">
        <f t="shared" si="1"/>
        <v>12</v>
      </c>
      <c r="B40" s="115">
        <v>446295</v>
      </c>
      <c r="C40" s="10" t="s">
        <v>875</v>
      </c>
      <c r="D40" s="95" t="s">
        <v>487</v>
      </c>
      <c r="E40" s="9" t="s">
        <v>18</v>
      </c>
      <c r="F40" s="116">
        <v>34141</v>
      </c>
      <c r="G40" s="10" t="s">
        <v>838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6.25" customHeight="1" x14ac:dyDescent="0.2">
      <c r="A41" s="9">
        <f t="shared" si="1"/>
        <v>13</v>
      </c>
      <c r="B41" s="115">
        <v>187811</v>
      </c>
      <c r="C41" s="10" t="s">
        <v>876</v>
      </c>
      <c r="D41" s="54" t="s">
        <v>22</v>
      </c>
      <c r="E41" s="9" t="s">
        <v>18</v>
      </c>
      <c r="F41" s="116">
        <v>31482</v>
      </c>
      <c r="G41" s="10" t="s">
        <v>838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6.25" customHeight="1" x14ac:dyDescent="0.2">
      <c r="A42" s="9">
        <f t="shared" si="1"/>
        <v>14</v>
      </c>
      <c r="B42" s="115">
        <v>342001</v>
      </c>
      <c r="C42" s="10" t="s">
        <v>877</v>
      </c>
      <c r="D42" s="54" t="s">
        <v>878</v>
      </c>
      <c r="E42" s="9" t="s">
        <v>18</v>
      </c>
      <c r="F42" s="116">
        <v>26953</v>
      </c>
      <c r="G42" s="10" t="s">
        <v>838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6.25" customHeight="1" x14ac:dyDescent="0.2">
      <c r="A43" s="9">
        <f t="shared" si="1"/>
        <v>15</v>
      </c>
      <c r="B43" s="115">
        <v>516319</v>
      </c>
      <c r="C43" s="10" t="s">
        <v>879</v>
      </c>
      <c r="D43" s="54" t="s">
        <v>360</v>
      </c>
      <c r="E43" s="9" t="s">
        <v>18</v>
      </c>
      <c r="F43" s="116">
        <v>36496</v>
      </c>
      <c r="G43" s="10" t="s">
        <v>838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x14ac:dyDescent="0.25">
      <c r="A44" s="126" t="s">
        <v>106</v>
      </c>
      <c r="B44" s="127"/>
      <c r="C44" s="127"/>
      <c r="D44" s="127"/>
      <c r="E44" s="127"/>
      <c r="F44" s="127"/>
      <c r="G44" s="128"/>
    </row>
    <row r="45" spans="1:26" ht="13.5" x14ac:dyDescent="0.25">
      <c r="A45" s="16"/>
      <c r="B45" s="16"/>
      <c r="C45" s="17"/>
      <c r="D45" s="18"/>
      <c r="E45" s="16"/>
      <c r="F45" s="16"/>
      <c r="G45" s="17"/>
    </row>
    <row r="46" spans="1:26" ht="26.25" customHeight="1" x14ac:dyDescent="0.2">
      <c r="A46" s="136" t="s">
        <v>5</v>
      </c>
      <c r="B46" s="127"/>
      <c r="C46" s="127"/>
      <c r="D46" s="127"/>
      <c r="E46" s="127"/>
      <c r="F46" s="127"/>
      <c r="G46" s="12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6.25" customHeight="1" x14ac:dyDescent="0.2">
      <c r="A47" s="2" t="s">
        <v>9</v>
      </c>
      <c r="B47" s="2" t="s">
        <v>10</v>
      </c>
      <c r="C47" s="2" t="s">
        <v>11</v>
      </c>
      <c r="D47" s="3" t="s">
        <v>12</v>
      </c>
      <c r="E47" s="2" t="s">
        <v>13</v>
      </c>
      <c r="F47" s="2" t="s">
        <v>14</v>
      </c>
      <c r="G47" s="2" t="s">
        <v>15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26.25" customHeight="1" x14ac:dyDescent="0.2">
      <c r="A48" s="9">
        <v>1</v>
      </c>
      <c r="B48" s="115">
        <v>449325</v>
      </c>
      <c r="C48" s="10" t="s">
        <v>880</v>
      </c>
      <c r="D48" s="95" t="s">
        <v>346</v>
      </c>
      <c r="E48" s="9" t="s">
        <v>26</v>
      </c>
      <c r="F48" s="116">
        <v>32426</v>
      </c>
      <c r="G48" s="10" t="s">
        <v>838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6.25" customHeight="1" x14ac:dyDescent="0.2">
      <c r="A49" s="9">
        <f t="shared" ref="A49:A95" si="2">A48+1</f>
        <v>2</v>
      </c>
      <c r="B49" s="115">
        <v>131320</v>
      </c>
      <c r="C49" s="10" t="s">
        <v>881</v>
      </c>
      <c r="D49" s="95" t="s">
        <v>882</v>
      </c>
      <c r="E49" s="9" t="s">
        <v>26</v>
      </c>
      <c r="F49" s="116">
        <v>32823</v>
      </c>
      <c r="G49" s="10" t="s">
        <v>838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6.25" customHeight="1" x14ac:dyDescent="0.2">
      <c r="A50" s="9">
        <f t="shared" si="2"/>
        <v>3</v>
      </c>
      <c r="B50" s="115">
        <v>731369</v>
      </c>
      <c r="C50" s="10" t="s">
        <v>883</v>
      </c>
      <c r="D50" s="95" t="s">
        <v>884</v>
      </c>
      <c r="E50" s="9" t="s">
        <v>18</v>
      </c>
      <c r="F50" s="116">
        <v>36898</v>
      </c>
      <c r="G50" s="10" t="s">
        <v>838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6.25" customHeight="1" x14ac:dyDescent="0.2">
      <c r="A51" s="9">
        <f t="shared" si="2"/>
        <v>4</v>
      </c>
      <c r="B51" s="115">
        <v>428170</v>
      </c>
      <c r="C51" s="10" t="s">
        <v>885</v>
      </c>
      <c r="D51" s="95" t="s">
        <v>886</v>
      </c>
      <c r="E51" s="9" t="s">
        <v>26</v>
      </c>
      <c r="F51" s="116">
        <v>36682</v>
      </c>
      <c r="G51" s="10" t="s">
        <v>838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customHeight="1" x14ac:dyDescent="0.2">
      <c r="A52" s="9">
        <f t="shared" si="2"/>
        <v>5</v>
      </c>
      <c r="B52" s="115">
        <v>781498</v>
      </c>
      <c r="C52" s="10" t="s">
        <v>887</v>
      </c>
      <c r="D52" s="95" t="s">
        <v>208</v>
      </c>
      <c r="E52" s="9" t="s">
        <v>26</v>
      </c>
      <c r="F52" s="116">
        <v>37576</v>
      </c>
      <c r="G52" s="10" t="s">
        <v>838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6.25" customHeight="1" x14ac:dyDescent="0.2">
      <c r="A53" s="9">
        <f t="shared" si="2"/>
        <v>6</v>
      </c>
      <c r="B53" s="115">
        <v>560438</v>
      </c>
      <c r="C53" s="10" t="s">
        <v>888</v>
      </c>
      <c r="D53" s="95" t="s">
        <v>25</v>
      </c>
      <c r="E53" s="9" t="s">
        <v>26</v>
      </c>
      <c r="F53" s="116">
        <v>34600</v>
      </c>
      <c r="G53" s="10" t="s">
        <v>838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6.25" customHeight="1" x14ac:dyDescent="0.2">
      <c r="A54" s="9">
        <f t="shared" si="2"/>
        <v>7</v>
      </c>
      <c r="B54" s="115">
        <v>524148</v>
      </c>
      <c r="C54" s="10" t="s">
        <v>889</v>
      </c>
      <c r="D54" s="95" t="s">
        <v>25</v>
      </c>
      <c r="E54" s="9" t="s">
        <v>26</v>
      </c>
      <c r="F54" s="116">
        <v>34337</v>
      </c>
      <c r="G54" s="10" t="s">
        <v>838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6.25" customHeight="1" x14ac:dyDescent="0.2">
      <c r="A55" s="9">
        <f t="shared" si="2"/>
        <v>8</v>
      </c>
      <c r="B55" s="115">
        <v>177002</v>
      </c>
      <c r="C55" s="10" t="s">
        <v>890</v>
      </c>
      <c r="D55" s="95" t="s">
        <v>360</v>
      </c>
      <c r="E55" s="9" t="s">
        <v>26</v>
      </c>
      <c r="F55" s="116">
        <v>37129</v>
      </c>
      <c r="G55" s="10" t="s">
        <v>838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6.25" customHeight="1" x14ac:dyDescent="0.2">
      <c r="A56" s="9">
        <f t="shared" si="2"/>
        <v>9</v>
      </c>
      <c r="B56" s="115">
        <v>381752</v>
      </c>
      <c r="C56" s="10" t="s">
        <v>891</v>
      </c>
      <c r="D56" s="95" t="s">
        <v>379</v>
      </c>
      <c r="E56" s="9" t="s">
        <v>26</v>
      </c>
      <c r="F56" s="116">
        <v>33532</v>
      </c>
      <c r="G56" s="10" t="s">
        <v>838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6.25" customHeight="1" x14ac:dyDescent="0.2">
      <c r="A57" s="9">
        <f t="shared" si="2"/>
        <v>10</v>
      </c>
      <c r="B57" s="115">
        <v>790363</v>
      </c>
      <c r="C57" s="10" t="s">
        <v>892</v>
      </c>
      <c r="D57" s="95" t="s">
        <v>51</v>
      </c>
      <c r="E57" s="9" t="s">
        <v>26</v>
      </c>
      <c r="F57" s="116">
        <v>26094</v>
      </c>
      <c r="G57" s="10" t="s">
        <v>838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6.25" customHeight="1" x14ac:dyDescent="0.2">
      <c r="A58" s="9">
        <f t="shared" si="2"/>
        <v>11</v>
      </c>
      <c r="B58" s="115">
        <v>757961</v>
      </c>
      <c r="C58" s="10" t="s">
        <v>893</v>
      </c>
      <c r="D58" s="95" t="s">
        <v>379</v>
      </c>
      <c r="E58" s="9" t="s">
        <v>26</v>
      </c>
      <c r="F58" s="116">
        <v>35391</v>
      </c>
      <c r="G58" s="10" t="s">
        <v>838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6.25" customHeight="1" x14ac:dyDescent="0.2">
      <c r="A59" s="9">
        <f t="shared" si="2"/>
        <v>12</v>
      </c>
      <c r="B59" s="115">
        <v>707083</v>
      </c>
      <c r="C59" s="10" t="s">
        <v>894</v>
      </c>
      <c r="D59" s="95" t="s">
        <v>794</v>
      </c>
      <c r="E59" s="9" t="s">
        <v>26</v>
      </c>
      <c r="F59" s="116">
        <v>37182</v>
      </c>
      <c r="G59" s="10" t="s">
        <v>838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6.25" customHeight="1" x14ac:dyDescent="0.2">
      <c r="A60" s="9">
        <f t="shared" si="2"/>
        <v>13</v>
      </c>
      <c r="B60" s="115">
        <v>724459</v>
      </c>
      <c r="C60" s="10" t="s">
        <v>895</v>
      </c>
      <c r="D60" s="95" t="s">
        <v>379</v>
      </c>
      <c r="E60" s="9" t="s">
        <v>26</v>
      </c>
      <c r="F60" s="116">
        <v>34638</v>
      </c>
      <c r="G60" s="10" t="s">
        <v>838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6.25" customHeight="1" x14ac:dyDescent="0.2">
      <c r="A61" s="9">
        <f t="shared" si="2"/>
        <v>14</v>
      </c>
      <c r="B61" s="115">
        <v>510380</v>
      </c>
      <c r="C61" s="10" t="s">
        <v>896</v>
      </c>
      <c r="D61" s="95" t="s">
        <v>190</v>
      </c>
      <c r="E61" s="9" t="s">
        <v>18</v>
      </c>
      <c r="F61" s="116">
        <v>35629</v>
      </c>
      <c r="G61" s="10" t="s">
        <v>838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6.25" customHeight="1" x14ac:dyDescent="0.2">
      <c r="A62" s="9">
        <f t="shared" si="2"/>
        <v>15</v>
      </c>
      <c r="B62" s="115">
        <v>171947</v>
      </c>
      <c r="C62" s="10" t="s">
        <v>897</v>
      </c>
      <c r="D62" s="95" t="s">
        <v>898</v>
      </c>
      <c r="E62" s="9" t="s">
        <v>26</v>
      </c>
      <c r="F62" s="116">
        <v>26348</v>
      </c>
      <c r="G62" s="10" t="s">
        <v>838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6.25" customHeight="1" x14ac:dyDescent="0.2">
      <c r="A63" s="9">
        <f t="shared" si="2"/>
        <v>16</v>
      </c>
      <c r="B63" s="115">
        <v>418609</v>
      </c>
      <c r="C63" s="10" t="s">
        <v>899</v>
      </c>
      <c r="D63" s="95" t="s">
        <v>379</v>
      </c>
      <c r="E63" s="9" t="s">
        <v>26</v>
      </c>
      <c r="F63" s="116">
        <v>25548</v>
      </c>
      <c r="G63" s="10" t="s">
        <v>838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6.25" customHeight="1" x14ac:dyDescent="0.2">
      <c r="A64" s="9">
        <f t="shared" si="2"/>
        <v>17</v>
      </c>
      <c r="B64" s="115">
        <v>896547</v>
      </c>
      <c r="C64" s="10" t="s">
        <v>900</v>
      </c>
      <c r="D64" s="95" t="s">
        <v>222</v>
      </c>
      <c r="E64" s="9" t="s">
        <v>26</v>
      </c>
      <c r="F64" s="116">
        <v>29631</v>
      </c>
      <c r="G64" s="10" t="s">
        <v>838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6.25" customHeight="1" x14ac:dyDescent="0.2">
      <c r="A65" s="9">
        <f t="shared" si="2"/>
        <v>18</v>
      </c>
      <c r="B65" s="115">
        <v>588000</v>
      </c>
      <c r="C65" s="10" t="s">
        <v>901</v>
      </c>
      <c r="D65" s="95" t="s">
        <v>902</v>
      </c>
      <c r="E65" s="9" t="s">
        <v>26</v>
      </c>
      <c r="F65" s="116">
        <v>22915</v>
      </c>
      <c r="G65" s="10" t="s">
        <v>838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6.25" customHeight="1" x14ac:dyDescent="0.2">
      <c r="A66" s="9">
        <f t="shared" si="2"/>
        <v>19</v>
      </c>
      <c r="B66" s="115">
        <v>652938</v>
      </c>
      <c r="C66" s="10" t="s">
        <v>903</v>
      </c>
      <c r="D66" s="95" t="s">
        <v>22</v>
      </c>
      <c r="E66" s="9" t="s">
        <v>26</v>
      </c>
      <c r="F66" s="116">
        <v>36117</v>
      </c>
      <c r="G66" s="10" t="s">
        <v>838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6.25" customHeight="1" x14ac:dyDescent="0.2">
      <c r="A67" s="9">
        <f t="shared" si="2"/>
        <v>20</v>
      </c>
      <c r="B67" s="115">
        <v>484678</v>
      </c>
      <c r="C67" s="10" t="s">
        <v>904</v>
      </c>
      <c r="D67" s="95" t="s">
        <v>379</v>
      </c>
      <c r="E67" s="9" t="s">
        <v>26</v>
      </c>
      <c r="F67" s="116">
        <v>33154</v>
      </c>
      <c r="G67" s="10" t="s">
        <v>838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6.25" customHeight="1" x14ac:dyDescent="0.2">
      <c r="A68" s="9">
        <f t="shared" si="2"/>
        <v>21</v>
      </c>
      <c r="B68" s="115">
        <v>988999</v>
      </c>
      <c r="C68" s="10" t="s">
        <v>905</v>
      </c>
      <c r="D68" s="95" t="s">
        <v>208</v>
      </c>
      <c r="E68" s="9" t="s">
        <v>26</v>
      </c>
      <c r="F68" s="116">
        <v>35267</v>
      </c>
      <c r="G68" s="10" t="s">
        <v>838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6.25" customHeight="1" x14ac:dyDescent="0.2">
      <c r="A69" s="9">
        <f t="shared" si="2"/>
        <v>22</v>
      </c>
      <c r="B69" s="115">
        <v>418005</v>
      </c>
      <c r="C69" s="10" t="s">
        <v>906</v>
      </c>
      <c r="D69" s="95" t="s">
        <v>32</v>
      </c>
      <c r="E69" s="9" t="s">
        <v>26</v>
      </c>
      <c r="F69" s="116">
        <v>36067</v>
      </c>
      <c r="G69" s="10" t="s">
        <v>838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6.25" customHeight="1" x14ac:dyDescent="0.2">
      <c r="A70" s="9">
        <f t="shared" si="2"/>
        <v>23</v>
      </c>
      <c r="B70" s="115">
        <v>160290</v>
      </c>
      <c r="C70" s="10" t="s">
        <v>907</v>
      </c>
      <c r="D70" s="95" t="s">
        <v>908</v>
      </c>
      <c r="E70" s="9" t="s">
        <v>18</v>
      </c>
      <c r="F70" s="116">
        <v>32425</v>
      </c>
      <c r="G70" s="10" t="s">
        <v>838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6.25" customHeight="1" x14ac:dyDescent="0.2">
      <c r="A71" s="9">
        <f t="shared" si="2"/>
        <v>24</v>
      </c>
      <c r="B71" s="115">
        <v>251072</v>
      </c>
      <c r="C71" s="10" t="s">
        <v>909</v>
      </c>
      <c r="D71" s="95" t="s">
        <v>360</v>
      </c>
      <c r="E71" s="9" t="s">
        <v>26</v>
      </c>
      <c r="F71" s="116">
        <v>36184</v>
      </c>
      <c r="G71" s="10" t="s">
        <v>838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6.25" customHeight="1" x14ac:dyDescent="0.2">
      <c r="A72" s="9">
        <f t="shared" si="2"/>
        <v>25</v>
      </c>
      <c r="B72" s="115">
        <v>438339</v>
      </c>
      <c r="C72" s="10" t="s">
        <v>910</v>
      </c>
      <c r="D72" s="95" t="s">
        <v>183</v>
      </c>
      <c r="E72" s="9" t="s">
        <v>26</v>
      </c>
      <c r="F72" s="116">
        <v>27317</v>
      </c>
      <c r="G72" s="10" t="s">
        <v>838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6.25" customHeight="1" x14ac:dyDescent="0.2">
      <c r="A73" s="9">
        <f t="shared" si="2"/>
        <v>26</v>
      </c>
      <c r="B73" s="115">
        <v>394038</v>
      </c>
      <c r="C73" s="10" t="s">
        <v>911</v>
      </c>
      <c r="D73" s="95" t="s">
        <v>51</v>
      </c>
      <c r="E73" s="9" t="s">
        <v>26</v>
      </c>
      <c r="F73" s="116">
        <v>34422</v>
      </c>
      <c r="G73" s="10" t="s">
        <v>838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6.25" customHeight="1" x14ac:dyDescent="0.2">
      <c r="A74" s="9">
        <f t="shared" si="2"/>
        <v>27</v>
      </c>
      <c r="B74" s="115">
        <v>162784</v>
      </c>
      <c r="C74" s="10" t="s">
        <v>912</v>
      </c>
      <c r="D74" s="95" t="s">
        <v>360</v>
      </c>
      <c r="E74" s="9" t="s">
        <v>18</v>
      </c>
      <c r="F74" s="116">
        <v>36681</v>
      </c>
      <c r="G74" s="10" t="s">
        <v>838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6.25" customHeight="1" x14ac:dyDescent="0.2">
      <c r="A75" s="9">
        <f t="shared" si="2"/>
        <v>28</v>
      </c>
      <c r="B75" s="115">
        <v>705764</v>
      </c>
      <c r="C75" s="10" t="s">
        <v>913</v>
      </c>
      <c r="D75" s="95" t="s">
        <v>510</v>
      </c>
      <c r="E75" s="9" t="s">
        <v>26</v>
      </c>
      <c r="F75" s="116">
        <v>35776</v>
      </c>
      <c r="G75" s="10" t="s">
        <v>838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6.25" customHeight="1" x14ac:dyDescent="0.2">
      <c r="A76" s="9">
        <f t="shared" si="2"/>
        <v>29</v>
      </c>
      <c r="B76" s="9">
        <v>659309</v>
      </c>
      <c r="C76" s="10" t="s">
        <v>914</v>
      </c>
      <c r="D76" s="95" t="s">
        <v>32</v>
      </c>
      <c r="E76" s="9" t="s">
        <v>18</v>
      </c>
      <c r="F76" s="114">
        <v>35815</v>
      </c>
      <c r="G76" s="10" t="s">
        <v>838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6.25" customHeight="1" x14ac:dyDescent="0.2">
      <c r="A77" s="9">
        <f t="shared" si="2"/>
        <v>30</v>
      </c>
      <c r="B77" s="9">
        <v>908230</v>
      </c>
      <c r="C77" s="10" t="s">
        <v>915</v>
      </c>
      <c r="D77" s="95" t="s">
        <v>344</v>
      </c>
      <c r="E77" s="9" t="s">
        <v>18</v>
      </c>
      <c r="F77" s="121">
        <v>37829</v>
      </c>
      <c r="G77" s="10" t="s">
        <v>838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6.25" customHeight="1" x14ac:dyDescent="0.2">
      <c r="A78" s="9">
        <f t="shared" si="2"/>
        <v>31</v>
      </c>
      <c r="B78" s="115">
        <v>336390</v>
      </c>
      <c r="C78" s="10" t="s">
        <v>916</v>
      </c>
      <c r="D78" s="95" t="s">
        <v>360</v>
      </c>
      <c r="E78" s="9" t="s">
        <v>26</v>
      </c>
      <c r="F78" s="116">
        <v>36126</v>
      </c>
      <c r="G78" s="10" t="s">
        <v>838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6.25" customHeight="1" x14ac:dyDescent="0.2">
      <c r="A79" s="9">
        <f t="shared" si="2"/>
        <v>32</v>
      </c>
      <c r="B79" s="115">
        <v>220688</v>
      </c>
      <c r="C79" s="10" t="s">
        <v>917</v>
      </c>
      <c r="D79" s="95" t="s">
        <v>344</v>
      </c>
      <c r="E79" s="9" t="s">
        <v>18</v>
      </c>
      <c r="F79" s="116">
        <v>36604</v>
      </c>
      <c r="G79" s="10" t="s">
        <v>838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6.25" customHeight="1" x14ac:dyDescent="0.2">
      <c r="A80" s="9">
        <f t="shared" si="2"/>
        <v>33</v>
      </c>
      <c r="B80" s="115">
        <v>851751</v>
      </c>
      <c r="C80" s="10" t="s">
        <v>918</v>
      </c>
      <c r="D80" s="95" t="s">
        <v>208</v>
      </c>
      <c r="E80" s="9" t="s">
        <v>26</v>
      </c>
      <c r="F80" s="116">
        <v>35789</v>
      </c>
      <c r="G80" s="10" t="s">
        <v>838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6.25" customHeight="1" x14ac:dyDescent="0.2">
      <c r="A81" s="9">
        <f t="shared" si="2"/>
        <v>34</v>
      </c>
      <c r="B81" s="115">
        <v>289547</v>
      </c>
      <c r="C81" s="10" t="s">
        <v>919</v>
      </c>
      <c r="D81" s="95" t="s">
        <v>920</v>
      </c>
      <c r="E81" s="9" t="s">
        <v>26</v>
      </c>
      <c r="F81" s="116">
        <v>32948</v>
      </c>
      <c r="G81" s="10" t="s">
        <v>838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6.25" customHeight="1" x14ac:dyDescent="0.2">
      <c r="A82" s="9">
        <f t="shared" si="2"/>
        <v>35</v>
      </c>
      <c r="B82" s="115">
        <v>603491</v>
      </c>
      <c r="C82" s="10" t="s">
        <v>921</v>
      </c>
      <c r="D82" s="54" t="s">
        <v>22</v>
      </c>
      <c r="E82" s="9" t="s">
        <v>26</v>
      </c>
      <c r="F82" s="116">
        <v>31058</v>
      </c>
      <c r="G82" s="10" t="s">
        <v>838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6.25" customHeight="1" x14ac:dyDescent="0.2">
      <c r="A83" s="9">
        <f t="shared" si="2"/>
        <v>36</v>
      </c>
      <c r="B83" s="115">
        <v>272364</v>
      </c>
      <c r="C83" s="10" t="s">
        <v>922</v>
      </c>
      <c r="D83" s="95" t="s">
        <v>882</v>
      </c>
      <c r="E83" s="9" t="s">
        <v>26</v>
      </c>
      <c r="F83" s="116">
        <v>30302</v>
      </c>
      <c r="G83" s="10" t="s">
        <v>838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6.25" customHeight="1" x14ac:dyDescent="0.2">
      <c r="A84" s="9">
        <f t="shared" si="2"/>
        <v>37</v>
      </c>
      <c r="B84" s="115">
        <v>171406</v>
      </c>
      <c r="C84" s="10" t="s">
        <v>923</v>
      </c>
      <c r="D84" s="95" t="s">
        <v>360</v>
      </c>
      <c r="E84" s="9" t="s">
        <v>26</v>
      </c>
      <c r="F84" s="116">
        <v>27617</v>
      </c>
      <c r="G84" s="10" t="s">
        <v>838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6.25" customHeight="1" x14ac:dyDescent="0.2">
      <c r="A85" s="9">
        <f t="shared" si="2"/>
        <v>38</v>
      </c>
      <c r="B85" s="115">
        <v>391232</v>
      </c>
      <c r="C85" s="10" t="s">
        <v>924</v>
      </c>
      <c r="D85" s="54" t="s">
        <v>22</v>
      </c>
      <c r="E85" s="9" t="s">
        <v>26</v>
      </c>
      <c r="F85" s="116">
        <v>31802</v>
      </c>
      <c r="G85" s="10" t="s">
        <v>838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6.25" customHeight="1" x14ac:dyDescent="0.2">
      <c r="A86" s="9">
        <f t="shared" si="2"/>
        <v>39</v>
      </c>
      <c r="B86" s="115">
        <v>347385</v>
      </c>
      <c r="C86" s="10" t="s">
        <v>925</v>
      </c>
      <c r="D86" s="95" t="s">
        <v>349</v>
      </c>
      <c r="E86" s="9" t="s">
        <v>26</v>
      </c>
      <c r="F86" s="116">
        <v>31508</v>
      </c>
      <c r="G86" s="10" t="s">
        <v>838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6.25" customHeight="1" x14ac:dyDescent="0.2">
      <c r="A87" s="9">
        <f t="shared" si="2"/>
        <v>40</v>
      </c>
      <c r="B87" s="115">
        <v>227494</v>
      </c>
      <c r="C87" s="10" t="s">
        <v>926</v>
      </c>
      <c r="D87" s="95" t="s">
        <v>379</v>
      </c>
      <c r="E87" s="9" t="s">
        <v>26</v>
      </c>
      <c r="F87" s="116">
        <v>34931</v>
      </c>
      <c r="G87" s="10" t="s">
        <v>838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6.25" customHeight="1" x14ac:dyDescent="0.2">
      <c r="A88" s="9">
        <f t="shared" si="2"/>
        <v>41</v>
      </c>
      <c r="B88" s="115">
        <v>799738</v>
      </c>
      <c r="C88" s="10" t="s">
        <v>927</v>
      </c>
      <c r="D88" s="95" t="s">
        <v>408</v>
      </c>
      <c r="E88" s="9" t="s">
        <v>18</v>
      </c>
      <c r="F88" s="116">
        <v>37439</v>
      </c>
      <c r="G88" s="10" t="s">
        <v>838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6.25" customHeight="1" x14ac:dyDescent="0.2">
      <c r="A89" s="9">
        <f t="shared" si="2"/>
        <v>42</v>
      </c>
      <c r="B89" s="115">
        <v>748925</v>
      </c>
      <c r="C89" s="10" t="s">
        <v>928</v>
      </c>
      <c r="D89" s="54" t="s">
        <v>379</v>
      </c>
      <c r="E89" s="9" t="s">
        <v>26</v>
      </c>
      <c r="F89" s="116">
        <v>38271</v>
      </c>
      <c r="G89" s="10" t="s">
        <v>838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6.25" customHeight="1" x14ac:dyDescent="0.2">
      <c r="A90" s="9">
        <f t="shared" si="2"/>
        <v>43</v>
      </c>
      <c r="B90" s="115">
        <v>381202</v>
      </c>
      <c r="C90" s="10" t="s">
        <v>929</v>
      </c>
      <c r="D90" s="95" t="s">
        <v>882</v>
      </c>
      <c r="E90" s="9" t="s">
        <v>18</v>
      </c>
      <c r="F90" s="116">
        <v>34884</v>
      </c>
      <c r="G90" s="10" t="s">
        <v>838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6.25" customHeight="1" x14ac:dyDescent="0.2">
      <c r="A91" s="9">
        <f t="shared" si="2"/>
        <v>44</v>
      </c>
      <c r="B91" s="115">
        <v>441202</v>
      </c>
      <c r="C91" s="10" t="s">
        <v>930</v>
      </c>
      <c r="D91" s="95" t="s">
        <v>902</v>
      </c>
      <c r="E91" s="9" t="s">
        <v>26</v>
      </c>
      <c r="F91" s="116">
        <v>34259</v>
      </c>
      <c r="G91" s="10" t="s">
        <v>838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6.25" customHeight="1" x14ac:dyDescent="0.2">
      <c r="A92" s="9">
        <f t="shared" si="2"/>
        <v>45</v>
      </c>
      <c r="B92" s="115">
        <v>414277</v>
      </c>
      <c r="C92" s="10" t="s">
        <v>931</v>
      </c>
      <c r="D92" s="54" t="s">
        <v>932</v>
      </c>
      <c r="E92" s="9" t="s">
        <v>18</v>
      </c>
      <c r="F92" s="116">
        <v>33585</v>
      </c>
      <c r="G92" s="10" t="s">
        <v>838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6.25" customHeight="1" x14ac:dyDescent="0.2">
      <c r="A93" s="9">
        <f t="shared" si="2"/>
        <v>46</v>
      </c>
      <c r="B93" s="115">
        <v>463220</v>
      </c>
      <c r="C93" s="10" t="s">
        <v>933</v>
      </c>
      <c r="D93" s="54" t="s">
        <v>32</v>
      </c>
      <c r="E93" s="9" t="s">
        <v>26</v>
      </c>
      <c r="F93" s="116">
        <v>37028</v>
      </c>
      <c r="G93" s="10" t="s">
        <v>838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6.25" customHeight="1" x14ac:dyDescent="0.2">
      <c r="A94" s="9">
        <f t="shared" si="2"/>
        <v>47</v>
      </c>
      <c r="B94" s="115">
        <v>409321</v>
      </c>
      <c r="C94" s="10" t="s">
        <v>934</v>
      </c>
      <c r="D94" s="54" t="s">
        <v>32</v>
      </c>
      <c r="E94" s="9" t="s">
        <v>26</v>
      </c>
      <c r="F94" s="116">
        <v>34694</v>
      </c>
      <c r="G94" s="10" t="s">
        <v>838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3.25" customHeight="1" x14ac:dyDescent="0.25">
      <c r="A95" s="9">
        <f t="shared" si="2"/>
        <v>48</v>
      </c>
      <c r="B95" s="122">
        <v>573905</v>
      </c>
      <c r="C95" s="123" t="s">
        <v>935</v>
      </c>
      <c r="D95" s="124" t="s">
        <v>183</v>
      </c>
      <c r="E95" s="125" t="s">
        <v>26</v>
      </c>
      <c r="F95" s="116">
        <v>37578</v>
      </c>
      <c r="G95" s="10" t="s">
        <v>838</v>
      </c>
    </row>
    <row r="96" spans="1:26" ht="13.5" x14ac:dyDescent="0.25">
      <c r="A96" s="126" t="s">
        <v>106</v>
      </c>
      <c r="B96" s="127"/>
      <c r="C96" s="127"/>
      <c r="D96" s="127"/>
      <c r="E96" s="127"/>
      <c r="F96" s="127"/>
      <c r="G96" s="128"/>
    </row>
    <row r="97" spans="1:26" ht="13.5" x14ac:dyDescent="0.25">
      <c r="A97" s="16"/>
      <c r="B97" s="16"/>
      <c r="C97" s="17"/>
      <c r="D97" s="18"/>
      <c r="E97" s="16"/>
      <c r="F97" s="16"/>
      <c r="G97" s="17"/>
    </row>
    <row r="98" spans="1:26" ht="26.25" customHeight="1" x14ac:dyDescent="0.2">
      <c r="A98" s="133" t="s">
        <v>6</v>
      </c>
      <c r="B98" s="127"/>
      <c r="C98" s="127"/>
      <c r="D98" s="127"/>
      <c r="E98" s="127"/>
      <c r="F98" s="127"/>
      <c r="G98" s="128"/>
    </row>
    <row r="99" spans="1:26" ht="26.25" customHeight="1" x14ac:dyDescent="0.2">
      <c r="A99" s="2" t="s">
        <v>9</v>
      </c>
      <c r="B99" s="2" t="s">
        <v>10</v>
      </c>
      <c r="C99" s="2" t="s">
        <v>11</v>
      </c>
      <c r="D99" s="3" t="s">
        <v>12</v>
      </c>
      <c r="E99" s="2" t="s">
        <v>13</v>
      </c>
      <c r="F99" s="2" t="s">
        <v>14</v>
      </c>
      <c r="G99" s="2" t="s">
        <v>15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26.25" customHeight="1" x14ac:dyDescent="0.2">
      <c r="A100" s="9">
        <v>1</v>
      </c>
      <c r="B100" s="115">
        <v>964469</v>
      </c>
      <c r="C100" s="10" t="s">
        <v>936</v>
      </c>
      <c r="D100" s="95" t="s">
        <v>566</v>
      </c>
      <c r="E100" s="9" t="s">
        <v>26</v>
      </c>
      <c r="F100" s="116">
        <v>36403</v>
      </c>
      <c r="G100" s="10" t="s">
        <v>838</v>
      </c>
    </row>
    <row r="101" spans="1:26" ht="26.25" customHeight="1" x14ac:dyDescent="0.2">
      <c r="A101" s="9">
        <f t="shared" ref="A101:A109" si="3">A100+1</f>
        <v>2</v>
      </c>
      <c r="B101" s="115">
        <v>580649</v>
      </c>
      <c r="C101" s="10" t="s">
        <v>937</v>
      </c>
      <c r="D101" s="95" t="s">
        <v>244</v>
      </c>
      <c r="E101" s="9" t="s">
        <v>18</v>
      </c>
      <c r="F101" s="116">
        <v>35666</v>
      </c>
      <c r="G101" s="10" t="s">
        <v>838</v>
      </c>
    </row>
    <row r="102" spans="1:26" ht="26.25" customHeight="1" x14ac:dyDescent="0.2">
      <c r="A102" s="9">
        <f t="shared" si="3"/>
        <v>3</v>
      </c>
      <c r="B102" s="115">
        <v>358386</v>
      </c>
      <c r="C102" s="10" t="s">
        <v>938</v>
      </c>
      <c r="D102" s="95" t="s">
        <v>244</v>
      </c>
      <c r="E102" s="9" t="s">
        <v>18</v>
      </c>
      <c r="F102" s="116">
        <v>37360</v>
      </c>
      <c r="G102" s="10" t="s">
        <v>838</v>
      </c>
    </row>
    <row r="103" spans="1:26" ht="26.25" customHeight="1" x14ac:dyDescent="0.2">
      <c r="A103" s="9">
        <f t="shared" si="3"/>
        <v>4</v>
      </c>
      <c r="B103" s="115">
        <v>857436</v>
      </c>
      <c r="C103" s="10" t="s">
        <v>939</v>
      </c>
      <c r="D103" s="54" t="s">
        <v>855</v>
      </c>
      <c r="E103" s="9" t="s">
        <v>26</v>
      </c>
      <c r="F103" s="116">
        <v>35841</v>
      </c>
      <c r="G103" s="10" t="s">
        <v>838</v>
      </c>
    </row>
    <row r="104" spans="1:26" ht="26.25" customHeight="1" x14ac:dyDescent="0.2">
      <c r="A104" s="9">
        <f t="shared" si="3"/>
        <v>5</v>
      </c>
      <c r="B104" s="115">
        <v>429674</v>
      </c>
      <c r="C104" s="10" t="s">
        <v>940</v>
      </c>
      <c r="D104" s="95" t="s">
        <v>244</v>
      </c>
      <c r="E104" s="9" t="s">
        <v>26</v>
      </c>
      <c r="F104" s="116">
        <v>36624</v>
      </c>
      <c r="G104" s="10" t="s">
        <v>838</v>
      </c>
    </row>
    <row r="105" spans="1:26" ht="26.25" customHeight="1" x14ac:dyDescent="0.2">
      <c r="A105" s="9">
        <f t="shared" si="3"/>
        <v>6</v>
      </c>
      <c r="B105" s="115">
        <v>852578</v>
      </c>
      <c r="C105" s="10" t="s">
        <v>941</v>
      </c>
      <c r="D105" s="95" t="s">
        <v>253</v>
      </c>
      <c r="E105" s="9" t="s">
        <v>26</v>
      </c>
      <c r="F105" s="116">
        <v>36766</v>
      </c>
      <c r="G105" s="10" t="s">
        <v>838</v>
      </c>
    </row>
    <row r="106" spans="1:26" ht="26.25" customHeight="1" x14ac:dyDescent="0.2">
      <c r="A106" s="9">
        <f t="shared" si="3"/>
        <v>7</v>
      </c>
      <c r="B106" s="115">
        <v>257030</v>
      </c>
      <c r="C106" s="10" t="s">
        <v>942</v>
      </c>
      <c r="D106" s="95" t="s">
        <v>244</v>
      </c>
      <c r="E106" s="9" t="s">
        <v>18</v>
      </c>
      <c r="F106" s="116">
        <v>35640</v>
      </c>
      <c r="G106" s="10" t="s">
        <v>838</v>
      </c>
    </row>
    <row r="107" spans="1:26" ht="26.25" customHeight="1" x14ac:dyDescent="0.2">
      <c r="A107" s="9">
        <f t="shared" si="3"/>
        <v>8</v>
      </c>
      <c r="B107" s="115">
        <v>301997</v>
      </c>
      <c r="C107" s="10" t="s">
        <v>943</v>
      </c>
      <c r="D107" s="95" t="s">
        <v>244</v>
      </c>
      <c r="E107" s="9" t="s">
        <v>18</v>
      </c>
      <c r="F107" s="116">
        <v>37340</v>
      </c>
      <c r="G107" s="10" t="s">
        <v>838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6.25" customHeight="1" x14ac:dyDescent="0.2">
      <c r="A108" s="9">
        <f t="shared" si="3"/>
        <v>9</v>
      </c>
      <c r="B108" s="115">
        <v>525226</v>
      </c>
      <c r="C108" s="10" t="s">
        <v>944</v>
      </c>
      <c r="D108" s="54" t="s">
        <v>244</v>
      </c>
      <c r="E108" s="9" t="s">
        <v>18</v>
      </c>
      <c r="F108" s="116">
        <v>34426</v>
      </c>
      <c r="G108" s="10" t="s">
        <v>838</v>
      </c>
    </row>
    <row r="109" spans="1:26" ht="26.25" customHeight="1" x14ac:dyDescent="0.2">
      <c r="A109" s="9">
        <f t="shared" si="3"/>
        <v>10</v>
      </c>
      <c r="B109" s="115">
        <v>719500</v>
      </c>
      <c r="C109" s="10" t="s">
        <v>945</v>
      </c>
      <c r="D109" s="54" t="s">
        <v>855</v>
      </c>
      <c r="E109" s="9" t="s">
        <v>18</v>
      </c>
      <c r="F109" s="116">
        <v>35858</v>
      </c>
      <c r="G109" s="10" t="s">
        <v>838</v>
      </c>
    </row>
    <row r="110" spans="1:26" ht="13.5" x14ac:dyDescent="0.2">
      <c r="A110" s="134" t="s">
        <v>106</v>
      </c>
      <c r="B110" s="127"/>
      <c r="C110" s="127"/>
      <c r="D110" s="127"/>
      <c r="E110" s="127"/>
      <c r="F110" s="127"/>
      <c r="G110" s="128"/>
    </row>
    <row r="111" spans="1:26" ht="13.5" x14ac:dyDescent="0.25">
      <c r="A111" s="16"/>
      <c r="B111" s="16"/>
      <c r="C111" s="17"/>
      <c r="D111" s="18"/>
      <c r="E111" s="16"/>
      <c r="F111" s="16"/>
      <c r="G111" s="17"/>
    </row>
    <row r="112" spans="1:26" ht="13.5" x14ac:dyDescent="0.25">
      <c r="A112" s="16"/>
      <c r="B112" s="16"/>
      <c r="C112" s="17"/>
      <c r="D112" s="18"/>
      <c r="E112" s="16"/>
      <c r="F112" s="16"/>
      <c r="G112" s="17"/>
    </row>
    <row r="113" spans="1:7" ht="13.5" x14ac:dyDescent="0.25">
      <c r="A113" s="16"/>
      <c r="B113" s="16"/>
      <c r="C113" s="22" t="s">
        <v>0</v>
      </c>
      <c r="D113" s="23" t="s">
        <v>1</v>
      </c>
      <c r="E113" s="16"/>
      <c r="F113" s="16"/>
      <c r="G113" s="17"/>
    </row>
    <row r="114" spans="1:7" ht="13.5" x14ac:dyDescent="0.25">
      <c r="A114" s="16"/>
      <c r="B114" s="16"/>
      <c r="C114" s="22" t="s">
        <v>2</v>
      </c>
      <c r="D114" s="23">
        <v>8</v>
      </c>
      <c r="E114" s="16"/>
      <c r="F114" s="16"/>
      <c r="G114" s="17"/>
    </row>
    <row r="115" spans="1:7" ht="13.5" x14ac:dyDescent="0.25">
      <c r="A115" s="16"/>
      <c r="B115" s="16"/>
      <c r="C115" s="22" t="s">
        <v>3</v>
      </c>
      <c r="D115" s="23">
        <v>9</v>
      </c>
      <c r="E115" s="16"/>
      <c r="F115" s="16"/>
      <c r="G115" s="17"/>
    </row>
    <row r="116" spans="1:7" ht="13.5" x14ac:dyDescent="0.25">
      <c r="A116" s="16"/>
      <c r="B116" s="16"/>
      <c r="C116" s="22" t="s">
        <v>4</v>
      </c>
      <c r="D116" s="23">
        <v>15</v>
      </c>
      <c r="E116" s="16"/>
      <c r="F116" s="16"/>
      <c r="G116" s="17"/>
    </row>
    <row r="117" spans="1:7" ht="13.5" x14ac:dyDescent="0.25">
      <c r="A117" s="16"/>
      <c r="B117" s="16"/>
      <c r="C117" s="22" t="s">
        <v>5</v>
      </c>
      <c r="D117" s="23">
        <v>48</v>
      </c>
      <c r="E117" s="16"/>
      <c r="F117" s="16"/>
      <c r="G117" s="17"/>
    </row>
    <row r="118" spans="1:7" ht="13.5" x14ac:dyDescent="0.25">
      <c r="A118" s="16"/>
      <c r="B118" s="16"/>
      <c r="C118" s="22" t="s">
        <v>6</v>
      </c>
      <c r="D118" s="23">
        <v>10</v>
      </c>
      <c r="E118" s="16"/>
      <c r="F118" s="16"/>
      <c r="G118" s="17"/>
    </row>
    <row r="119" spans="1:7" ht="13.5" x14ac:dyDescent="0.25">
      <c r="A119" s="16"/>
      <c r="B119" s="16"/>
      <c r="C119" s="22" t="s">
        <v>7</v>
      </c>
      <c r="D119" s="23">
        <f>SUM(D114:D118)</f>
        <v>90</v>
      </c>
      <c r="E119" s="16"/>
      <c r="F119" s="16"/>
      <c r="G119" s="17"/>
    </row>
    <row r="120" spans="1:7" ht="12.75" x14ac:dyDescent="0.2">
      <c r="A120" s="24"/>
      <c r="B120" s="24"/>
      <c r="D120" s="25"/>
      <c r="E120" s="24"/>
      <c r="F120" s="24"/>
    </row>
    <row r="121" spans="1:7" ht="12.75" x14ac:dyDescent="0.2">
      <c r="A121" s="24"/>
      <c r="B121" s="24"/>
      <c r="D121" s="25"/>
      <c r="E121" s="24"/>
      <c r="F121" s="24"/>
    </row>
    <row r="122" spans="1:7" ht="12.75" x14ac:dyDescent="0.2">
      <c r="A122" s="24"/>
      <c r="B122" s="24"/>
      <c r="D122" s="25"/>
      <c r="E122" s="24"/>
      <c r="F122" s="24"/>
    </row>
    <row r="123" spans="1:7" ht="12.75" x14ac:dyDescent="0.2">
      <c r="A123" s="24"/>
      <c r="B123" s="24"/>
      <c r="D123" s="25"/>
      <c r="E123" s="24"/>
      <c r="F123" s="24"/>
    </row>
    <row r="124" spans="1:7" ht="12.75" x14ac:dyDescent="0.2">
      <c r="A124" s="24"/>
      <c r="B124" s="24"/>
      <c r="D124" s="25"/>
      <c r="E124" s="24"/>
      <c r="F124" s="24"/>
    </row>
    <row r="125" spans="1:7" ht="12.75" x14ac:dyDescent="0.2">
      <c r="A125" s="24"/>
      <c r="B125" s="24"/>
      <c r="D125" s="25"/>
      <c r="E125" s="24"/>
      <c r="F125" s="24"/>
    </row>
    <row r="126" spans="1:7" ht="12.75" x14ac:dyDescent="0.2">
      <c r="A126" s="24"/>
      <c r="B126" s="24"/>
      <c r="D126" s="25"/>
      <c r="E126" s="24"/>
      <c r="F126" s="24"/>
    </row>
    <row r="127" spans="1:7" ht="12.75" x14ac:dyDescent="0.2">
      <c r="A127" s="24"/>
      <c r="B127" s="24"/>
      <c r="D127" s="25"/>
      <c r="E127" s="24"/>
      <c r="F127" s="24"/>
    </row>
    <row r="128" spans="1:7" ht="12.75" x14ac:dyDescent="0.2">
      <c r="A128" s="24"/>
      <c r="B128" s="24"/>
      <c r="D128" s="25"/>
      <c r="E128" s="24"/>
      <c r="F128" s="24"/>
    </row>
    <row r="129" spans="1:6" ht="12.75" x14ac:dyDescent="0.2">
      <c r="A129" s="24"/>
      <c r="B129" s="24"/>
      <c r="D129" s="25"/>
      <c r="E129" s="24"/>
      <c r="F129" s="24"/>
    </row>
    <row r="130" spans="1:6" ht="12.75" x14ac:dyDescent="0.2">
      <c r="A130" s="24"/>
      <c r="B130" s="24"/>
      <c r="D130" s="25"/>
      <c r="E130" s="24"/>
      <c r="F130" s="24"/>
    </row>
    <row r="131" spans="1:6" ht="12.75" x14ac:dyDescent="0.2">
      <c r="A131" s="24"/>
      <c r="B131" s="24"/>
      <c r="D131" s="25"/>
      <c r="E131" s="24"/>
      <c r="F131" s="24"/>
    </row>
    <row r="132" spans="1:6" ht="12.75" x14ac:dyDescent="0.2">
      <c r="A132" s="24"/>
      <c r="B132" s="24"/>
      <c r="D132" s="25"/>
      <c r="E132" s="24"/>
      <c r="F132" s="24"/>
    </row>
    <row r="133" spans="1:6" ht="12.75" x14ac:dyDescent="0.2">
      <c r="A133" s="24"/>
      <c r="B133" s="24"/>
      <c r="D133" s="25"/>
      <c r="E133" s="24"/>
      <c r="F133" s="24"/>
    </row>
    <row r="134" spans="1:6" ht="12.75" x14ac:dyDescent="0.2">
      <c r="A134" s="24"/>
      <c r="B134" s="24"/>
      <c r="D134" s="25"/>
      <c r="E134" s="24"/>
      <c r="F134" s="24"/>
    </row>
    <row r="135" spans="1:6" ht="12.75" x14ac:dyDescent="0.2">
      <c r="A135" s="24"/>
      <c r="B135" s="24"/>
      <c r="D135" s="25"/>
      <c r="E135" s="24"/>
      <c r="F135" s="24"/>
    </row>
    <row r="136" spans="1:6" ht="12.75" x14ac:dyDescent="0.2">
      <c r="A136" s="24"/>
      <c r="B136" s="24"/>
      <c r="D136" s="25"/>
      <c r="E136" s="24"/>
      <c r="F136" s="24"/>
    </row>
    <row r="137" spans="1:6" ht="12.75" x14ac:dyDescent="0.2">
      <c r="A137" s="24"/>
      <c r="B137" s="24"/>
      <c r="D137" s="25"/>
      <c r="E137" s="24"/>
      <c r="F137" s="24"/>
    </row>
    <row r="138" spans="1:6" ht="12.75" x14ac:dyDescent="0.2">
      <c r="A138" s="24"/>
      <c r="B138" s="24"/>
      <c r="D138" s="25"/>
      <c r="E138" s="24"/>
      <c r="F138" s="24"/>
    </row>
    <row r="139" spans="1:6" ht="12.75" x14ac:dyDescent="0.2">
      <c r="A139" s="24"/>
      <c r="B139" s="24"/>
      <c r="D139" s="25"/>
      <c r="E139" s="24"/>
      <c r="F139" s="24"/>
    </row>
    <row r="140" spans="1:6" ht="12.75" x14ac:dyDescent="0.2">
      <c r="A140" s="24"/>
      <c r="B140" s="24"/>
      <c r="D140" s="25"/>
      <c r="E140" s="24"/>
      <c r="F140" s="24"/>
    </row>
    <row r="141" spans="1:6" ht="12.75" x14ac:dyDescent="0.2">
      <c r="A141" s="24"/>
      <c r="B141" s="24"/>
      <c r="D141" s="25"/>
      <c r="E141" s="24"/>
      <c r="F141" s="24"/>
    </row>
    <row r="142" spans="1:6" ht="12.75" x14ac:dyDescent="0.2">
      <c r="A142" s="24"/>
      <c r="B142" s="24"/>
      <c r="D142" s="25"/>
      <c r="E142" s="24"/>
      <c r="F142" s="24"/>
    </row>
    <row r="143" spans="1:6" ht="12.75" x14ac:dyDescent="0.2">
      <c r="A143" s="24"/>
      <c r="B143" s="24"/>
      <c r="D143" s="25"/>
      <c r="E143" s="24"/>
      <c r="F143" s="24"/>
    </row>
    <row r="144" spans="1:6" ht="12.75" x14ac:dyDescent="0.2">
      <c r="A144" s="24"/>
      <c r="B144" s="24"/>
      <c r="D144" s="25"/>
      <c r="E144" s="24"/>
      <c r="F144" s="24"/>
    </row>
    <row r="145" spans="1:6" ht="12.75" x14ac:dyDescent="0.2">
      <c r="A145" s="24"/>
      <c r="B145" s="24"/>
      <c r="D145" s="25"/>
      <c r="E145" s="24"/>
      <c r="F145" s="24"/>
    </row>
    <row r="146" spans="1:6" ht="12.75" x14ac:dyDescent="0.2">
      <c r="A146" s="24"/>
      <c r="B146" s="24"/>
      <c r="D146" s="25"/>
      <c r="E146" s="24"/>
      <c r="F146" s="24"/>
    </row>
    <row r="147" spans="1:6" ht="12.75" x14ac:dyDescent="0.2">
      <c r="A147" s="24"/>
      <c r="B147" s="24"/>
      <c r="D147" s="25"/>
      <c r="E147" s="24"/>
      <c r="F147" s="24"/>
    </row>
    <row r="148" spans="1:6" ht="12.75" x14ac:dyDescent="0.2">
      <c r="A148" s="24"/>
      <c r="B148" s="24"/>
      <c r="D148" s="25"/>
      <c r="E148" s="24"/>
      <c r="F148" s="24"/>
    </row>
    <row r="149" spans="1:6" ht="12.75" x14ac:dyDescent="0.2">
      <c r="A149" s="24"/>
      <c r="B149" s="24"/>
      <c r="D149" s="25"/>
      <c r="E149" s="24"/>
      <c r="F149" s="24"/>
    </row>
    <row r="150" spans="1:6" ht="12.75" x14ac:dyDescent="0.2">
      <c r="A150" s="24"/>
      <c r="B150" s="24"/>
      <c r="D150" s="25"/>
      <c r="E150" s="24"/>
      <c r="F150" s="24"/>
    </row>
    <row r="151" spans="1:6" ht="12.75" x14ac:dyDescent="0.2">
      <c r="A151" s="24"/>
      <c r="B151" s="24"/>
      <c r="D151" s="25"/>
      <c r="E151" s="24"/>
      <c r="F151" s="24"/>
    </row>
    <row r="152" spans="1:6" ht="12.75" x14ac:dyDescent="0.2">
      <c r="A152" s="24"/>
      <c r="B152" s="24"/>
      <c r="D152" s="25"/>
      <c r="E152" s="24"/>
      <c r="F152" s="24"/>
    </row>
    <row r="153" spans="1:6" ht="12.75" x14ac:dyDescent="0.2">
      <c r="A153" s="24"/>
      <c r="B153" s="24"/>
      <c r="D153" s="25"/>
      <c r="E153" s="24"/>
      <c r="F153" s="24"/>
    </row>
    <row r="154" spans="1:6" ht="12.75" x14ac:dyDescent="0.2">
      <c r="A154" s="24"/>
      <c r="B154" s="24"/>
      <c r="D154" s="25"/>
      <c r="E154" s="24"/>
      <c r="F154" s="24"/>
    </row>
    <row r="155" spans="1:6" ht="12.75" x14ac:dyDescent="0.2">
      <c r="A155" s="24"/>
      <c r="B155" s="24"/>
      <c r="D155" s="25"/>
      <c r="E155" s="24"/>
      <c r="F155" s="24"/>
    </row>
    <row r="156" spans="1:6" ht="12.75" x14ac:dyDescent="0.2">
      <c r="A156" s="24"/>
      <c r="B156" s="24"/>
      <c r="D156" s="25"/>
      <c r="E156" s="24"/>
      <c r="F156" s="24"/>
    </row>
    <row r="157" spans="1:6" ht="12.75" x14ac:dyDescent="0.2">
      <c r="A157" s="24"/>
      <c r="B157" s="24"/>
      <c r="D157" s="25"/>
      <c r="E157" s="24"/>
      <c r="F157" s="24"/>
    </row>
    <row r="158" spans="1:6" ht="12.75" x14ac:dyDescent="0.2">
      <c r="A158" s="24"/>
      <c r="B158" s="24"/>
      <c r="D158" s="25"/>
      <c r="E158" s="24"/>
      <c r="F158" s="24"/>
    </row>
    <row r="159" spans="1:6" ht="12.75" x14ac:dyDescent="0.2">
      <c r="A159" s="24"/>
      <c r="B159" s="24"/>
      <c r="D159" s="25"/>
      <c r="E159" s="24"/>
      <c r="F159" s="24"/>
    </row>
    <row r="160" spans="1:6" ht="12.75" x14ac:dyDescent="0.2">
      <c r="A160" s="24"/>
      <c r="B160" s="24"/>
      <c r="D160" s="25"/>
      <c r="E160" s="24"/>
      <c r="F160" s="24"/>
    </row>
    <row r="161" spans="1:6" ht="12.75" x14ac:dyDescent="0.2">
      <c r="A161" s="24"/>
      <c r="B161" s="24"/>
      <c r="D161" s="25"/>
      <c r="E161" s="24"/>
      <c r="F161" s="24"/>
    </row>
    <row r="162" spans="1:6" ht="12.75" x14ac:dyDescent="0.2">
      <c r="A162" s="24"/>
      <c r="B162" s="24"/>
      <c r="D162" s="25"/>
      <c r="E162" s="24"/>
      <c r="F162" s="24"/>
    </row>
    <row r="163" spans="1:6" ht="12.75" x14ac:dyDescent="0.2">
      <c r="A163" s="24"/>
      <c r="B163" s="24"/>
      <c r="D163" s="25"/>
      <c r="E163" s="24"/>
      <c r="F163" s="24"/>
    </row>
    <row r="164" spans="1:6" ht="12.75" x14ac:dyDescent="0.2">
      <c r="A164" s="24"/>
      <c r="B164" s="24"/>
      <c r="D164" s="25"/>
      <c r="E164" s="24"/>
      <c r="F164" s="24"/>
    </row>
    <row r="165" spans="1:6" ht="12.75" x14ac:dyDescent="0.2">
      <c r="A165" s="24"/>
      <c r="B165" s="24"/>
      <c r="D165" s="25"/>
      <c r="E165" s="24"/>
      <c r="F165" s="24"/>
    </row>
    <row r="166" spans="1:6" ht="12.75" x14ac:dyDescent="0.2">
      <c r="A166" s="24"/>
      <c r="B166" s="24"/>
      <c r="D166" s="25"/>
      <c r="E166" s="24"/>
      <c r="F166" s="24"/>
    </row>
    <row r="167" spans="1:6" ht="12.75" x14ac:dyDescent="0.2">
      <c r="A167" s="24"/>
      <c r="B167" s="24"/>
      <c r="D167" s="25"/>
      <c r="E167" s="24"/>
      <c r="F167" s="24"/>
    </row>
    <row r="168" spans="1:6" ht="12.75" x14ac:dyDescent="0.2">
      <c r="A168" s="24"/>
      <c r="B168" s="24"/>
      <c r="D168" s="25"/>
      <c r="E168" s="24"/>
      <c r="F168" s="24"/>
    </row>
    <row r="169" spans="1:6" ht="12.75" x14ac:dyDescent="0.2">
      <c r="A169" s="24"/>
      <c r="B169" s="24"/>
      <c r="D169" s="25"/>
      <c r="E169" s="24"/>
      <c r="F169" s="24"/>
    </row>
    <row r="170" spans="1:6" ht="12.75" x14ac:dyDescent="0.2">
      <c r="A170" s="24"/>
      <c r="B170" s="24"/>
      <c r="D170" s="25"/>
      <c r="E170" s="24"/>
      <c r="F170" s="24"/>
    </row>
    <row r="171" spans="1:6" ht="12.75" x14ac:dyDescent="0.2">
      <c r="A171" s="24"/>
      <c r="B171" s="24"/>
      <c r="D171" s="25"/>
      <c r="E171" s="24"/>
      <c r="F171" s="24"/>
    </row>
    <row r="172" spans="1:6" ht="12.75" x14ac:dyDescent="0.2">
      <c r="A172" s="24"/>
      <c r="B172" s="24"/>
      <c r="D172" s="25"/>
      <c r="E172" s="24"/>
      <c r="F172" s="24"/>
    </row>
    <row r="173" spans="1:6" ht="12.75" x14ac:dyDescent="0.2">
      <c r="A173" s="24"/>
      <c r="B173" s="24"/>
      <c r="D173" s="25"/>
      <c r="E173" s="24"/>
      <c r="F173" s="24"/>
    </row>
    <row r="174" spans="1:6" ht="12.75" x14ac:dyDescent="0.2">
      <c r="A174" s="24"/>
      <c r="B174" s="24"/>
      <c r="D174" s="25"/>
      <c r="E174" s="24"/>
      <c r="F174" s="24"/>
    </row>
    <row r="175" spans="1:6" ht="12.75" x14ac:dyDescent="0.2">
      <c r="A175" s="24"/>
      <c r="B175" s="24"/>
      <c r="D175" s="25"/>
      <c r="E175" s="24"/>
      <c r="F175" s="24"/>
    </row>
    <row r="176" spans="1:6" ht="12.75" x14ac:dyDescent="0.2">
      <c r="A176" s="24"/>
      <c r="B176" s="24"/>
      <c r="D176" s="25"/>
      <c r="E176" s="24"/>
      <c r="F176" s="24"/>
    </row>
    <row r="177" spans="1:6" ht="12.75" x14ac:dyDescent="0.2">
      <c r="A177" s="24"/>
      <c r="B177" s="24"/>
      <c r="D177" s="25"/>
      <c r="E177" s="24"/>
      <c r="F177" s="24"/>
    </row>
    <row r="178" spans="1:6" ht="12.75" x14ac:dyDescent="0.2">
      <c r="A178" s="24"/>
      <c r="B178" s="24"/>
      <c r="D178" s="25"/>
      <c r="E178" s="24"/>
      <c r="F178" s="24"/>
    </row>
    <row r="179" spans="1:6" ht="12.75" x14ac:dyDescent="0.2">
      <c r="A179" s="24"/>
      <c r="B179" s="24"/>
      <c r="D179" s="25"/>
      <c r="E179" s="24"/>
      <c r="F179" s="24"/>
    </row>
    <row r="180" spans="1:6" ht="12.75" x14ac:dyDescent="0.2">
      <c r="A180" s="24"/>
      <c r="B180" s="24"/>
      <c r="D180" s="25"/>
      <c r="E180" s="24"/>
      <c r="F180" s="24"/>
    </row>
    <row r="181" spans="1:6" ht="12.75" x14ac:dyDescent="0.2">
      <c r="A181" s="24"/>
      <c r="B181" s="24"/>
      <c r="D181" s="25"/>
      <c r="E181" s="24"/>
      <c r="F181" s="24"/>
    </row>
    <row r="182" spans="1:6" ht="12.75" x14ac:dyDescent="0.2">
      <c r="A182" s="24"/>
      <c r="B182" s="24"/>
      <c r="D182" s="25"/>
      <c r="E182" s="24"/>
      <c r="F182" s="24"/>
    </row>
    <row r="183" spans="1:6" ht="12.75" x14ac:dyDescent="0.2">
      <c r="A183" s="24"/>
      <c r="B183" s="24"/>
      <c r="D183" s="25"/>
      <c r="E183" s="24"/>
      <c r="F183" s="24"/>
    </row>
    <row r="184" spans="1:6" ht="12.75" x14ac:dyDescent="0.2">
      <c r="A184" s="24"/>
      <c r="B184" s="24"/>
      <c r="D184" s="25"/>
      <c r="E184" s="24"/>
      <c r="F184" s="24"/>
    </row>
    <row r="185" spans="1:6" ht="12.75" x14ac:dyDescent="0.2">
      <c r="A185" s="24"/>
      <c r="B185" s="24"/>
      <c r="D185" s="25"/>
      <c r="E185" s="24"/>
      <c r="F185" s="24"/>
    </row>
    <row r="186" spans="1:6" ht="12.75" x14ac:dyDescent="0.2">
      <c r="A186" s="24"/>
      <c r="B186" s="24"/>
      <c r="D186" s="25"/>
      <c r="E186" s="24"/>
      <c r="F186" s="24"/>
    </row>
    <row r="187" spans="1:6" ht="12.75" x14ac:dyDescent="0.2">
      <c r="A187" s="24"/>
      <c r="B187" s="24"/>
      <c r="D187" s="25"/>
      <c r="E187" s="24"/>
      <c r="F187" s="24"/>
    </row>
    <row r="188" spans="1:6" ht="12.75" x14ac:dyDescent="0.2">
      <c r="A188" s="24"/>
      <c r="B188" s="24"/>
      <c r="D188" s="25"/>
      <c r="E188" s="24"/>
      <c r="F188" s="24"/>
    </row>
    <row r="189" spans="1:6" ht="12.75" x14ac:dyDescent="0.2">
      <c r="A189" s="24"/>
      <c r="B189" s="24"/>
      <c r="D189" s="25"/>
      <c r="E189" s="24"/>
      <c r="F189" s="24"/>
    </row>
    <row r="190" spans="1:6" ht="12.75" x14ac:dyDescent="0.2">
      <c r="A190" s="24"/>
      <c r="B190" s="24"/>
      <c r="D190" s="25"/>
      <c r="E190" s="24"/>
      <c r="F190" s="24"/>
    </row>
    <row r="191" spans="1:6" ht="12.75" x14ac:dyDescent="0.2">
      <c r="A191" s="24"/>
      <c r="B191" s="24"/>
      <c r="D191" s="25"/>
      <c r="E191" s="24"/>
      <c r="F191" s="24"/>
    </row>
    <row r="192" spans="1:6" ht="12.75" x14ac:dyDescent="0.2">
      <c r="A192" s="24"/>
      <c r="B192" s="24"/>
      <c r="D192" s="25"/>
      <c r="E192" s="24"/>
      <c r="F192" s="24"/>
    </row>
    <row r="193" spans="1:6" ht="12.75" x14ac:dyDescent="0.2">
      <c r="A193" s="24"/>
      <c r="B193" s="24"/>
      <c r="D193" s="25"/>
      <c r="E193" s="24"/>
      <c r="F193" s="24"/>
    </row>
    <row r="194" spans="1:6" ht="12.75" x14ac:dyDescent="0.2">
      <c r="A194" s="24"/>
      <c r="B194" s="24"/>
      <c r="D194" s="25"/>
      <c r="E194" s="24"/>
      <c r="F194" s="24"/>
    </row>
    <row r="195" spans="1:6" ht="12.75" x14ac:dyDescent="0.2">
      <c r="A195" s="24"/>
      <c r="B195" s="24"/>
      <c r="D195" s="25"/>
      <c r="E195" s="24"/>
      <c r="F195" s="24"/>
    </row>
    <row r="196" spans="1:6" ht="12.75" x14ac:dyDescent="0.2">
      <c r="A196" s="24"/>
      <c r="B196" s="24"/>
      <c r="D196" s="25"/>
      <c r="E196" s="24"/>
      <c r="F196" s="24"/>
    </row>
    <row r="197" spans="1:6" ht="12.75" x14ac:dyDescent="0.2">
      <c r="A197" s="24"/>
      <c r="B197" s="24"/>
      <c r="D197" s="25"/>
      <c r="E197" s="24"/>
      <c r="F197" s="24"/>
    </row>
    <row r="198" spans="1:6" ht="12.75" x14ac:dyDescent="0.2">
      <c r="A198" s="24"/>
      <c r="B198" s="24"/>
      <c r="D198" s="25"/>
      <c r="E198" s="24"/>
      <c r="F198" s="24"/>
    </row>
    <row r="199" spans="1:6" ht="12.75" x14ac:dyDescent="0.2">
      <c r="A199" s="24"/>
      <c r="B199" s="24"/>
      <c r="D199" s="25"/>
      <c r="E199" s="24"/>
      <c r="F199" s="24"/>
    </row>
    <row r="200" spans="1:6" ht="12.75" x14ac:dyDescent="0.2">
      <c r="A200" s="24"/>
      <c r="B200" s="24"/>
      <c r="D200" s="25"/>
      <c r="E200" s="24"/>
      <c r="F200" s="24"/>
    </row>
    <row r="201" spans="1:6" ht="12.75" x14ac:dyDescent="0.2">
      <c r="A201" s="24"/>
      <c r="B201" s="24"/>
      <c r="D201" s="25"/>
      <c r="E201" s="24"/>
      <c r="F201" s="24"/>
    </row>
    <row r="202" spans="1:6" ht="12.75" x14ac:dyDescent="0.2">
      <c r="A202" s="24"/>
      <c r="B202" s="24"/>
      <c r="D202" s="25"/>
      <c r="E202" s="24"/>
      <c r="F202" s="24"/>
    </row>
    <row r="203" spans="1:6" ht="12.75" x14ac:dyDescent="0.2">
      <c r="A203" s="24"/>
      <c r="B203" s="24"/>
      <c r="D203" s="25"/>
      <c r="E203" s="24"/>
      <c r="F203" s="24"/>
    </row>
    <row r="204" spans="1:6" ht="12.75" x14ac:dyDescent="0.2">
      <c r="A204" s="24"/>
      <c r="B204" s="24"/>
      <c r="D204" s="25"/>
      <c r="E204" s="24"/>
      <c r="F204" s="24"/>
    </row>
    <row r="205" spans="1:6" ht="12.75" x14ac:dyDescent="0.2">
      <c r="A205" s="24"/>
      <c r="B205" s="24"/>
      <c r="D205" s="25"/>
      <c r="E205" s="24"/>
      <c r="F205" s="24"/>
    </row>
    <row r="206" spans="1:6" ht="12.75" x14ac:dyDescent="0.2">
      <c r="A206" s="24"/>
      <c r="B206" s="24"/>
      <c r="D206" s="25"/>
      <c r="E206" s="24"/>
      <c r="F206" s="24"/>
    </row>
    <row r="207" spans="1:6" ht="12.75" x14ac:dyDescent="0.2">
      <c r="A207" s="24"/>
      <c r="B207" s="24"/>
      <c r="D207" s="25"/>
      <c r="E207" s="24"/>
      <c r="F207" s="24"/>
    </row>
    <row r="208" spans="1:6" ht="12.75" x14ac:dyDescent="0.2">
      <c r="A208" s="24"/>
      <c r="B208" s="24"/>
      <c r="D208" s="25"/>
      <c r="E208" s="24"/>
      <c r="F208" s="24"/>
    </row>
    <row r="209" spans="1:6" ht="12.75" x14ac:dyDescent="0.2">
      <c r="A209" s="24"/>
      <c r="B209" s="24"/>
      <c r="D209" s="25"/>
      <c r="E209" s="24"/>
      <c r="F209" s="24"/>
    </row>
    <row r="210" spans="1:6" ht="12.75" x14ac:dyDescent="0.2">
      <c r="A210" s="24"/>
      <c r="B210" s="24"/>
      <c r="D210" s="25"/>
      <c r="E210" s="24"/>
      <c r="F210" s="24"/>
    </row>
    <row r="211" spans="1:6" ht="12.75" x14ac:dyDescent="0.2">
      <c r="A211" s="24"/>
      <c r="B211" s="24"/>
      <c r="D211" s="25"/>
      <c r="E211" s="24"/>
      <c r="F211" s="24"/>
    </row>
    <row r="212" spans="1:6" ht="12.75" x14ac:dyDescent="0.2">
      <c r="A212" s="24"/>
      <c r="B212" s="24"/>
      <c r="D212" s="25"/>
      <c r="E212" s="24"/>
      <c r="F212" s="24"/>
    </row>
    <row r="213" spans="1:6" ht="12.75" x14ac:dyDescent="0.2">
      <c r="A213" s="24"/>
      <c r="B213" s="24"/>
      <c r="D213" s="25"/>
      <c r="E213" s="24"/>
      <c r="F213" s="24"/>
    </row>
    <row r="214" spans="1:6" ht="12.75" x14ac:dyDescent="0.2">
      <c r="A214" s="24"/>
      <c r="B214" s="24"/>
      <c r="D214" s="25"/>
      <c r="E214" s="24"/>
      <c r="F214" s="24"/>
    </row>
    <row r="215" spans="1:6" ht="12.75" x14ac:dyDescent="0.2">
      <c r="A215" s="24"/>
      <c r="B215" s="24"/>
      <c r="D215" s="25"/>
      <c r="E215" s="24"/>
      <c r="F215" s="24"/>
    </row>
    <row r="216" spans="1:6" ht="12.75" x14ac:dyDescent="0.2">
      <c r="A216" s="24"/>
      <c r="B216" s="24"/>
      <c r="D216" s="25"/>
      <c r="E216" s="24"/>
      <c r="F216" s="24"/>
    </row>
    <row r="217" spans="1:6" ht="12.75" x14ac:dyDescent="0.2">
      <c r="A217" s="24"/>
      <c r="B217" s="24"/>
      <c r="D217" s="25"/>
      <c r="E217" s="24"/>
      <c r="F217" s="24"/>
    </row>
    <row r="218" spans="1:6" ht="12.75" x14ac:dyDescent="0.2">
      <c r="A218" s="24"/>
      <c r="B218" s="24"/>
      <c r="D218" s="25"/>
      <c r="E218" s="24"/>
      <c r="F218" s="24"/>
    </row>
    <row r="219" spans="1:6" ht="12.75" x14ac:dyDescent="0.2">
      <c r="A219" s="24"/>
      <c r="B219" s="24"/>
      <c r="D219" s="25"/>
      <c r="E219" s="24"/>
      <c r="F219" s="24"/>
    </row>
    <row r="220" spans="1:6" ht="12.75" x14ac:dyDescent="0.2">
      <c r="A220" s="24"/>
      <c r="B220" s="24"/>
      <c r="D220" s="25"/>
      <c r="E220" s="24"/>
      <c r="F220" s="24"/>
    </row>
    <row r="221" spans="1:6" ht="12.75" x14ac:dyDescent="0.2">
      <c r="A221" s="24"/>
      <c r="B221" s="24"/>
      <c r="D221" s="25"/>
      <c r="E221" s="24"/>
      <c r="F221" s="24"/>
    </row>
    <row r="222" spans="1:6" ht="12.75" x14ac:dyDescent="0.2">
      <c r="A222" s="24"/>
      <c r="B222" s="24"/>
      <c r="D222" s="25"/>
      <c r="E222" s="24"/>
      <c r="F222" s="24"/>
    </row>
    <row r="223" spans="1:6" ht="12.75" x14ac:dyDescent="0.2">
      <c r="A223" s="24"/>
      <c r="B223" s="24"/>
      <c r="D223" s="25"/>
      <c r="E223" s="24"/>
      <c r="F223" s="24"/>
    </row>
    <row r="224" spans="1:6" ht="12.75" x14ac:dyDescent="0.2">
      <c r="A224" s="24"/>
      <c r="B224" s="24"/>
      <c r="D224" s="25"/>
      <c r="E224" s="24"/>
      <c r="F224" s="24"/>
    </row>
    <row r="225" spans="1:6" ht="12.75" x14ac:dyDescent="0.2">
      <c r="A225" s="24"/>
      <c r="B225" s="24"/>
      <c r="D225" s="25"/>
      <c r="E225" s="24"/>
      <c r="F225" s="24"/>
    </row>
    <row r="226" spans="1:6" ht="12.75" x14ac:dyDescent="0.2">
      <c r="A226" s="24"/>
      <c r="B226" s="24"/>
      <c r="D226" s="25"/>
      <c r="E226" s="24"/>
      <c r="F226" s="24"/>
    </row>
    <row r="227" spans="1:6" ht="12.75" x14ac:dyDescent="0.2">
      <c r="A227" s="24"/>
      <c r="B227" s="24"/>
      <c r="D227" s="25"/>
      <c r="E227" s="24"/>
      <c r="F227" s="24"/>
    </row>
    <row r="228" spans="1:6" ht="12.75" x14ac:dyDescent="0.2">
      <c r="A228" s="24"/>
      <c r="B228" s="24"/>
      <c r="D228" s="25"/>
      <c r="E228" s="24"/>
      <c r="F228" s="24"/>
    </row>
    <row r="229" spans="1:6" ht="12.75" x14ac:dyDescent="0.2">
      <c r="A229" s="24"/>
      <c r="B229" s="24"/>
      <c r="D229" s="25"/>
      <c r="E229" s="24"/>
      <c r="F229" s="24"/>
    </row>
    <row r="230" spans="1:6" ht="12.75" x14ac:dyDescent="0.2">
      <c r="A230" s="24"/>
      <c r="B230" s="24"/>
      <c r="D230" s="25"/>
      <c r="E230" s="24"/>
      <c r="F230" s="24"/>
    </row>
    <row r="231" spans="1:6" ht="12.75" x14ac:dyDescent="0.2">
      <c r="A231" s="24"/>
      <c r="B231" s="24"/>
      <c r="D231" s="25"/>
      <c r="E231" s="24"/>
      <c r="F231" s="24"/>
    </row>
    <row r="232" spans="1:6" ht="12.75" x14ac:dyDescent="0.2">
      <c r="A232" s="24"/>
      <c r="B232" s="24"/>
      <c r="D232" s="25"/>
      <c r="E232" s="24"/>
      <c r="F232" s="24"/>
    </row>
    <row r="233" spans="1:6" ht="12.75" x14ac:dyDescent="0.2">
      <c r="A233" s="24"/>
      <c r="B233" s="24"/>
      <c r="D233" s="25"/>
      <c r="E233" s="24"/>
      <c r="F233" s="24"/>
    </row>
    <row r="234" spans="1:6" ht="12.75" x14ac:dyDescent="0.2">
      <c r="A234" s="24"/>
      <c r="B234" s="24"/>
      <c r="D234" s="25"/>
      <c r="E234" s="24"/>
      <c r="F234" s="24"/>
    </row>
    <row r="235" spans="1:6" ht="12.75" x14ac:dyDescent="0.2">
      <c r="A235" s="24"/>
      <c r="B235" s="24"/>
      <c r="D235" s="25"/>
      <c r="E235" s="24"/>
      <c r="F235" s="24"/>
    </row>
    <row r="236" spans="1:6" ht="12.75" x14ac:dyDescent="0.2">
      <c r="A236" s="24"/>
      <c r="B236" s="24"/>
      <c r="D236" s="25"/>
      <c r="E236" s="24"/>
      <c r="F236" s="24"/>
    </row>
    <row r="237" spans="1:6" ht="12.75" x14ac:dyDescent="0.2">
      <c r="A237" s="24"/>
      <c r="B237" s="24"/>
      <c r="D237" s="25"/>
      <c r="E237" s="24"/>
      <c r="F237" s="24"/>
    </row>
    <row r="238" spans="1:6" ht="12.75" x14ac:dyDescent="0.2">
      <c r="A238" s="24"/>
      <c r="B238" s="24"/>
      <c r="D238" s="25"/>
      <c r="E238" s="24"/>
      <c r="F238" s="24"/>
    </row>
    <row r="239" spans="1:6" ht="12.75" x14ac:dyDescent="0.2">
      <c r="A239" s="24"/>
      <c r="B239" s="24"/>
      <c r="D239" s="25"/>
      <c r="E239" s="24"/>
      <c r="F239" s="24"/>
    </row>
    <row r="240" spans="1:6" ht="12.75" x14ac:dyDescent="0.2">
      <c r="A240" s="24"/>
      <c r="B240" s="24"/>
      <c r="D240" s="25"/>
      <c r="E240" s="24"/>
      <c r="F240" s="24"/>
    </row>
    <row r="241" spans="1:6" ht="12.75" x14ac:dyDescent="0.2">
      <c r="A241" s="24"/>
      <c r="B241" s="24"/>
      <c r="D241" s="25"/>
      <c r="E241" s="24"/>
      <c r="F241" s="24"/>
    </row>
    <row r="242" spans="1:6" ht="12.75" x14ac:dyDescent="0.2">
      <c r="A242" s="24"/>
      <c r="B242" s="24"/>
      <c r="D242" s="25"/>
      <c r="E242" s="24"/>
      <c r="F242" s="24"/>
    </row>
    <row r="243" spans="1:6" ht="12.75" x14ac:dyDescent="0.2">
      <c r="A243" s="24"/>
      <c r="B243" s="24"/>
      <c r="D243" s="25"/>
      <c r="E243" s="24"/>
      <c r="F243" s="24"/>
    </row>
    <row r="244" spans="1:6" ht="12.75" x14ac:dyDescent="0.2">
      <c r="A244" s="24"/>
      <c r="B244" s="24"/>
      <c r="D244" s="25"/>
      <c r="E244" s="24"/>
      <c r="F244" s="24"/>
    </row>
    <row r="245" spans="1:6" ht="12.75" x14ac:dyDescent="0.2">
      <c r="A245" s="24"/>
      <c r="B245" s="24"/>
      <c r="D245" s="25"/>
      <c r="E245" s="24"/>
      <c r="F245" s="24"/>
    </row>
    <row r="246" spans="1:6" ht="12.75" x14ac:dyDescent="0.2">
      <c r="A246" s="24"/>
      <c r="B246" s="24"/>
      <c r="D246" s="25"/>
      <c r="E246" s="24"/>
      <c r="F246" s="24"/>
    </row>
    <row r="247" spans="1:6" ht="12.75" x14ac:dyDescent="0.2">
      <c r="A247" s="24"/>
      <c r="B247" s="24"/>
      <c r="D247" s="25"/>
      <c r="E247" s="24"/>
      <c r="F247" s="24"/>
    </row>
    <row r="248" spans="1:6" ht="12.75" x14ac:dyDescent="0.2">
      <c r="A248" s="24"/>
      <c r="B248" s="24"/>
      <c r="D248" s="25"/>
      <c r="E248" s="24"/>
      <c r="F248" s="24"/>
    </row>
    <row r="249" spans="1:6" ht="12.75" x14ac:dyDescent="0.2">
      <c r="A249" s="24"/>
      <c r="B249" s="24"/>
      <c r="D249" s="25"/>
      <c r="E249" s="24"/>
      <c r="F249" s="24"/>
    </row>
    <row r="250" spans="1:6" ht="12.75" x14ac:dyDescent="0.2">
      <c r="A250" s="24"/>
      <c r="B250" s="24"/>
      <c r="D250" s="25"/>
      <c r="E250" s="24"/>
      <c r="F250" s="24"/>
    </row>
    <row r="251" spans="1:6" ht="12.75" x14ac:dyDescent="0.2">
      <c r="A251" s="24"/>
      <c r="B251" s="24"/>
      <c r="D251" s="25"/>
      <c r="E251" s="24"/>
      <c r="F251" s="24"/>
    </row>
    <row r="252" spans="1:6" ht="12.75" x14ac:dyDescent="0.2">
      <c r="A252" s="24"/>
      <c r="B252" s="24"/>
      <c r="D252" s="25"/>
      <c r="E252" s="24"/>
      <c r="F252" s="24"/>
    </row>
    <row r="253" spans="1:6" ht="12.75" x14ac:dyDescent="0.2">
      <c r="A253" s="24"/>
      <c r="B253" s="24"/>
      <c r="D253" s="25"/>
      <c r="E253" s="24"/>
      <c r="F253" s="24"/>
    </row>
    <row r="254" spans="1:6" ht="12.75" x14ac:dyDescent="0.2">
      <c r="A254" s="24"/>
      <c r="B254" s="24"/>
      <c r="D254" s="25"/>
      <c r="E254" s="24"/>
      <c r="F254" s="24"/>
    </row>
    <row r="255" spans="1:6" ht="12.75" x14ac:dyDescent="0.2">
      <c r="A255" s="24"/>
      <c r="B255" s="24"/>
      <c r="D255" s="25"/>
      <c r="E255" s="24"/>
      <c r="F255" s="24"/>
    </row>
    <row r="256" spans="1:6" ht="12.75" x14ac:dyDescent="0.2">
      <c r="A256" s="24"/>
      <c r="B256" s="24"/>
      <c r="D256" s="25"/>
      <c r="E256" s="24"/>
      <c r="F256" s="24"/>
    </row>
    <row r="257" spans="1:6" ht="12.75" x14ac:dyDescent="0.2">
      <c r="A257" s="24"/>
      <c r="B257" s="24"/>
      <c r="D257" s="25"/>
      <c r="E257" s="24"/>
      <c r="F257" s="24"/>
    </row>
    <row r="258" spans="1:6" ht="12.75" x14ac:dyDescent="0.2">
      <c r="A258" s="24"/>
      <c r="B258" s="24"/>
      <c r="D258" s="25"/>
      <c r="E258" s="24"/>
      <c r="F258" s="24"/>
    </row>
    <row r="259" spans="1:6" ht="12.75" x14ac:dyDescent="0.2">
      <c r="A259" s="24"/>
      <c r="B259" s="24"/>
      <c r="D259" s="25"/>
      <c r="E259" s="24"/>
      <c r="F259" s="24"/>
    </row>
    <row r="260" spans="1:6" ht="12.75" x14ac:dyDescent="0.2">
      <c r="A260" s="24"/>
      <c r="B260" s="24"/>
      <c r="D260" s="25"/>
      <c r="E260" s="24"/>
      <c r="F260" s="24"/>
    </row>
    <row r="261" spans="1:6" ht="12.75" x14ac:dyDescent="0.2">
      <c r="A261" s="24"/>
      <c r="B261" s="24"/>
      <c r="D261" s="25"/>
      <c r="E261" s="24"/>
      <c r="F261" s="24"/>
    </row>
    <row r="262" spans="1:6" ht="12.75" x14ac:dyDescent="0.2">
      <c r="A262" s="24"/>
      <c r="B262" s="24"/>
      <c r="D262" s="25"/>
      <c r="E262" s="24"/>
      <c r="F262" s="24"/>
    </row>
    <row r="263" spans="1:6" ht="12.75" x14ac:dyDescent="0.2">
      <c r="A263" s="24"/>
      <c r="B263" s="24"/>
      <c r="D263" s="25"/>
      <c r="E263" s="24"/>
      <c r="F263" s="24"/>
    </row>
    <row r="264" spans="1:6" ht="12.75" x14ac:dyDescent="0.2">
      <c r="A264" s="24"/>
      <c r="B264" s="24"/>
      <c r="D264" s="25"/>
      <c r="E264" s="24"/>
      <c r="F264" s="24"/>
    </row>
    <row r="265" spans="1:6" ht="12.75" x14ac:dyDescent="0.2">
      <c r="A265" s="24"/>
      <c r="B265" s="24"/>
      <c r="D265" s="25"/>
      <c r="E265" s="24"/>
      <c r="F265" s="24"/>
    </row>
    <row r="266" spans="1:6" ht="12.75" x14ac:dyDescent="0.2">
      <c r="A266" s="24"/>
      <c r="B266" s="24"/>
      <c r="D266" s="25"/>
      <c r="E266" s="24"/>
      <c r="F266" s="24"/>
    </row>
    <row r="267" spans="1:6" ht="12.75" x14ac:dyDescent="0.2">
      <c r="A267" s="24"/>
      <c r="B267" s="24"/>
      <c r="D267" s="25"/>
      <c r="E267" s="24"/>
      <c r="F267" s="24"/>
    </row>
    <row r="268" spans="1:6" ht="12.75" x14ac:dyDescent="0.2">
      <c r="A268" s="24"/>
      <c r="B268" s="24"/>
      <c r="D268" s="25"/>
      <c r="E268" s="24"/>
      <c r="F268" s="24"/>
    </row>
    <row r="269" spans="1:6" ht="12.75" x14ac:dyDescent="0.2">
      <c r="A269" s="24"/>
      <c r="B269" s="24"/>
      <c r="D269" s="25"/>
      <c r="E269" s="24"/>
      <c r="F269" s="24"/>
    </row>
    <row r="270" spans="1:6" ht="12.75" x14ac:dyDescent="0.2">
      <c r="A270" s="24"/>
      <c r="B270" s="24"/>
      <c r="D270" s="25"/>
      <c r="E270" s="24"/>
      <c r="F270" s="24"/>
    </row>
    <row r="271" spans="1:6" ht="12.75" x14ac:dyDescent="0.2">
      <c r="A271" s="24"/>
      <c r="B271" s="24"/>
      <c r="D271" s="25"/>
      <c r="E271" s="24"/>
      <c r="F271" s="24"/>
    </row>
    <row r="272" spans="1:6" ht="12.75" x14ac:dyDescent="0.2">
      <c r="A272" s="24"/>
      <c r="B272" s="24"/>
      <c r="D272" s="25"/>
      <c r="E272" s="24"/>
      <c r="F272" s="24"/>
    </row>
    <row r="273" spans="1:6" ht="12.75" x14ac:dyDescent="0.2">
      <c r="A273" s="24"/>
      <c r="B273" s="24"/>
      <c r="D273" s="25"/>
      <c r="E273" s="24"/>
      <c r="F273" s="24"/>
    </row>
    <row r="274" spans="1:6" ht="12.75" x14ac:dyDescent="0.2">
      <c r="A274" s="24"/>
      <c r="B274" s="24"/>
      <c r="D274" s="25"/>
      <c r="E274" s="24"/>
      <c r="F274" s="24"/>
    </row>
    <row r="275" spans="1:6" ht="12.75" x14ac:dyDescent="0.2">
      <c r="A275" s="24"/>
      <c r="B275" s="24"/>
      <c r="D275" s="25"/>
      <c r="E275" s="24"/>
      <c r="F275" s="24"/>
    </row>
    <row r="276" spans="1:6" ht="12.75" x14ac:dyDescent="0.2">
      <c r="A276" s="24"/>
      <c r="B276" s="24"/>
      <c r="D276" s="25"/>
      <c r="E276" s="24"/>
      <c r="F276" s="24"/>
    </row>
    <row r="277" spans="1:6" ht="12.75" x14ac:dyDescent="0.2">
      <c r="A277" s="24"/>
      <c r="B277" s="24"/>
      <c r="D277" s="25"/>
      <c r="E277" s="24"/>
      <c r="F277" s="24"/>
    </row>
    <row r="278" spans="1:6" ht="12.75" x14ac:dyDescent="0.2">
      <c r="A278" s="24"/>
      <c r="B278" s="24"/>
      <c r="D278" s="25"/>
      <c r="E278" s="24"/>
      <c r="F278" s="24"/>
    </row>
    <row r="279" spans="1:6" ht="12.75" x14ac:dyDescent="0.2">
      <c r="A279" s="24"/>
      <c r="B279" s="24"/>
      <c r="D279" s="25"/>
      <c r="E279" s="24"/>
      <c r="F279" s="24"/>
    </row>
    <row r="280" spans="1:6" ht="12.75" x14ac:dyDescent="0.2">
      <c r="A280" s="24"/>
      <c r="B280" s="24"/>
      <c r="D280" s="25"/>
      <c r="E280" s="24"/>
      <c r="F280" s="24"/>
    </row>
    <row r="281" spans="1:6" ht="12.75" x14ac:dyDescent="0.2">
      <c r="A281" s="24"/>
      <c r="B281" s="24"/>
      <c r="D281" s="25"/>
      <c r="E281" s="24"/>
      <c r="F281" s="24"/>
    </row>
    <row r="282" spans="1:6" ht="12.75" x14ac:dyDescent="0.2">
      <c r="A282" s="24"/>
      <c r="B282" s="24"/>
      <c r="D282" s="25"/>
      <c r="E282" s="24"/>
      <c r="F282" s="24"/>
    </row>
    <row r="283" spans="1:6" ht="12.75" x14ac:dyDescent="0.2">
      <c r="A283" s="24"/>
      <c r="B283" s="24"/>
      <c r="D283" s="25"/>
      <c r="E283" s="24"/>
      <c r="F283" s="24"/>
    </row>
    <row r="284" spans="1:6" ht="12.75" x14ac:dyDescent="0.2">
      <c r="A284" s="24"/>
      <c r="B284" s="24"/>
      <c r="D284" s="25"/>
      <c r="E284" s="24"/>
      <c r="F284" s="24"/>
    </row>
    <row r="285" spans="1:6" ht="12.75" x14ac:dyDescent="0.2">
      <c r="A285" s="24"/>
      <c r="B285" s="24"/>
      <c r="D285" s="25"/>
      <c r="E285" s="24"/>
      <c r="F285" s="24"/>
    </row>
    <row r="286" spans="1:6" ht="12.75" x14ac:dyDescent="0.2">
      <c r="A286" s="24"/>
      <c r="B286" s="24"/>
      <c r="D286" s="25"/>
      <c r="E286" s="24"/>
      <c r="F286" s="24"/>
    </row>
    <row r="287" spans="1:6" ht="12.75" x14ac:dyDescent="0.2">
      <c r="A287" s="24"/>
      <c r="B287" s="24"/>
      <c r="D287" s="25"/>
      <c r="E287" s="24"/>
      <c r="F287" s="24"/>
    </row>
    <row r="288" spans="1:6" ht="12.75" x14ac:dyDescent="0.2">
      <c r="A288" s="24"/>
      <c r="B288" s="24"/>
      <c r="D288" s="25"/>
      <c r="E288" s="24"/>
      <c r="F288" s="24"/>
    </row>
    <row r="289" spans="1:6" ht="12.75" x14ac:dyDescent="0.2">
      <c r="A289" s="24"/>
      <c r="B289" s="24"/>
      <c r="D289" s="25"/>
      <c r="E289" s="24"/>
      <c r="F289" s="24"/>
    </row>
    <row r="290" spans="1:6" ht="12.75" x14ac:dyDescent="0.2">
      <c r="A290" s="24"/>
      <c r="B290" s="24"/>
      <c r="D290" s="25"/>
      <c r="E290" s="24"/>
      <c r="F290" s="24"/>
    </row>
    <row r="291" spans="1:6" ht="12.75" x14ac:dyDescent="0.2">
      <c r="A291" s="24"/>
      <c r="B291" s="24"/>
      <c r="D291" s="25"/>
      <c r="E291" s="24"/>
      <c r="F291" s="24"/>
    </row>
    <row r="292" spans="1:6" ht="12.75" x14ac:dyDescent="0.2">
      <c r="A292" s="24"/>
      <c r="B292" s="24"/>
      <c r="D292" s="25"/>
      <c r="E292" s="24"/>
      <c r="F292" s="24"/>
    </row>
    <row r="293" spans="1:6" ht="12.75" x14ac:dyDescent="0.2">
      <c r="A293" s="24"/>
      <c r="B293" s="24"/>
      <c r="D293" s="25"/>
      <c r="E293" s="24"/>
      <c r="F293" s="24"/>
    </row>
    <row r="294" spans="1:6" ht="12.75" x14ac:dyDescent="0.2">
      <c r="A294" s="24"/>
      <c r="B294" s="24"/>
      <c r="D294" s="25"/>
      <c r="E294" s="24"/>
      <c r="F294" s="24"/>
    </row>
    <row r="295" spans="1:6" ht="12.75" x14ac:dyDescent="0.2">
      <c r="A295" s="24"/>
      <c r="B295" s="24"/>
      <c r="D295" s="25"/>
      <c r="E295" s="24"/>
      <c r="F295" s="24"/>
    </row>
    <row r="296" spans="1:6" ht="12.75" x14ac:dyDescent="0.2">
      <c r="A296" s="24"/>
      <c r="B296" s="24"/>
      <c r="D296" s="25"/>
      <c r="E296" s="24"/>
      <c r="F296" s="24"/>
    </row>
    <row r="297" spans="1:6" ht="12.75" x14ac:dyDescent="0.2">
      <c r="A297" s="24"/>
      <c r="B297" s="24"/>
      <c r="D297" s="25"/>
      <c r="E297" s="24"/>
      <c r="F297" s="24"/>
    </row>
    <row r="298" spans="1:6" ht="12.75" x14ac:dyDescent="0.2">
      <c r="A298" s="24"/>
      <c r="B298" s="24"/>
      <c r="D298" s="25"/>
      <c r="E298" s="24"/>
      <c r="F298" s="24"/>
    </row>
    <row r="299" spans="1:6" ht="12.75" x14ac:dyDescent="0.2">
      <c r="A299" s="24"/>
      <c r="B299" s="24"/>
      <c r="D299" s="25"/>
      <c r="E299" s="24"/>
      <c r="F299" s="24"/>
    </row>
    <row r="300" spans="1:6" ht="12.75" x14ac:dyDescent="0.2">
      <c r="A300" s="24"/>
      <c r="B300" s="24"/>
      <c r="D300" s="25"/>
      <c r="E300" s="24"/>
      <c r="F300" s="24"/>
    </row>
    <row r="301" spans="1:6" ht="12.75" x14ac:dyDescent="0.2">
      <c r="A301" s="24"/>
      <c r="B301" s="24"/>
      <c r="D301" s="25"/>
      <c r="E301" s="24"/>
      <c r="F301" s="24"/>
    </row>
    <row r="302" spans="1:6" ht="12.75" x14ac:dyDescent="0.2">
      <c r="A302" s="24"/>
      <c r="B302" s="24"/>
      <c r="D302" s="25"/>
      <c r="E302" s="24"/>
      <c r="F302" s="24"/>
    </row>
    <row r="303" spans="1:6" ht="12.75" x14ac:dyDescent="0.2">
      <c r="A303" s="24"/>
      <c r="B303" s="24"/>
      <c r="D303" s="25"/>
      <c r="E303" s="24"/>
      <c r="F303" s="24"/>
    </row>
    <row r="304" spans="1:6" ht="12.75" x14ac:dyDescent="0.2">
      <c r="A304" s="24"/>
      <c r="B304" s="24"/>
      <c r="D304" s="25"/>
      <c r="E304" s="24"/>
      <c r="F304" s="24"/>
    </row>
    <row r="305" spans="1:6" ht="12.75" x14ac:dyDescent="0.2">
      <c r="A305" s="24"/>
      <c r="B305" s="24"/>
      <c r="D305" s="25"/>
      <c r="E305" s="24"/>
      <c r="F305" s="24"/>
    </row>
    <row r="306" spans="1:6" ht="12.75" x14ac:dyDescent="0.2">
      <c r="A306" s="24"/>
      <c r="B306" s="24"/>
      <c r="D306" s="25"/>
      <c r="E306" s="24"/>
      <c r="F306" s="24"/>
    </row>
    <row r="307" spans="1:6" ht="12.75" x14ac:dyDescent="0.2">
      <c r="A307" s="24"/>
      <c r="B307" s="24"/>
      <c r="D307" s="25"/>
      <c r="E307" s="24"/>
      <c r="F307" s="24"/>
    </row>
    <row r="308" spans="1:6" ht="12.75" x14ac:dyDescent="0.2">
      <c r="A308" s="24"/>
      <c r="B308" s="24"/>
      <c r="D308" s="25"/>
      <c r="E308" s="24"/>
      <c r="F308" s="24"/>
    </row>
    <row r="309" spans="1:6" ht="12.75" x14ac:dyDescent="0.2">
      <c r="A309" s="24"/>
      <c r="B309" s="24"/>
      <c r="D309" s="25"/>
      <c r="E309" s="24"/>
      <c r="F309" s="24"/>
    </row>
    <row r="310" spans="1:6" ht="12.75" x14ac:dyDescent="0.2">
      <c r="A310" s="24"/>
      <c r="B310" s="24"/>
      <c r="D310" s="25"/>
      <c r="E310" s="24"/>
      <c r="F310" s="24"/>
    </row>
    <row r="311" spans="1:6" ht="12.75" x14ac:dyDescent="0.2">
      <c r="A311" s="24"/>
      <c r="B311" s="24"/>
      <c r="D311" s="25"/>
      <c r="E311" s="24"/>
      <c r="F311" s="24"/>
    </row>
    <row r="312" spans="1:6" ht="12.75" x14ac:dyDescent="0.2">
      <c r="A312" s="24"/>
      <c r="B312" s="24"/>
      <c r="D312" s="25"/>
      <c r="E312" s="24"/>
      <c r="F312" s="24"/>
    </row>
    <row r="313" spans="1:6" ht="12.75" x14ac:dyDescent="0.2">
      <c r="A313" s="24"/>
      <c r="B313" s="24"/>
      <c r="D313" s="25"/>
      <c r="E313" s="24"/>
      <c r="F313" s="24"/>
    </row>
    <row r="314" spans="1:6" ht="12.75" x14ac:dyDescent="0.2">
      <c r="A314" s="24"/>
      <c r="B314" s="24"/>
      <c r="D314" s="25"/>
      <c r="E314" s="24"/>
      <c r="F314" s="24"/>
    </row>
    <row r="315" spans="1:6" ht="12.75" x14ac:dyDescent="0.2">
      <c r="A315" s="24"/>
      <c r="B315" s="24"/>
      <c r="D315" s="25"/>
      <c r="E315" s="24"/>
      <c r="F315" s="24"/>
    </row>
    <row r="316" spans="1:6" ht="12.75" x14ac:dyDescent="0.2">
      <c r="A316" s="24"/>
      <c r="B316" s="24"/>
      <c r="D316" s="25"/>
      <c r="E316" s="24"/>
      <c r="F316" s="24"/>
    </row>
    <row r="317" spans="1:6" ht="12.75" x14ac:dyDescent="0.2">
      <c r="A317" s="24"/>
      <c r="B317" s="24"/>
      <c r="D317" s="25"/>
      <c r="E317" s="24"/>
      <c r="F317" s="24"/>
    </row>
    <row r="318" spans="1:6" ht="12.75" x14ac:dyDescent="0.2">
      <c r="A318" s="24"/>
      <c r="B318" s="24"/>
      <c r="D318" s="25"/>
      <c r="E318" s="24"/>
      <c r="F318" s="24"/>
    </row>
    <row r="319" spans="1:6" ht="12.75" x14ac:dyDescent="0.2">
      <c r="A319" s="24"/>
      <c r="B319" s="24"/>
      <c r="D319" s="25"/>
      <c r="E319" s="24"/>
      <c r="F319" s="24"/>
    </row>
    <row r="320" spans="1:6" ht="12.75" x14ac:dyDescent="0.2">
      <c r="A320" s="24"/>
      <c r="B320" s="24"/>
      <c r="D320" s="25"/>
      <c r="E320" s="24"/>
      <c r="F320" s="24"/>
    </row>
    <row r="321" spans="1:6" ht="12.75" x14ac:dyDescent="0.2">
      <c r="A321" s="24"/>
      <c r="B321" s="24"/>
      <c r="D321" s="25"/>
      <c r="E321" s="24"/>
      <c r="F321" s="24"/>
    </row>
    <row r="322" spans="1:6" ht="12.75" x14ac:dyDescent="0.2">
      <c r="A322" s="24"/>
      <c r="B322" s="24"/>
      <c r="D322" s="25"/>
      <c r="E322" s="24"/>
      <c r="F322" s="24"/>
    </row>
    <row r="323" spans="1:6" ht="12.75" x14ac:dyDescent="0.2">
      <c r="A323" s="24"/>
      <c r="B323" s="24"/>
      <c r="D323" s="25"/>
      <c r="E323" s="24"/>
      <c r="F323" s="24"/>
    </row>
    <row r="324" spans="1:6" ht="12.75" x14ac:dyDescent="0.2">
      <c r="A324" s="24"/>
      <c r="B324" s="24"/>
      <c r="D324" s="25"/>
      <c r="E324" s="24"/>
      <c r="F324" s="24"/>
    </row>
    <row r="325" spans="1:6" ht="12.75" x14ac:dyDescent="0.2">
      <c r="A325" s="24"/>
      <c r="B325" s="24"/>
      <c r="D325" s="25"/>
      <c r="E325" s="24"/>
      <c r="F325" s="24"/>
    </row>
    <row r="326" spans="1:6" ht="12.75" x14ac:dyDescent="0.2">
      <c r="A326" s="24"/>
      <c r="B326" s="24"/>
      <c r="D326" s="25"/>
      <c r="E326" s="24"/>
      <c r="F326" s="24"/>
    </row>
    <row r="327" spans="1:6" ht="12.75" x14ac:dyDescent="0.2">
      <c r="A327" s="24"/>
      <c r="B327" s="24"/>
      <c r="D327" s="25"/>
      <c r="E327" s="24"/>
      <c r="F327" s="24"/>
    </row>
    <row r="328" spans="1:6" ht="12.75" x14ac:dyDescent="0.2">
      <c r="A328" s="24"/>
      <c r="B328" s="24"/>
      <c r="D328" s="25"/>
      <c r="E328" s="24"/>
      <c r="F328" s="24"/>
    </row>
    <row r="329" spans="1:6" ht="12.75" x14ac:dyDescent="0.2">
      <c r="A329" s="24"/>
      <c r="B329" s="24"/>
      <c r="D329" s="25"/>
      <c r="E329" s="24"/>
      <c r="F329" s="24"/>
    </row>
    <row r="330" spans="1:6" ht="12.75" x14ac:dyDescent="0.2">
      <c r="A330" s="24"/>
      <c r="B330" s="24"/>
      <c r="D330" s="25"/>
      <c r="E330" s="24"/>
      <c r="F330" s="24"/>
    </row>
    <row r="331" spans="1:6" ht="12.75" x14ac:dyDescent="0.2">
      <c r="A331" s="24"/>
      <c r="B331" s="24"/>
      <c r="D331" s="25"/>
      <c r="E331" s="24"/>
      <c r="F331" s="24"/>
    </row>
    <row r="332" spans="1:6" ht="12.75" x14ac:dyDescent="0.2">
      <c r="A332" s="24"/>
      <c r="B332" s="24"/>
      <c r="D332" s="25"/>
      <c r="E332" s="24"/>
      <c r="F332" s="24"/>
    </row>
    <row r="333" spans="1:6" ht="12.75" x14ac:dyDescent="0.2">
      <c r="A333" s="24"/>
      <c r="B333" s="24"/>
      <c r="D333" s="25"/>
      <c r="E333" s="24"/>
      <c r="F333" s="24"/>
    </row>
    <row r="334" spans="1:6" ht="12.75" x14ac:dyDescent="0.2">
      <c r="A334" s="24"/>
      <c r="B334" s="24"/>
      <c r="D334" s="25"/>
      <c r="E334" s="24"/>
      <c r="F334" s="24"/>
    </row>
    <row r="335" spans="1:6" ht="12.75" x14ac:dyDescent="0.2">
      <c r="A335" s="24"/>
      <c r="B335" s="24"/>
      <c r="D335" s="25"/>
      <c r="E335" s="24"/>
      <c r="F335" s="24"/>
    </row>
    <row r="336" spans="1:6" ht="12.75" x14ac:dyDescent="0.2">
      <c r="A336" s="24"/>
      <c r="B336" s="24"/>
      <c r="D336" s="25"/>
      <c r="E336" s="24"/>
      <c r="F336" s="24"/>
    </row>
    <row r="337" spans="1:6" ht="12.75" x14ac:dyDescent="0.2">
      <c r="A337" s="24"/>
      <c r="B337" s="24"/>
      <c r="D337" s="25"/>
      <c r="E337" s="24"/>
      <c r="F337" s="24"/>
    </row>
    <row r="338" spans="1:6" ht="12.75" x14ac:dyDescent="0.2">
      <c r="A338" s="24"/>
      <c r="B338" s="24"/>
      <c r="D338" s="25"/>
      <c r="E338" s="24"/>
      <c r="F338" s="24"/>
    </row>
    <row r="339" spans="1:6" ht="12.75" x14ac:dyDescent="0.2">
      <c r="A339" s="24"/>
      <c r="B339" s="24"/>
      <c r="D339" s="25"/>
      <c r="E339" s="24"/>
      <c r="F339" s="24"/>
    </row>
    <row r="340" spans="1:6" ht="12.75" x14ac:dyDescent="0.2">
      <c r="A340" s="24"/>
      <c r="B340" s="24"/>
      <c r="D340" s="25"/>
      <c r="E340" s="24"/>
      <c r="F340" s="24"/>
    </row>
    <row r="341" spans="1:6" ht="12.75" x14ac:dyDescent="0.2">
      <c r="A341" s="24"/>
      <c r="B341" s="24"/>
      <c r="D341" s="25"/>
      <c r="E341" s="24"/>
      <c r="F341" s="24"/>
    </row>
    <row r="342" spans="1:6" ht="12.75" x14ac:dyDescent="0.2">
      <c r="A342" s="24"/>
      <c r="B342" s="24"/>
      <c r="D342" s="25"/>
      <c r="E342" s="24"/>
      <c r="F342" s="24"/>
    </row>
    <row r="343" spans="1:6" ht="12.75" x14ac:dyDescent="0.2">
      <c r="A343" s="24"/>
      <c r="B343" s="24"/>
      <c r="D343" s="25"/>
      <c r="E343" s="24"/>
      <c r="F343" s="24"/>
    </row>
    <row r="344" spans="1:6" ht="12.75" x14ac:dyDescent="0.2">
      <c r="A344" s="24"/>
      <c r="B344" s="24"/>
      <c r="D344" s="25"/>
      <c r="E344" s="24"/>
      <c r="F344" s="24"/>
    </row>
    <row r="345" spans="1:6" ht="12.75" x14ac:dyDescent="0.2">
      <c r="A345" s="24"/>
      <c r="B345" s="24"/>
      <c r="D345" s="25"/>
      <c r="E345" s="24"/>
      <c r="F345" s="24"/>
    </row>
    <row r="346" spans="1:6" ht="12.75" x14ac:dyDescent="0.2">
      <c r="A346" s="24"/>
      <c r="B346" s="24"/>
      <c r="D346" s="25"/>
      <c r="E346" s="24"/>
      <c r="F346" s="24"/>
    </row>
    <row r="347" spans="1:6" ht="12.75" x14ac:dyDescent="0.2">
      <c r="A347" s="24"/>
      <c r="B347" s="24"/>
      <c r="D347" s="25"/>
      <c r="E347" s="24"/>
      <c r="F347" s="24"/>
    </row>
    <row r="348" spans="1:6" ht="12.75" x14ac:dyDescent="0.2">
      <c r="A348" s="24"/>
      <c r="B348" s="24"/>
      <c r="D348" s="25"/>
      <c r="E348" s="24"/>
      <c r="F348" s="24"/>
    </row>
    <row r="349" spans="1:6" ht="12.75" x14ac:dyDescent="0.2">
      <c r="A349" s="24"/>
      <c r="B349" s="24"/>
      <c r="D349" s="25"/>
      <c r="E349" s="24"/>
      <c r="F349" s="24"/>
    </row>
    <row r="350" spans="1:6" ht="12.75" x14ac:dyDescent="0.2">
      <c r="A350" s="24"/>
      <c r="B350" s="24"/>
      <c r="D350" s="25"/>
      <c r="E350" s="24"/>
      <c r="F350" s="24"/>
    </row>
    <row r="351" spans="1:6" ht="12.75" x14ac:dyDescent="0.2">
      <c r="A351" s="24"/>
      <c r="B351" s="24"/>
      <c r="D351" s="25"/>
      <c r="E351" s="24"/>
      <c r="F351" s="24"/>
    </row>
    <row r="352" spans="1:6" ht="12.75" x14ac:dyDescent="0.2">
      <c r="A352" s="24"/>
      <c r="B352" s="24"/>
      <c r="D352" s="25"/>
      <c r="E352" s="24"/>
      <c r="F352" s="24"/>
    </row>
    <row r="353" spans="1:6" ht="12.75" x14ac:dyDescent="0.2">
      <c r="A353" s="24"/>
      <c r="B353" s="24"/>
      <c r="D353" s="25"/>
      <c r="E353" s="24"/>
      <c r="F353" s="24"/>
    </row>
    <row r="354" spans="1:6" ht="12.75" x14ac:dyDescent="0.2">
      <c r="A354" s="24"/>
      <c r="B354" s="24"/>
      <c r="D354" s="25"/>
      <c r="E354" s="24"/>
      <c r="F354" s="24"/>
    </row>
    <row r="355" spans="1:6" ht="12.75" x14ac:dyDescent="0.2">
      <c r="A355" s="24"/>
      <c r="B355" s="24"/>
      <c r="D355" s="25"/>
      <c r="E355" s="24"/>
      <c r="F355" s="24"/>
    </row>
    <row r="356" spans="1:6" ht="12.75" x14ac:dyDescent="0.2">
      <c r="A356" s="24"/>
      <c r="B356" s="24"/>
      <c r="D356" s="25"/>
      <c r="E356" s="24"/>
      <c r="F356" s="24"/>
    </row>
    <row r="357" spans="1:6" ht="12.75" x14ac:dyDescent="0.2">
      <c r="A357" s="24"/>
      <c r="B357" s="24"/>
      <c r="D357" s="25"/>
      <c r="E357" s="24"/>
      <c r="F357" s="24"/>
    </row>
    <row r="358" spans="1:6" ht="12.75" x14ac:dyDescent="0.2">
      <c r="A358" s="24"/>
      <c r="B358" s="24"/>
      <c r="D358" s="25"/>
      <c r="E358" s="24"/>
      <c r="F358" s="24"/>
    </row>
    <row r="359" spans="1:6" ht="12.75" x14ac:dyDescent="0.2">
      <c r="A359" s="24"/>
      <c r="B359" s="24"/>
      <c r="D359" s="25"/>
      <c r="E359" s="24"/>
      <c r="F359" s="24"/>
    </row>
    <row r="360" spans="1:6" ht="12.75" x14ac:dyDescent="0.2">
      <c r="A360" s="24"/>
      <c r="B360" s="24"/>
      <c r="D360" s="25"/>
      <c r="E360" s="24"/>
      <c r="F360" s="24"/>
    </row>
    <row r="361" spans="1:6" ht="12.75" x14ac:dyDescent="0.2">
      <c r="A361" s="24"/>
      <c r="B361" s="24"/>
      <c r="D361" s="25"/>
      <c r="E361" s="24"/>
      <c r="F361" s="24"/>
    </row>
    <row r="362" spans="1:6" ht="12.75" x14ac:dyDescent="0.2">
      <c r="A362" s="24"/>
      <c r="B362" s="24"/>
      <c r="D362" s="25"/>
      <c r="E362" s="24"/>
      <c r="F362" s="24"/>
    </row>
    <row r="363" spans="1:6" ht="12.75" x14ac:dyDescent="0.2">
      <c r="A363" s="24"/>
      <c r="B363" s="24"/>
      <c r="D363" s="25"/>
      <c r="E363" s="24"/>
      <c r="F363" s="24"/>
    </row>
    <row r="364" spans="1:6" ht="12.75" x14ac:dyDescent="0.2">
      <c r="A364" s="24"/>
      <c r="B364" s="24"/>
      <c r="D364" s="25"/>
      <c r="E364" s="24"/>
      <c r="F364" s="24"/>
    </row>
    <row r="365" spans="1:6" ht="12.75" x14ac:dyDescent="0.2">
      <c r="A365" s="24"/>
      <c r="B365" s="24"/>
      <c r="D365" s="25"/>
      <c r="E365" s="24"/>
      <c r="F365" s="24"/>
    </row>
    <row r="366" spans="1:6" ht="12.75" x14ac:dyDescent="0.2">
      <c r="A366" s="24"/>
      <c r="B366" s="24"/>
      <c r="D366" s="25"/>
      <c r="E366" s="24"/>
      <c r="F366" s="24"/>
    </row>
    <row r="367" spans="1:6" ht="12.75" x14ac:dyDescent="0.2">
      <c r="A367" s="24"/>
      <c r="B367" s="24"/>
      <c r="D367" s="25"/>
      <c r="E367" s="24"/>
      <c r="F367" s="24"/>
    </row>
    <row r="368" spans="1:6" ht="12.75" x14ac:dyDescent="0.2">
      <c r="A368" s="24"/>
      <c r="B368" s="24"/>
      <c r="D368" s="25"/>
      <c r="E368" s="24"/>
      <c r="F368" s="24"/>
    </row>
    <row r="369" spans="1:6" ht="12.75" x14ac:dyDescent="0.2">
      <c r="A369" s="24"/>
      <c r="B369" s="24"/>
      <c r="D369" s="25"/>
      <c r="E369" s="24"/>
      <c r="F369" s="24"/>
    </row>
    <row r="370" spans="1:6" ht="12.75" x14ac:dyDescent="0.2">
      <c r="A370" s="24"/>
      <c r="B370" s="24"/>
      <c r="D370" s="25"/>
      <c r="E370" s="24"/>
      <c r="F370" s="24"/>
    </row>
    <row r="371" spans="1:6" ht="12.75" x14ac:dyDescent="0.2">
      <c r="A371" s="24"/>
      <c r="B371" s="24"/>
      <c r="D371" s="25"/>
      <c r="E371" s="24"/>
      <c r="F371" s="24"/>
    </row>
    <row r="372" spans="1:6" ht="12.75" x14ac:dyDescent="0.2">
      <c r="A372" s="24"/>
      <c r="B372" s="24"/>
      <c r="D372" s="25"/>
      <c r="E372" s="24"/>
      <c r="F372" s="24"/>
    </row>
    <row r="373" spans="1:6" ht="12.75" x14ac:dyDescent="0.2">
      <c r="A373" s="24"/>
      <c r="B373" s="24"/>
      <c r="D373" s="25"/>
      <c r="E373" s="24"/>
      <c r="F373" s="24"/>
    </row>
    <row r="374" spans="1:6" ht="12.75" x14ac:dyDescent="0.2">
      <c r="A374" s="24"/>
      <c r="B374" s="24"/>
      <c r="D374" s="25"/>
      <c r="E374" s="24"/>
      <c r="F374" s="24"/>
    </row>
    <row r="375" spans="1:6" ht="12.75" x14ac:dyDescent="0.2">
      <c r="A375" s="24"/>
      <c r="B375" s="24"/>
      <c r="D375" s="25"/>
      <c r="E375" s="24"/>
      <c r="F375" s="24"/>
    </row>
    <row r="376" spans="1:6" ht="12.75" x14ac:dyDescent="0.2">
      <c r="A376" s="24"/>
      <c r="B376" s="24"/>
      <c r="D376" s="25"/>
      <c r="E376" s="24"/>
      <c r="F376" s="24"/>
    </row>
    <row r="377" spans="1:6" ht="12.75" x14ac:dyDescent="0.2">
      <c r="A377" s="24"/>
      <c r="B377" s="24"/>
      <c r="D377" s="25"/>
      <c r="E377" s="24"/>
      <c r="F377" s="24"/>
    </row>
    <row r="378" spans="1:6" ht="12.75" x14ac:dyDescent="0.2">
      <c r="A378" s="24"/>
      <c r="B378" s="24"/>
      <c r="D378" s="25"/>
      <c r="E378" s="24"/>
      <c r="F378" s="24"/>
    </row>
    <row r="379" spans="1:6" ht="12.75" x14ac:dyDescent="0.2">
      <c r="A379" s="24"/>
      <c r="B379" s="24"/>
      <c r="D379" s="25"/>
      <c r="E379" s="24"/>
      <c r="F379" s="24"/>
    </row>
    <row r="380" spans="1:6" ht="12.75" x14ac:dyDescent="0.2">
      <c r="A380" s="24"/>
      <c r="B380" s="24"/>
      <c r="D380" s="25"/>
      <c r="E380" s="24"/>
      <c r="F380" s="24"/>
    </row>
    <row r="381" spans="1:6" ht="12.75" x14ac:dyDescent="0.2">
      <c r="A381" s="24"/>
      <c r="B381" s="24"/>
      <c r="D381" s="25"/>
      <c r="E381" s="24"/>
      <c r="F381" s="24"/>
    </row>
    <row r="382" spans="1:6" ht="12.75" x14ac:dyDescent="0.2">
      <c r="A382" s="24"/>
      <c r="B382" s="24"/>
      <c r="D382" s="25"/>
      <c r="E382" s="24"/>
      <c r="F382" s="24"/>
    </row>
    <row r="383" spans="1:6" ht="12.75" x14ac:dyDescent="0.2">
      <c r="A383" s="24"/>
      <c r="B383" s="24"/>
      <c r="D383" s="25"/>
      <c r="E383" s="24"/>
      <c r="F383" s="24"/>
    </row>
    <row r="384" spans="1:6" ht="12.75" x14ac:dyDescent="0.2">
      <c r="A384" s="24"/>
      <c r="B384" s="24"/>
      <c r="D384" s="25"/>
      <c r="E384" s="24"/>
      <c r="F384" s="24"/>
    </row>
    <row r="385" spans="1:6" ht="12.75" x14ac:dyDescent="0.2">
      <c r="A385" s="24"/>
      <c r="B385" s="24"/>
      <c r="D385" s="25"/>
      <c r="E385" s="24"/>
      <c r="F385" s="24"/>
    </row>
    <row r="386" spans="1:6" ht="12.75" x14ac:dyDescent="0.2">
      <c r="A386" s="24"/>
      <c r="B386" s="24"/>
      <c r="D386" s="25"/>
      <c r="E386" s="24"/>
      <c r="F386" s="24"/>
    </row>
    <row r="387" spans="1:6" ht="12.75" x14ac:dyDescent="0.2">
      <c r="A387" s="24"/>
      <c r="B387" s="24"/>
      <c r="D387" s="25"/>
      <c r="E387" s="24"/>
      <c r="F387" s="24"/>
    </row>
    <row r="388" spans="1:6" ht="12.75" x14ac:dyDescent="0.2">
      <c r="A388" s="24"/>
      <c r="B388" s="24"/>
      <c r="D388" s="25"/>
      <c r="E388" s="24"/>
      <c r="F388" s="24"/>
    </row>
    <row r="389" spans="1:6" ht="12.75" x14ac:dyDescent="0.2">
      <c r="A389" s="24"/>
      <c r="B389" s="24"/>
      <c r="D389" s="25"/>
      <c r="E389" s="24"/>
      <c r="F389" s="24"/>
    </row>
    <row r="390" spans="1:6" ht="12.75" x14ac:dyDescent="0.2">
      <c r="A390" s="24"/>
      <c r="B390" s="24"/>
      <c r="D390" s="25"/>
      <c r="E390" s="24"/>
      <c r="F390" s="24"/>
    </row>
    <row r="391" spans="1:6" ht="12.75" x14ac:dyDescent="0.2">
      <c r="A391" s="24"/>
      <c r="B391" s="24"/>
      <c r="D391" s="25"/>
      <c r="E391" s="24"/>
      <c r="F391" s="24"/>
    </row>
    <row r="392" spans="1:6" ht="12.75" x14ac:dyDescent="0.2">
      <c r="A392" s="24"/>
      <c r="B392" s="24"/>
      <c r="D392" s="25"/>
      <c r="E392" s="24"/>
      <c r="F392" s="24"/>
    </row>
    <row r="393" spans="1:6" ht="12.75" x14ac:dyDescent="0.2">
      <c r="A393" s="24"/>
      <c r="B393" s="24"/>
      <c r="D393" s="25"/>
      <c r="E393" s="24"/>
      <c r="F393" s="24"/>
    </row>
    <row r="394" spans="1:6" ht="12.75" x14ac:dyDescent="0.2">
      <c r="A394" s="24"/>
      <c r="B394" s="24"/>
      <c r="D394" s="25"/>
      <c r="E394" s="24"/>
      <c r="F394" s="24"/>
    </row>
    <row r="395" spans="1:6" ht="12.75" x14ac:dyDescent="0.2">
      <c r="A395" s="24"/>
      <c r="B395" s="24"/>
      <c r="D395" s="25"/>
      <c r="E395" s="24"/>
      <c r="F395" s="24"/>
    </row>
    <row r="396" spans="1:6" ht="12.75" x14ac:dyDescent="0.2">
      <c r="A396" s="24"/>
      <c r="B396" s="24"/>
      <c r="D396" s="25"/>
      <c r="E396" s="24"/>
      <c r="F396" s="24"/>
    </row>
    <row r="397" spans="1:6" ht="12.75" x14ac:dyDescent="0.2">
      <c r="A397" s="24"/>
      <c r="B397" s="24"/>
      <c r="D397" s="25"/>
      <c r="E397" s="24"/>
      <c r="F397" s="24"/>
    </row>
    <row r="398" spans="1:6" ht="12.75" x14ac:dyDescent="0.2">
      <c r="A398" s="24"/>
      <c r="B398" s="24"/>
      <c r="D398" s="25"/>
      <c r="E398" s="24"/>
      <c r="F398" s="24"/>
    </row>
    <row r="399" spans="1:6" ht="12.75" x14ac:dyDescent="0.2">
      <c r="A399" s="24"/>
      <c r="B399" s="24"/>
      <c r="D399" s="25"/>
      <c r="E399" s="24"/>
      <c r="F399" s="24"/>
    </row>
    <row r="400" spans="1:6" ht="12.75" x14ac:dyDescent="0.2">
      <c r="A400" s="24"/>
      <c r="B400" s="24"/>
      <c r="D400" s="25"/>
      <c r="E400" s="24"/>
      <c r="F400" s="24"/>
    </row>
    <row r="401" spans="1:6" ht="12.75" x14ac:dyDescent="0.2">
      <c r="A401" s="24"/>
      <c r="B401" s="24"/>
      <c r="D401" s="25"/>
      <c r="E401" s="24"/>
      <c r="F401" s="24"/>
    </row>
    <row r="402" spans="1:6" ht="12.75" x14ac:dyDescent="0.2">
      <c r="A402" s="24"/>
      <c r="B402" s="24"/>
      <c r="D402" s="25"/>
      <c r="E402" s="24"/>
      <c r="F402" s="24"/>
    </row>
    <row r="403" spans="1:6" ht="12.75" x14ac:dyDescent="0.2">
      <c r="A403" s="24"/>
      <c r="B403" s="24"/>
      <c r="D403" s="25"/>
      <c r="E403" s="24"/>
      <c r="F403" s="24"/>
    </row>
    <row r="404" spans="1:6" ht="12.75" x14ac:dyDescent="0.2">
      <c r="A404" s="24"/>
      <c r="B404" s="24"/>
      <c r="D404" s="25"/>
      <c r="E404" s="24"/>
      <c r="F404" s="24"/>
    </row>
    <row r="405" spans="1:6" ht="12.75" x14ac:dyDescent="0.2">
      <c r="A405" s="24"/>
      <c r="B405" s="24"/>
      <c r="D405" s="25"/>
      <c r="E405" s="24"/>
      <c r="F405" s="24"/>
    </row>
    <row r="406" spans="1:6" ht="12.75" x14ac:dyDescent="0.2">
      <c r="A406" s="24"/>
      <c r="B406" s="24"/>
      <c r="D406" s="25"/>
      <c r="E406" s="24"/>
      <c r="F406" s="24"/>
    </row>
    <row r="407" spans="1:6" ht="12.75" x14ac:dyDescent="0.2">
      <c r="A407" s="24"/>
      <c r="B407" s="24"/>
      <c r="D407" s="25"/>
      <c r="E407" s="24"/>
      <c r="F407" s="24"/>
    </row>
    <row r="408" spans="1:6" ht="12.75" x14ac:dyDescent="0.2">
      <c r="A408" s="24"/>
      <c r="B408" s="24"/>
      <c r="D408" s="25"/>
      <c r="E408" s="24"/>
      <c r="F408" s="24"/>
    </row>
    <row r="409" spans="1:6" ht="12.75" x14ac:dyDescent="0.2">
      <c r="A409" s="24"/>
      <c r="B409" s="24"/>
      <c r="D409" s="25"/>
      <c r="E409" s="24"/>
      <c r="F409" s="24"/>
    </row>
    <row r="410" spans="1:6" ht="12.75" x14ac:dyDescent="0.2">
      <c r="A410" s="24"/>
      <c r="B410" s="24"/>
      <c r="D410" s="25"/>
      <c r="E410" s="24"/>
      <c r="F410" s="24"/>
    </row>
    <row r="411" spans="1:6" ht="12.75" x14ac:dyDescent="0.2">
      <c r="A411" s="24"/>
      <c r="B411" s="24"/>
      <c r="D411" s="25"/>
      <c r="E411" s="24"/>
      <c r="F411" s="24"/>
    </row>
    <row r="412" spans="1:6" ht="12.75" x14ac:dyDescent="0.2">
      <c r="A412" s="24"/>
      <c r="B412" s="24"/>
      <c r="D412" s="25"/>
      <c r="E412" s="24"/>
      <c r="F412" s="24"/>
    </row>
    <row r="413" spans="1:6" ht="12.75" x14ac:dyDescent="0.2">
      <c r="A413" s="24"/>
      <c r="B413" s="24"/>
      <c r="D413" s="25"/>
      <c r="E413" s="24"/>
      <c r="F413" s="24"/>
    </row>
    <row r="414" spans="1:6" ht="12.75" x14ac:dyDescent="0.2">
      <c r="A414" s="24"/>
      <c r="B414" s="24"/>
      <c r="D414" s="25"/>
      <c r="E414" s="24"/>
      <c r="F414" s="24"/>
    </row>
    <row r="415" spans="1:6" ht="12.75" x14ac:dyDescent="0.2">
      <c r="A415" s="24"/>
      <c r="B415" s="24"/>
      <c r="D415" s="25"/>
      <c r="E415" s="24"/>
      <c r="F415" s="24"/>
    </row>
    <row r="416" spans="1:6" ht="12.75" x14ac:dyDescent="0.2">
      <c r="A416" s="24"/>
      <c r="B416" s="24"/>
      <c r="D416" s="25"/>
      <c r="E416" s="24"/>
      <c r="F416" s="24"/>
    </row>
    <row r="417" spans="1:6" ht="12.75" x14ac:dyDescent="0.2">
      <c r="A417" s="24"/>
      <c r="B417" s="24"/>
      <c r="D417" s="25"/>
      <c r="E417" s="24"/>
      <c r="F417" s="24"/>
    </row>
    <row r="418" spans="1:6" ht="12.75" x14ac:dyDescent="0.2">
      <c r="A418" s="24"/>
      <c r="B418" s="24"/>
      <c r="D418" s="25"/>
      <c r="E418" s="24"/>
      <c r="F418" s="24"/>
    </row>
    <row r="419" spans="1:6" ht="12.75" x14ac:dyDescent="0.2">
      <c r="A419" s="24"/>
      <c r="B419" s="24"/>
      <c r="D419" s="25"/>
      <c r="E419" s="24"/>
      <c r="F419" s="24"/>
    </row>
    <row r="420" spans="1:6" ht="12.75" x14ac:dyDescent="0.2">
      <c r="A420" s="24"/>
      <c r="B420" s="24"/>
      <c r="D420" s="25"/>
      <c r="E420" s="24"/>
      <c r="F420" s="24"/>
    </row>
    <row r="421" spans="1:6" ht="12.75" x14ac:dyDescent="0.2">
      <c r="A421" s="24"/>
      <c r="B421" s="24"/>
      <c r="D421" s="25"/>
      <c r="E421" s="24"/>
      <c r="F421" s="24"/>
    </row>
    <row r="422" spans="1:6" ht="12.75" x14ac:dyDescent="0.2">
      <c r="A422" s="24"/>
      <c r="B422" s="24"/>
      <c r="D422" s="25"/>
      <c r="E422" s="24"/>
      <c r="F422" s="24"/>
    </row>
    <row r="423" spans="1:6" ht="12.75" x14ac:dyDescent="0.2">
      <c r="A423" s="24"/>
      <c r="B423" s="24"/>
      <c r="D423" s="25"/>
      <c r="E423" s="24"/>
      <c r="F423" s="24"/>
    </row>
    <row r="424" spans="1:6" ht="12.75" x14ac:dyDescent="0.2">
      <c r="A424" s="24"/>
      <c r="B424" s="24"/>
      <c r="D424" s="25"/>
      <c r="E424" s="24"/>
      <c r="F424" s="24"/>
    </row>
    <row r="425" spans="1:6" ht="12.75" x14ac:dyDescent="0.2">
      <c r="A425" s="24"/>
      <c r="B425" s="24"/>
      <c r="D425" s="25"/>
      <c r="E425" s="24"/>
      <c r="F425" s="24"/>
    </row>
    <row r="426" spans="1:6" ht="12.75" x14ac:dyDescent="0.2">
      <c r="A426" s="24"/>
      <c r="B426" s="24"/>
      <c r="D426" s="25"/>
      <c r="E426" s="24"/>
      <c r="F426" s="24"/>
    </row>
    <row r="427" spans="1:6" ht="12.75" x14ac:dyDescent="0.2">
      <c r="A427" s="24"/>
      <c r="B427" s="24"/>
      <c r="D427" s="25"/>
      <c r="E427" s="24"/>
      <c r="F427" s="24"/>
    </row>
    <row r="428" spans="1:6" ht="12.75" x14ac:dyDescent="0.2">
      <c r="A428" s="24"/>
      <c r="B428" s="24"/>
      <c r="D428" s="25"/>
      <c r="E428" s="24"/>
      <c r="F428" s="24"/>
    </row>
    <row r="429" spans="1:6" ht="12.75" x14ac:dyDescent="0.2">
      <c r="A429" s="24"/>
      <c r="B429" s="24"/>
      <c r="D429" s="25"/>
      <c r="E429" s="24"/>
      <c r="F429" s="24"/>
    </row>
    <row r="430" spans="1:6" ht="12.75" x14ac:dyDescent="0.2">
      <c r="A430" s="24"/>
      <c r="B430" s="24"/>
      <c r="D430" s="25"/>
      <c r="E430" s="24"/>
      <c r="F430" s="24"/>
    </row>
    <row r="431" spans="1:6" ht="12.75" x14ac:dyDescent="0.2">
      <c r="A431" s="24"/>
      <c r="B431" s="24"/>
      <c r="D431" s="25"/>
      <c r="E431" s="24"/>
      <c r="F431" s="24"/>
    </row>
    <row r="432" spans="1:6" ht="12.75" x14ac:dyDescent="0.2">
      <c r="A432" s="24"/>
      <c r="B432" s="24"/>
      <c r="D432" s="25"/>
      <c r="E432" s="24"/>
      <c r="F432" s="24"/>
    </row>
    <row r="433" spans="1:6" ht="12.75" x14ac:dyDescent="0.2">
      <c r="A433" s="24"/>
      <c r="B433" s="24"/>
      <c r="D433" s="25"/>
      <c r="E433" s="24"/>
      <c r="F433" s="24"/>
    </row>
    <row r="434" spans="1:6" ht="12.75" x14ac:dyDescent="0.2">
      <c r="A434" s="24"/>
      <c r="B434" s="24"/>
      <c r="D434" s="25"/>
      <c r="E434" s="24"/>
      <c r="F434" s="24"/>
    </row>
    <row r="435" spans="1:6" ht="12.75" x14ac:dyDescent="0.2">
      <c r="A435" s="24"/>
      <c r="B435" s="24"/>
      <c r="D435" s="25"/>
      <c r="E435" s="24"/>
      <c r="F435" s="24"/>
    </row>
    <row r="436" spans="1:6" ht="12.75" x14ac:dyDescent="0.2">
      <c r="A436" s="24"/>
      <c r="B436" s="24"/>
      <c r="D436" s="25"/>
      <c r="E436" s="24"/>
      <c r="F436" s="24"/>
    </row>
    <row r="437" spans="1:6" ht="12.75" x14ac:dyDescent="0.2">
      <c r="A437" s="24"/>
      <c r="B437" s="24"/>
      <c r="D437" s="25"/>
      <c r="E437" s="24"/>
      <c r="F437" s="24"/>
    </row>
    <row r="438" spans="1:6" ht="12.75" x14ac:dyDescent="0.2">
      <c r="A438" s="24"/>
      <c r="B438" s="24"/>
      <c r="D438" s="25"/>
      <c r="E438" s="24"/>
      <c r="F438" s="24"/>
    </row>
    <row r="439" spans="1:6" ht="12.75" x14ac:dyDescent="0.2">
      <c r="A439" s="24"/>
      <c r="B439" s="24"/>
      <c r="D439" s="25"/>
      <c r="E439" s="24"/>
      <c r="F439" s="24"/>
    </row>
    <row r="440" spans="1:6" ht="12.75" x14ac:dyDescent="0.2">
      <c r="A440" s="24"/>
      <c r="B440" s="24"/>
      <c r="D440" s="25"/>
      <c r="E440" s="24"/>
      <c r="F440" s="24"/>
    </row>
    <row r="441" spans="1:6" ht="12.75" x14ac:dyDescent="0.2">
      <c r="A441" s="24"/>
      <c r="B441" s="24"/>
      <c r="D441" s="25"/>
      <c r="E441" s="24"/>
      <c r="F441" s="24"/>
    </row>
    <row r="442" spans="1:6" ht="12.75" x14ac:dyDescent="0.2">
      <c r="A442" s="24"/>
      <c r="B442" s="24"/>
      <c r="D442" s="25"/>
      <c r="E442" s="24"/>
      <c r="F442" s="24"/>
    </row>
    <row r="443" spans="1:6" ht="12.75" x14ac:dyDescent="0.2">
      <c r="A443" s="24"/>
      <c r="B443" s="24"/>
      <c r="D443" s="25"/>
      <c r="E443" s="24"/>
      <c r="F443" s="24"/>
    </row>
    <row r="444" spans="1:6" ht="12.75" x14ac:dyDescent="0.2">
      <c r="A444" s="24"/>
      <c r="B444" s="24"/>
      <c r="D444" s="25"/>
      <c r="E444" s="24"/>
      <c r="F444" s="24"/>
    </row>
    <row r="445" spans="1:6" ht="12.75" x14ac:dyDescent="0.2">
      <c r="A445" s="24"/>
      <c r="B445" s="24"/>
      <c r="D445" s="25"/>
      <c r="E445" s="24"/>
      <c r="F445" s="24"/>
    </row>
    <row r="446" spans="1:6" ht="12.75" x14ac:dyDescent="0.2">
      <c r="A446" s="24"/>
      <c r="B446" s="24"/>
      <c r="D446" s="25"/>
      <c r="E446" s="24"/>
      <c r="F446" s="24"/>
    </row>
    <row r="447" spans="1:6" ht="12.75" x14ac:dyDescent="0.2">
      <c r="A447" s="24"/>
      <c r="B447" s="24"/>
      <c r="D447" s="25"/>
      <c r="E447" s="24"/>
      <c r="F447" s="24"/>
    </row>
    <row r="448" spans="1:6" ht="12.75" x14ac:dyDescent="0.2">
      <c r="A448" s="24"/>
      <c r="B448" s="24"/>
      <c r="D448" s="25"/>
      <c r="E448" s="24"/>
      <c r="F448" s="24"/>
    </row>
    <row r="449" spans="1:6" ht="12.75" x14ac:dyDescent="0.2">
      <c r="A449" s="24"/>
      <c r="B449" s="24"/>
      <c r="D449" s="25"/>
      <c r="E449" s="24"/>
      <c r="F449" s="24"/>
    </row>
    <row r="450" spans="1:6" ht="12.75" x14ac:dyDescent="0.2">
      <c r="A450" s="24"/>
      <c r="B450" s="24"/>
      <c r="D450" s="25"/>
      <c r="E450" s="24"/>
      <c r="F450" s="24"/>
    </row>
    <row r="451" spans="1:6" ht="12.75" x14ac:dyDescent="0.2">
      <c r="A451" s="24"/>
      <c r="B451" s="24"/>
      <c r="D451" s="25"/>
      <c r="E451" s="24"/>
      <c r="F451" s="24"/>
    </row>
    <row r="452" spans="1:6" ht="12.75" x14ac:dyDescent="0.2">
      <c r="A452" s="24"/>
      <c r="B452" s="24"/>
      <c r="D452" s="25"/>
      <c r="E452" s="24"/>
      <c r="F452" s="24"/>
    </row>
    <row r="453" spans="1:6" ht="12.75" x14ac:dyDescent="0.2">
      <c r="A453" s="24"/>
      <c r="B453" s="24"/>
      <c r="D453" s="25"/>
      <c r="E453" s="24"/>
      <c r="F453" s="24"/>
    </row>
    <row r="454" spans="1:6" ht="12.75" x14ac:dyDescent="0.2">
      <c r="A454" s="24"/>
      <c r="B454" s="24"/>
      <c r="D454" s="25"/>
      <c r="E454" s="24"/>
      <c r="F454" s="24"/>
    </row>
    <row r="455" spans="1:6" ht="12.75" x14ac:dyDescent="0.2">
      <c r="A455" s="24"/>
      <c r="B455" s="24"/>
      <c r="D455" s="25"/>
      <c r="E455" s="24"/>
      <c r="F455" s="24"/>
    </row>
    <row r="456" spans="1:6" ht="12.75" x14ac:dyDescent="0.2">
      <c r="A456" s="24"/>
      <c r="B456" s="24"/>
      <c r="D456" s="25"/>
      <c r="E456" s="24"/>
      <c r="F456" s="24"/>
    </row>
    <row r="457" spans="1:6" ht="12.75" x14ac:dyDescent="0.2">
      <c r="A457" s="24"/>
      <c r="B457" s="24"/>
      <c r="D457" s="25"/>
      <c r="E457" s="24"/>
      <c r="F457" s="24"/>
    </row>
    <row r="458" spans="1:6" ht="12.75" x14ac:dyDescent="0.2">
      <c r="A458" s="24"/>
      <c r="B458" s="24"/>
      <c r="D458" s="25"/>
      <c r="E458" s="24"/>
      <c r="F458" s="24"/>
    </row>
    <row r="459" spans="1:6" ht="12.75" x14ac:dyDescent="0.2">
      <c r="A459" s="24"/>
      <c r="B459" s="24"/>
      <c r="D459" s="25"/>
      <c r="E459" s="24"/>
      <c r="F459" s="24"/>
    </row>
    <row r="460" spans="1:6" ht="12.75" x14ac:dyDescent="0.2">
      <c r="A460" s="24"/>
      <c r="B460" s="24"/>
      <c r="D460" s="25"/>
      <c r="E460" s="24"/>
      <c r="F460" s="24"/>
    </row>
    <row r="461" spans="1:6" ht="12.75" x14ac:dyDescent="0.2">
      <c r="A461" s="24"/>
      <c r="B461" s="24"/>
      <c r="D461" s="25"/>
      <c r="E461" s="24"/>
      <c r="F461" s="24"/>
    </row>
    <row r="462" spans="1:6" ht="12.75" x14ac:dyDescent="0.2">
      <c r="A462" s="24"/>
      <c r="B462" s="24"/>
      <c r="D462" s="25"/>
      <c r="E462" s="24"/>
      <c r="F462" s="24"/>
    </row>
    <row r="463" spans="1:6" ht="12.75" x14ac:dyDescent="0.2">
      <c r="A463" s="24"/>
      <c r="B463" s="24"/>
      <c r="D463" s="25"/>
      <c r="E463" s="24"/>
      <c r="F463" s="24"/>
    </row>
    <row r="464" spans="1:6" ht="12.75" x14ac:dyDescent="0.2">
      <c r="A464" s="24"/>
      <c r="B464" s="24"/>
      <c r="D464" s="25"/>
      <c r="E464" s="24"/>
      <c r="F464" s="24"/>
    </row>
    <row r="465" spans="1:6" ht="12.75" x14ac:dyDescent="0.2">
      <c r="A465" s="24"/>
      <c r="B465" s="24"/>
      <c r="D465" s="25"/>
      <c r="E465" s="24"/>
      <c r="F465" s="24"/>
    </row>
    <row r="466" spans="1:6" ht="12.75" x14ac:dyDescent="0.2">
      <c r="A466" s="24"/>
      <c r="B466" s="24"/>
      <c r="D466" s="25"/>
      <c r="E466" s="24"/>
      <c r="F466" s="24"/>
    </row>
    <row r="467" spans="1:6" ht="12.75" x14ac:dyDescent="0.2">
      <c r="A467" s="24"/>
      <c r="B467" s="24"/>
      <c r="D467" s="25"/>
      <c r="E467" s="24"/>
      <c r="F467" s="24"/>
    </row>
    <row r="468" spans="1:6" ht="12.75" x14ac:dyDescent="0.2">
      <c r="A468" s="24"/>
      <c r="B468" s="24"/>
      <c r="D468" s="25"/>
      <c r="E468" s="24"/>
      <c r="F468" s="24"/>
    </row>
    <row r="469" spans="1:6" ht="12.75" x14ac:dyDescent="0.2">
      <c r="A469" s="24"/>
      <c r="B469" s="24"/>
      <c r="D469" s="25"/>
      <c r="E469" s="24"/>
      <c r="F469" s="24"/>
    </row>
    <row r="470" spans="1:6" ht="12.75" x14ac:dyDescent="0.2">
      <c r="A470" s="24"/>
      <c r="B470" s="24"/>
      <c r="D470" s="25"/>
      <c r="E470" s="24"/>
      <c r="F470" s="24"/>
    </row>
    <row r="471" spans="1:6" ht="12.75" x14ac:dyDescent="0.2">
      <c r="A471" s="24"/>
      <c r="B471" s="24"/>
      <c r="D471" s="25"/>
      <c r="E471" s="24"/>
      <c r="F471" s="24"/>
    </row>
    <row r="472" spans="1:6" ht="12.75" x14ac:dyDescent="0.2">
      <c r="A472" s="24"/>
      <c r="B472" s="24"/>
      <c r="D472" s="25"/>
      <c r="E472" s="24"/>
      <c r="F472" s="24"/>
    </row>
    <row r="473" spans="1:6" ht="12.75" x14ac:dyDescent="0.2">
      <c r="A473" s="24"/>
      <c r="B473" s="24"/>
      <c r="D473" s="25"/>
      <c r="E473" s="24"/>
      <c r="F473" s="24"/>
    </row>
    <row r="474" spans="1:6" ht="12.75" x14ac:dyDescent="0.2">
      <c r="A474" s="24"/>
      <c r="B474" s="24"/>
      <c r="D474" s="25"/>
      <c r="E474" s="24"/>
      <c r="F474" s="24"/>
    </row>
    <row r="475" spans="1:6" ht="12.75" x14ac:dyDescent="0.2">
      <c r="A475" s="24"/>
      <c r="B475" s="24"/>
      <c r="D475" s="25"/>
      <c r="E475" s="24"/>
      <c r="F475" s="24"/>
    </row>
    <row r="476" spans="1:6" ht="12.75" x14ac:dyDescent="0.2">
      <c r="A476" s="24"/>
      <c r="B476" s="24"/>
      <c r="D476" s="25"/>
      <c r="E476" s="24"/>
      <c r="F476" s="24"/>
    </row>
    <row r="477" spans="1:6" ht="12.75" x14ac:dyDescent="0.2">
      <c r="A477" s="24"/>
      <c r="B477" s="24"/>
      <c r="D477" s="25"/>
      <c r="E477" s="24"/>
      <c r="F477" s="24"/>
    </row>
    <row r="478" spans="1:6" ht="12.75" x14ac:dyDescent="0.2">
      <c r="A478" s="24"/>
      <c r="B478" s="24"/>
      <c r="D478" s="25"/>
      <c r="E478" s="24"/>
      <c r="F478" s="24"/>
    </row>
    <row r="479" spans="1:6" ht="12.75" x14ac:dyDescent="0.2">
      <c r="A479" s="24"/>
      <c r="B479" s="24"/>
      <c r="D479" s="25"/>
      <c r="E479" s="24"/>
      <c r="F479" s="24"/>
    </row>
    <row r="480" spans="1:6" ht="12.75" x14ac:dyDescent="0.2">
      <c r="A480" s="24"/>
      <c r="B480" s="24"/>
      <c r="D480" s="25"/>
      <c r="E480" s="24"/>
      <c r="F480" s="24"/>
    </row>
    <row r="481" spans="1:6" ht="12.75" x14ac:dyDescent="0.2">
      <c r="A481" s="24"/>
      <c r="B481" s="24"/>
      <c r="D481" s="25"/>
      <c r="E481" s="24"/>
      <c r="F481" s="24"/>
    </row>
    <row r="482" spans="1:6" ht="12.75" x14ac:dyDescent="0.2">
      <c r="A482" s="24"/>
      <c r="B482" s="24"/>
      <c r="D482" s="25"/>
      <c r="E482" s="24"/>
      <c r="F482" s="24"/>
    </row>
    <row r="483" spans="1:6" ht="12.75" x14ac:dyDescent="0.2">
      <c r="A483" s="24"/>
      <c r="B483" s="24"/>
      <c r="D483" s="25"/>
      <c r="E483" s="24"/>
      <c r="F483" s="24"/>
    </row>
    <row r="484" spans="1:6" ht="12.75" x14ac:dyDescent="0.2">
      <c r="A484" s="24"/>
      <c r="B484" s="24"/>
      <c r="D484" s="25"/>
      <c r="E484" s="24"/>
      <c r="F484" s="24"/>
    </row>
    <row r="485" spans="1:6" ht="12.75" x14ac:dyDescent="0.2">
      <c r="A485" s="24"/>
      <c r="B485" s="24"/>
      <c r="D485" s="25"/>
      <c r="E485" s="24"/>
      <c r="F485" s="24"/>
    </row>
    <row r="486" spans="1:6" ht="12.75" x14ac:dyDescent="0.2">
      <c r="A486" s="24"/>
      <c r="B486" s="24"/>
      <c r="D486" s="25"/>
      <c r="E486" s="24"/>
      <c r="F486" s="24"/>
    </row>
    <row r="487" spans="1:6" ht="12.75" x14ac:dyDescent="0.2">
      <c r="A487" s="24"/>
      <c r="B487" s="24"/>
      <c r="D487" s="25"/>
      <c r="E487" s="24"/>
      <c r="F487" s="24"/>
    </row>
    <row r="488" spans="1:6" ht="12.75" x14ac:dyDescent="0.2">
      <c r="A488" s="24"/>
      <c r="B488" s="24"/>
      <c r="D488" s="25"/>
      <c r="E488" s="24"/>
      <c r="F488" s="24"/>
    </row>
    <row r="489" spans="1:6" ht="12.75" x14ac:dyDescent="0.2">
      <c r="A489" s="24"/>
      <c r="B489" s="24"/>
      <c r="D489" s="25"/>
      <c r="E489" s="24"/>
      <c r="F489" s="24"/>
    </row>
    <row r="490" spans="1:6" ht="12.75" x14ac:dyDescent="0.2">
      <c r="A490" s="24"/>
      <c r="B490" s="24"/>
      <c r="D490" s="25"/>
      <c r="E490" s="24"/>
      <c r="F490" s="24"/>
    </row>
    <row r="491" spans="1:6" ht="12.75" x14ac:dyDescent="0.2">
      <c r="A491" s="24"/>
      <c r="B491" s="24"/>
      <c r="D491" s="25"/>
      <c r="E491" s="24"/>
      <c r="F491" s="24"/>
    </row>
    <row r="492" spans="1:6" ht="12.75" x14ac:dyDescent="0.2">
      <c r="A492" s="24"/>
      <c r="B492" s="24"/>
      <c r="D492" s="25"/>
      <c r="E492" s="24"/>
      <c r="F492" s="24"/>
    </row>
    <row r="493" spans="1:6" ht="12.75" x14ac:dyDescent="0.2">
      <c r="A493" s="24"/>
      <c r="B493" s="24"/>
      <c r="D493" s="25"/>
      <c r="E493" s="24"/>
      <c r="F493" s="24"/>
    </row>
    <row r="494" spans="1:6" ht="12.75" x14ac:dyDescent="0.2">
      <c r="A494" s="24"/>
      <c r="B494" s="24"/>
      <c r="D494" s="25"/>
      <c r="E494" s="24"/>
      <c r="F494" s="24"/>
    </row>
    <row r="495" spans="1:6" ht="12.75" x14ac:dyDescent="0.2">
      <c r="A495" s="24"/>
      <c r="B495" s="24"/>
      <c r="D495" s="25"/>
      <c r="E495" s="24"/>
      <c r="F495" s="24"/>
    </row>
    <row r="496" spans="1:6" ht="12.75" x14ac:dyDescent="0.2">
      <c r="A496" s="24"/>
      <c r="B496" s="24"/>
      <c r="D496" s="25"/>
      <c r="E496" s="24"/>
      <c r="F496" s="24"/>
    </row>
    <row r="497" spans="1:6" ht="12.75" x14ac:dyDescent="0.2">
      <c r="A497" s="24"/>
      <c r="B497" s="24"/>
      <c r="D497" s="25"/>
      <c r="E497" s="24"/>
      <c r="F497" s="24"/>
    </row>
    <row r="498" spans="1:6" ht="12.75" x14ac:dyDescent="0.2">
      <c r="A498" s="24"/>
      <c r="B498" s="24"/>
      <c r="D498" s="25"/>
      <c r="E498" s="24"/>
      <c r="F498" s="24"/>
    </row>
    <row r="499" spans="1:6" ht="12.75" x14ac:dyDescent="0.2">
      <c r="A499" s="24"/>
      <c r="B499" s="24"/>
      <c r="D499" s="25"/>
      <c r="E499" s="24"/>
      <c r="F499" s="24"/>
    </row>
    <row r="500" spans="1:6" ht="12.75" x14ac:dyDescent="0.2">
      <c r="A500" s="24"/>
      <c r="B500" s="24"/>
      <c r="D500" s="25"/>
      <c r="E500" s="24"/>
      <c r="F500" s="24"/>
    </row>
    <row r="501" spans="1:6" ht="12.75" x14ac:dyDescent="0.2">
      <c r="A501" s="24"/>
      <c r="B501" s="24"/>
      <c r="D501" s="25"/>
      <c r="E501" s="24"/>
      <c r="F501" s="24"/>
    </row>
    <row r="502" spans="1:6" ht="12.75" x14ac:dyDescent="0.2">
      <c r="A502" s="24"/>
      <c r="B502" s="24"/>
      <c r="D502" s="25"/>
      <c r="E502" s="24"/>
      <c r="F502" s="24"/>
    </row>
    <row r="503" spans="1:6" ht="12.75" x14ac:dyDescent="0.2">
      <c r="A503" s="24"/>
      <c r="B503" s="24"/>
      <c r="D503" s="25"/>
      <c r="E503" s="24"/>
      <c r="F503" s="24"/>
    </row>
    <row r="504" spans="1:6" ht="12.75" x14ac:dyDescent="0.2">
      <c r="A504" s="24"/>
      <c r="B504" s="24"/>
      <c r="D504" s="25"/>
      <c r="E504" s="24"/>
      <c r="F504" s="24"/>
    </row>
    <row r="505" spans="1:6" ht="12.75" x14ac:dyDescent="0.2">
      <c r="A505" s="24"/>
      <c r="B505" s="24"/>
      <c r="D505" s="25"/>
      <c r="E505" s="24"/>
      <c r="F505" s="24"/>
    </row>
    <row r="506" spans="1:6" ht="12.75" x14ac:dyDescent="0.2">
      <c r="A506" s="24"/>
      <c r="B506" s="24"/>
      <c r="D506" s="25"/>
      <c r="E506" s="24"/>
      <c r="F506" s="24"/>
    </row>
    <row r="507" spans="1:6" ht="12.75" x14ac:dyDescent="0.2">
      <c r="A507" s="24"/>
      <c r="B507" s="24"/>
      <c r="D507" s="25"/>
      <c r="E507" s="24"/>
      <c r="F507" s="24"/>
    </row>
    <row r="508" spans="1:6" ht="12.75" x14ac:dyDescent="0.2">
      <c r="A508" s="24"/>
      <c r="B508" s="24"/>
      <c r="D508" s="25"/>
      <c r="E508" s="24"/>
      <c r="F508" s="24"/>
    </row>
    <row r="509" spans="1:6" ht="12.75" x14ac:dyDescent="0.2">
      <c r="A509" s="24"/>
      <c r="B509" s="24"/>
      <c r="D509" s="25"/>
      <c r="E509" s="24"/>
      <c r="F509" s="24"/>
    </row>
    <row r="510" spans="1:6" ht="12.75" x14ac:dyDescent="0.2">
      <c r="A510" s="24"/>
      <c r="B510" s="24"/>
      <c r="D510" s="25"/>
      <c r="E510" s="24"/>
      <c r="F510" s="24"/>
    </row>
    <row r="511" spans="1:6" ht="12.75" x14ac:dyDescent="0.2">
      <c r="A511" s="24"/>
      <c r="B511" s="24"/>
      <c r="D511" s="25"/>
      <c r="E511" s="24"/>
      <c r="F511" s="24"/>
    </row>
    <row r="512" spans="1:6" ht="12.75" x14ac:dyDescent="0.2">
      <c r="A512" s="24"/>
      <c r="B512" s="24"/>
      <c r="D512" s="25"/>
      <c r="E512" s="24"/>
      <c r="F512" s="24"/>
    </row>
    <row r="513" spans="1:6" ht="12.75" x14ac:dyDescent="0.2">
      <c r="A513" s="24"/>
      <c r="B513" s="24"/>
      <c r="D513" s="25"/>
      <c r="E513" s="24"/>
      <c r="F513" s="24"/>
    </row>
    <row r="514" spans="1:6" ht="12.75" x14ac:dyDescent="0.2">
      <c r="A514" s="24"/>
      <c r="B514" s="24"/>
      <c r="D514" s="25"/>
      <c r="E514" s="24"/>
      <c r="F514" s="24"/>
    </row>
    <row r="515" spans="1:6" ht="12.75" x14ac:dyDescent="0.2">
      <c r="A515" s="24"/>
      <c r="B515" s="24"/>
      <c r="D515" s="25"/>
      <c r="E515" s="24"/>
      <c r="F515" s="24"/>
    </row>
    <row r="516" spans="1:6" ht="12.75" x14ac:dyDescent="0.2">
      <c r="A516" s="24"/>
      <c r="B516" s="24"/>
      <c r="D516" s="25"/>
      <c r="E516" s="24"/>
      <c r="F516" s="24"/>
    </row>
    <row r="517" spans="1:6" ht="12.75" x14ac:dyDescent="0.2">
      <c r="A517" s="24"/>
      <c r="B517" s="24"/>
      <c r="D517" s="25"/>
      <c r="E517" s="24"/>
      <c r="F517" s="24"/>
    </row>
    <row r="518" spans="1:6" ht="12.75" x14ac:dyDescent="0.2">
      <c r="A518" s="24"/>
      <c r="B518" s="24"/>
      <c r="D518" s="25"/>
      <c r="E518" s="24"/>
      <c r="F518" s="24"/>
    </row>
    <row r="519" spans="1:6" ht="12.75" x14ac:dyDescent="0.2">
      <c r="A519" s="24"/>
      <c r="B519" s="24"/>
      <c r="D519" s="25"/>
      <c r="E519" s="24"/>
      <c r="F519" s="24"/>
    </row>
    <row r="520" spans="1:6" ht="12.75" x14ac:dyDescent="0.2">
      <c r="A520" s="24"/>
      <c r="B520" s="24"/>
      <c r="D520" s="25"/>
      <c r="E520" s="24"/>
      <c r="F520" s="24"/>
    </row>
    <row r="521" spans="1:6" ht="12.75" x14ac:dyDescent="0.2">
      <c r="A521" s="24"/>
      <c r="B521" s="24"/>
      <c r="D521" s="25"/>
      <c r="E521" s="24"/>
      <c r="F521" s="24"/>
    </row>
    <row r="522" spans="1:6" ht="12.75" x14ac:dyDescent="0.2">
      <c r="A522" s="24"/>
      <c r="B522" s="24"/>
      <c r="D522" s="25"/>
      <c r="E522" s="24"/>
      <c r="F522" s="24"/>
    </row>
    <row r="523" spans="1:6" ht="12.75" x14ac:dyDescent="0.2">
      <c r="A523" s="24"/>
      <c r="B523" s="24"/>
      <c r="D523" s="25"/>
      <c r="E523" s="24"/>
      <c r="F523" s="24"/>
    </row>
    <row r="524" spans="1:6" ht="12.75" x14ac:dyDescent="0.2">
      <c r="A524" s="24"/>
      <c r="B524" s="24"/>
      <c r="D524" s="25"/>
      <c r="E524" s="24"/>
      <c r="F524" s="24"/>
    </row>
    <row r="525" spans="1:6" ht="12.75" x14ac:dyDescent="0.2">
      <c r="A525" s="24"/>
      <c r="B525" s="24"/>
      <c r="D525" s="25"/>
      <c r="E525" s="24"/>
      <c r="F525" s="24"/>
    </row>
    <row r="526" spans="1:6" ht="12.75" x14ac:dyDescent="0.2">
      <c r="A526" s="24"/>
      <c r="B526" s="24"/>
      <c r="D526" s="25"/>
      <c r="E526" s="24"/>
      <c r="F526" s="24"/>
    </row>
    <row r="527" spans="1:6" ht="12.75" x14ac:dyDescent="0.2">
      <c r="A527" s="24"/>
      <c r="B527" s="24"/>
      <c r="D527" s="25"/>
      <c r="E527" s="24"/>
      <c r="F527" s="24"/>
    </row>
    <row r="528" spans="1:6" ht="12.75" x14ac:dyDescent="0.2">
      <c r="A528" s="24"/>
      <c r="B528" s="24"/>
      <c r="D528" s="25"/>
      <c r="E528" s="24"/>
      <c r="F528" s="24"/>
    </row>
    <row r="529" spans="1:6" ht="12.75" x14ac:dyDescent="0.2">
      <c r="A529" s="24"/>
      <c r="B529" s="24"/>
      <c r="D529" s="25"/>
      <c r="E529" s="24"/>
      <c r="F529" s="24"/>
    </row>
    <row r="530" spans="1:6" ht="12.75" x14ac:dyDescent="0.2">
      <c r="A530" s="24"/>
      <c r="B530" s="24"/>
      <c r="D530" s="25"/>
      <c r="E530" s="24"/>
      <c r="F530" s="24"/>
    </row>
    <row r="531" spans="1:6" ht="12.75" x14ac:dyDescent="0.2">
      <c r="A531" s="24"/>
      <c r="B531" s="24"/>
      <c r="D531" s="25"/>
      <c r="E531" s="24"/>
      <c r="F531" s="24"/>
    </row>
    <row r="532" spans="1:6" ht="12.75" x14ac:dyDescent="0.2">
      <c r="A532" s="24"/>
      <c r="B532" s="24"/>
      <c r="D532" s="25"/>
      <c r="E532" s="24"/>
      <c r="F532" s="24"/>
    </row>
    <row r="533" spans="1:6" ht="12.75" x14ac:dyDescent="0.2">
      <c r="A533" s="24"/>
      <c r="B533" s="24"/>
      <c r="D533" s="25"/>
      <c r="E533" s="24"/>
      <c r="F533" s="24"/>
    </row>
    <row r="534" spans="1:6" ht="12.75" x14ac:dyDescent="0.2">
      <c r="A534" s="24"/>
      <c r="B534" s="24"/>
      <c r="D534" s="25"/>
      <c r="E534" s="24"/>
      <c r="F534" s="24"/>
    </row>
    <row r="535" spans="1:6" ht="12.75" x14ac:dyDescent="0.2">
      <c r="A535" s="24"/>
      <c r="B535" s="24"/>
      <c r="D535" s="25"/>
      <c r="E535" s="24"/>
      <c r="F535" s="24"/>
    </row>
    <row r="536" spans="1:6" ht="12.75" x14ac:dyDescent="0.2">
      <c r="A536" s="24"/>
      <c r="B536" s="24"/>
      <c r="D536" s="25"/>
      <c r="E536" s="24"/>
      <c r="F536" s="24"/>
    </row>
    <row r="537" spans="1:6" ht="12.75" x14ac:dyDescent="0.2">
      <c r="A537" s="24"/>
      <c r="B537" s="24"/>
      <c r="D537" s="25"/>
      <c r="E537" s="24"/>
      <c r="F537" s="24"/>
    </row>
    <row r="538" spans="1:6" ht="12.75" x14ac:dyDescent="0.2">
      <c r="A538" s="24"/>
      <c r="B538" s="24"/>
      <c r="D538" s="25"/>
      <c r="E538" s="24"/>
      <c r="F538" s="24"/>
    </row>
    <row r="539" spans="1:6" ht="12.75" x14ac:dyDescent="0.2">
      <c r="A539" s="24"/>
      <c r="B539" s="24"/>
      <c r="D539" s="25"/>
      <c r="E539" s="24"/>
      <c r="F539" s="24"/>
    </row>
    <row r="540" spans="1:6" ht="12.75" x14ac:dyDescent="0.2">
      <c r="A540" s="24"/>
      <c r="B540" s="24"/>
      <c r="D540" s="25"/>
      <c r="E540" s="24"/>
      <c r="F540" s="24"/>
    </row>
    <row r="541" spans="1:6" ht="12.75" x14ac:dyDescent="0.2">
      <c r="A541" s="24"/>
      <c r="B541" s="24"/>
      <c r="D541" s="25"/>
      <c r="E541" s="24"/>
      <c r="F541" s="24"/>
    </row>
    <row r="542" spans="1:6" ht="12.75" x14ac:dyDescent="0.2">
      <c r="A542" s="24"/>
      <c r="B542" s="24"/>
      <c r="D542" s="25"/>
      <c r="E542" s="24"/>
      <c r="F542" s="24"/>
    </row>
    <row r="543" spans="1:6" ht="12.75" x14ac:dyDescent="0.2">
      <c r="A543" s="24"/>
      <c r="B543" s="24"/>
      <c r="D543" s="25"/>
      <c r="E543" s="24"/>
      <c r="F543" s="24"/>
    </row>
    <row r="544" spans="1:6" ht="12.75" x14ac:dyDescent="0.2">
      <c r="A544" s="24"/>
      <c r="B544" s="24"/>
      <c r="D544" s="25"/>
      <c r="E544" s="24"/>
      <c r="F544" s="24"/>
    </row>
    <row r="545" spans="1:6" ht="12.75" x14ac:dyDescent="0.2">
      <c r="A545" s="24"/>
      <c r="B545" s="24"/>
      <c r="D545" s="25"/>
      <c r="E545" s="24"/>
      <c r="F545" s="24"/>
    </row>
    <row r="546" spans="1:6" ht="12.75" x14ac:dyDescent="0.2">
      <c r="A546" s="24"/>
      <c r="B546" s="24"/>
      <c r="D546" s="25"/>
      <c r="E546" s="24"/>
      <c r="F546" s="24"/>
    </row>
    <row r="547" spans="1:6" ht="12.75" x14ac:dyDescent="0.2">
      <c r="A547" s="24"/>
      <c r="B547" s="24"/>
      <c r="D547" s="25"/>
      <c r="E547" s="24"/>
      <c r="F547" s="24"/>
    </row>
    <row r="548" spans="1:6" ht="12.75" x14ac:dyDescent="0.2">
      <c r="A548" s="24"/>
      <c r="B548" s="24"/>
      <c r="D548" s="25"/>
      <c r="E548" s="24"/>
      <c r="F548" s="24"/>
    </row>
    <row r="549" spans="1:6" ht="12.75" x14ac:dyDescent="0.2">
      <c r="A549" s="24"/>
      <c r="B549" s="24"/>
      <c r="D549" s="25"/>
      <c r="E549" s="24"/>
      <c r="F549" s="24"/>
    </row>
    <row r="550" spans="1:6" ht="12.75" x14ac:dyDescent="0.2">
      <c r="A550" s="24"/>
      <c r="B550" s="24"/>
      <c r="D550" s="25"/>
      <c r="E550" s="24"/>
      <c r="F550" s="24"/>
    </row>
    <row r="551" spans="1:6" ht="12.75" x14ac:dyDescent="0.2">
      <c r="A551" s="24"/>
      <c r="B551" s="24"/>
      <c r="D551" s="25"/>
      <c r="E551" s="24"/>
      <c r="F551" s="24"/>
    </row>
    <row r="552" spans="1:6" ht="12.75" x14ac:dyDescent="0.2">
      <c r="A552" s="24"/>
      <c r="B552" s="24"/>
      <c r="D552" s="25"/>
      <c r="E552" s="24"/>
      <c r="F552" s="24"/>
    </row>
    <row r="553" spans="1:6" ht="12.75" x14ac:dyDescent="0.2">
      <c r="A553" s="24"/>
      <c r="B553" s="24"/>
      <c r="D553" s="25"/>
      <c r="E553" s="24"/>
      <c r="F553" s="24"/>
    </row>
    <row r="554" spans="1:6" ht="12.75" x14ac:dyDescent="0.2">
      <c r="A554" s="24"/>
      <c r="B554" s="24"/>
      <c r="D554" s="25"/>
      <c r="E554" s="24"/>
      <c r="F554" s="24"/>
    </row>
    <row r="555" spans="1:6" ht="12.75" x14ac:dyDescent="0.2">
      <c r="A555" s="24"/>
      <c r="B555" s="24"/>
      <c r="D555" s="25"/>
      <c r="E555" s="24"/>
      <c r="F555" s="24"/>
    </row>
    <row r="556" spans="1:6" ht="12.75" x14ac:dyDescent="0.2">
      <c r="A556" s="24"/>
      <c r="B556" s="24"/>
      <c r="D556" s="25"/>
      <c r="E556" s="24"/>
      <c r="F556" s="24"/>
    </row>
    <row r="557" spans="1:6" ht="12.75" x14ac:dyDescent="0.2">
      <c r="A557" s="24"/>
      <c r="B557" s="24"/>
      <c r="D557" s="25"/>
      <c r="E557" s="24"/>
      <c r="F557" s="24"/>
    </row>
    <row r="558" spans="1:6" ht="12.75" x14ac:dyDescent="0.2">
      <c r="A558" s="24"/>
      <c r="B558" s="24"/>
      <c r="D558" s="25"/>
      <c r="E558" s="24"/>
      <c r="F558" s="24"/>
    </row>
    <row r="559" spans="1:6" ht="12.75" x14ac:dyDescent="0.2">
      <c r="A559" s="24"/>
      <c r="B559" s="24"/>
      <c r="D559" s="25"/>
      <c r="E559" s="24"/>
      <c r="F559" s="24"/>
    </row>
    <row r="560" spans="1:6" ht="12.75" x14ac:dyDescent="0.2">
      <c r="A560" s="24"/>
      <c r="B560" s="24"/>
      <c r="D560" s="25"/>
      <c r="E560" s="24"/>
      <c r="F560" s="24"/>
    </row>
    <row r="561" spans="1:6" ht="12.75" x14ac:dyDescent="0.2">
      <c r="A561" s="24"/>
      <c r="B561" s="24"/>
      <c r="D561" s="25"/>
      <c r="E561" s="24"/>
      <c r="F561" s="24"/>
    </row>
    <row r="562" spans="1:6" ht="12.75" x14ac:dyDescent="0.2">
      <c r="A562" s="24"/>
      <c r="B562" s="24"/>
      <c r="D562" s="25"/>
      <c r="E562" s="24"/>
      <c r="F562" s="24"/>
    </row>
    <row r="563" spans="1:6" ht="12.75" x14ac:dyDescent="0.2">
      <c r="A563" s="24"/>
      <c r="B563" s="24"/>
      <c r="D563" s="25"/>
      <c r="E563" s="24"/>
      <c r="F563" s="24"/>
    </row>
    <row r="564" spans="1:6" ht="12.75" x14ac:dyDescent="0.2">
      <c r="A564" s="24"/>
      <c r="B564" s="24"/>
      <c r="D564" s="25"/>
      <c r="E564" s="24"/>
      <c r="F564" s="24"/>
    </row>
    <row r="565" spans="1:6" ht="12.75" x14ac:dyDescent="0.2">
      <c r="A565" s="24"/>
      <c r="B565" s="24"/>
      <c r="D565" s="25"/>
      <c r="E565" s="24"/>
      <c r="F565" s="24"/>
    </row>
    <row r="566" spans="1:6" ht="12.75" x14ac:dyDescent="0.2">
      <c r="A566" s="24"/>
      <c r="B566" s="24"/>
      <c r="D566" s="25"/>
      <c r="E566" s="24"/>
      <c r="F566" s="24"/>
    </row>
    <row r="567" spans="1:6" ht="12.75" x14ac:dyDescent="0.2">
      <c r="A567" s="24"/>
      <c r="B567" s="24"/>
      <c r="D567" s="25"/>
      <c r="E567" s="24"/>
      <c r="F567" s="24"/>
    </row>
    <row r="568" spans="1:6" ht="12.75" x14ac:dyDescent="0.2">
      <c r="A568" s="24"/>
      <c r="B568" s="24"/>
      <c r="D568" s="25"/>
      <c r="E568" s="24"/>
      <c r="F568" s="24"/>
    </row>
    <row r="569" spans="1:6" ht="12.75" x14ac:dyDescent="0.2">
      <c r="A569" s="24"/>
      <c r="B569" s="24"/>
      <c r="D569" s="25"/>
      <c r="E569" s="24"/>
      <c r="F569" s="24"/>
    </row>
    <row r="570" spans="1:6" ht="12.75" x14ac:dyDescent="0.2">
      <c r="A570" s="24"/>
      <c r="B570" s="24"/>
      <c r="D570" s="25"/>
      <c r="E570" s="24"/>
      <c r="F570" s="24"/>
    </row>
    <row r="571" spans="1:6" ht="12.75" x14ac:dyDescent="0.2">
      <c r="A571" s="24"/>
      <c r="B571" s="24"/>
      <c r="D571" s="25"/>
      <c r="E571" s="24"/>
      <c r="F571" s="24"/>
    </row>
    <row r="572" spans="1:6" ht="12.75" x14ac:dyDescent="0.2">
      <c r="A572" s="24"/>
      <c r="B572" s="24"/>
      <c r="D572" s="25"/>
      <c r="E572" s="24"/>
      <c r="F572" s="24"/>
    </row>
    <row r="573" spans="1:6" ht="12.75" x14ac:dyDescent="0.2">
      <c r="A573" s="24"/>
      <c r="B573" s="24"/>
      <c r="D573" s="25"/>
      <c r="E573" s="24"/>
      <c r="F573" s="24"/>
    </row>
    <row r="574" spans="1:6" ht="12.75" x14ac:dyDescent="0.2">
      <c r="A574" s="24"/>
      <c r="B574" s="24"/>
      <c r="D574" s="25"/>
      <c r="E574" s="24"/>
      <c r="F574" s="24"/>
    </row>
    <row r="575" spans="1:6" ht="12.75" x14ac:dyDescent="0.2">
      <c r="A575" s="24"/>
      <c r="B575" s="24"/>
      <c r="D575" s="25"/>
      <c r="E575" s="24"/>
      <c r="F575" s="24"/>
    </row>
    <row r="576" spans="1:6" ht="12.75" x14ac:dyDescent="0.2">
      <c r="A576" s="24"/>
      <c r="B576" s="24"/>
      <c r="D576" s="25"/>
      <c r="E576" s="24"/>
      <c r="F576" s="24"/>
    </row>
    <row r="577" spans="1:6" ht="12.75" x14ac:dyDescent="0.2">
      <c r="A577" s="24"/>
      <c r="B577" s="24"/>
      <c r="D577" s="25"/>
      <c r="E577" s="24"/>
      <c r="F577" s="24"/>
    </row>
    <row r="578" spans="1:6" ht="12.75" x14ac:dyDescent="0.2">
      <c r="A578" s="24"/>
      <c r="B578" s="24"/>
      <c r="D578" s="25"/>
      <c r="E578" s="24"/>
      <c r="F578" s="24"/>
    </row>
    <row r="579" spans="1:6" ht="12.75" x14ac:dyDescent="0.2">
      <c r="A579" s="24"/>
      <c r="B579" s="24"/>
      <c r="D579" s="25"/>
      <c r="E579" s="24"/>
      <c r="F579" s="24"/>
    </row>
    <row r="580" spans="1:6" ht="12.75" x14ac:dyDescent="0.2">
      <c r="A580" s="24"/>
      <c r="B580" s="24"/>
      <c r="D580" s="25"/>
      <c r="E580" s="24"/>
      <c r="F580" s="24"/>
    </row>
    <row r="581" spans="1:6" ht="12.75" x14ac:dyDescent="0.2">
      <c r="A581" s="24"/>
      <c r="B581" s="24"/>
      <c r="D581" s="25"/>
      <c r="E581" s="24"/>
      <c r="F581" s="24"/>
    </row>
    <row r="582" spans="1:6" ht="12.75" x14ac:dyDescent="0.2">
      <c r="A582" s="24"/>
      <c r="B582" s="24"/>
      <c r="D582" s="25"/>
      <c r="E582" s="24"/>
      <c r="F582" s="24"/>
    </row>
    <row r="583" spans="1:6" ht="12.75" x14ac:dyDescent="0.2">
      <c r="A583" s="24"/>
      <c r="B583" s="24"/>
      <c r="D583" s="25"/>
      <c r="E583" s="24"/>
      <c r="F583" s="24"/>
    </row>
    <row r="584" spans="1:6" ht="12.75" x14ac:dyDescent="0.2">
      <c r="A584" s="24"/>
      <c r="B584" s="24"/>
      <c r="D584" s="25"/>
      <c r="E584" s="24"/>
      <c r="F584" s="24"/>
    </row>
    <row r="585" spans="1:6" ht="12.75" x14ac:dyDescent="0.2">
      <c r="A585" s="24"/>
      <c r="B585" s="24"/>
      <c r="D585" s="25"/>
      <c r="E585" s="24"/>
      <c r="F585" s="24"/>
    </row>
    <row r="586" spans="1:6" ht="12.75" x14ac:dyDescent="0.2">
      <c r="A586" s="24"/>
      <c r="B586" s="24"/>
      <c r="D586" s="25"/>
      <c r="E586" s="24"/>
      <c r="F586" s="24"/>
    </row>
    <row r="587" spans="1:6" ht="12.75" x14ac:dyDescent="0.2">
      <c r="A587" s="24"/>
      <c r="B587" s="24"/>
      <c r="D587" s="25"/>
      <c r="E587" s="24"/>
      <c r="F587" s="24"/>
    </row>
    <row r="588" spans="1:6" ht="12.75" x14ac:dyDescent="0.2">
      <c r="A588" s="24"/>
      <c r="B588" s="24"/>
      <c r="D588" s="25"/>
      <c r="E588" s="24"/>
      <c r="F588" s="24"/>
    </row>
    <row r="589" spans="1:6" ht="12.75" x14ac:dyDescent="0.2">
      <c r="A589" s="24"/>
      <c r="B589" s="24"/>
      <c r="D589" s="25"/>
      <c r="E589" s="24"/>
      <c r="F589" s="24"/>
    </row>
    <row r="590" spans="1:6" ht="12.75" x14ac:dyDescent="0.2">
      <c r="A590" s="24"/>
      <c r="B590" s="24"/>
      <c r="D590" s="25"/>
      <c r="E590" s="24"/>
      <c r="F590" s="24"/>
    </row>
    <row r="591" spans="1:6" ht="12.75" x14ac:dyDescent="0.2">
      <c r="A591" s="24"/>
      <c r="B591" s="24"/>
      <c r="D591" s="25"/>
      <c r="E591" s="24"/>
      <c r="F591" s="24"/>
    </row>
    <row r="592" spans="1:6" ht="12.75" x14ac:dyDescent="0.2">
      <c r="A592" s="24"/>
      <c r="B592" s="24"/>
      <c r="D592" s="25"/>
      <c r="E592" s="24"/>
      <c r="F592" s="24"/>
    </row>
    <row r="593" spans="1:6" ht="12.75" x14ac:dyDescent="0.2">
      <c r="A593" s="24"/>
      <c r="B593" s="24"/>
      <c r="D593" s="25"/>
      <c r="E593" s="24"/>
      <c r="F593" s="24"/>
    </row>
    <row r="594" spans="1:6" ht="12.75" x14ac:dyDescent="0.2">
      <c r="A594" s="24"/>
      <c r="B594" s="24"/>
      <c r="D594" s="25"/>
      <c r="E594" s="24"/>
      <c r="F594" s="24"/>
    </row>
    <row r="595" spans="1:6" ht="12.75" x14ac:dyDescent="0.2">
      <c r="A595" s="24"/>
      <c r="B595" s="24"/>
      <c r="D595" s="25"/>
      <c r="E595" s="24"/>
      <c r="F595" s="24"/>
    </row>
    <row r="596" spans="1:6" ht="12.75" x14ac:dyDescent="0.2">
      <c r="A596" s="24"/>
      <c r="B596" s="24"/>
      <c r="D596" s="25"/>
      <c r="E596" s="24"/>
      <c r="F596" s="24"/>
    </row>
    <row r="597" spans="1:6" ht="12.75" x14ac:dyDescent="0.2">
      <c r="A597" s="24"/>
      <c r="B597" s="24"/>
      <c r="D597" s="25"/>
      <c r="E597" s="24"/>
      <c r="F597" s="24"/>
    </row>
    <row r="598" spans="1:6" ht="12.75" x14ac:dyDescent="0.2">
      <c r="A598" s="24"/>
      <c r="B598" s="24"/>
      <c r="D598" s="25"/>
      <c r="E598" s="24"/>
      <c r="F598" s="24"/>
    </row>
    <row r="599" spans="1:6" ht="12.75" x14ac:dyDescent="0.2">
      <c r="A599" s="24"/>
      <c r="B599" s="24"/>
      <c r="D599" s="25"/>
      <c r="E599" s="24"/>
      <c r="F599" s="24"/>
    </row>
    <row r="600" spans="1:6" ht="12.75" x14ac:dyDescent="0.2">
      <c r="A600" s="24"/>
      <c r="B600" s="24"/>
      <c r="D600" s="25"/>
      <c r="E600" s="24"/>
      <c r="F600" s="24"/>
    </row>
    <row r="601" spans="1:6" ht="12.75" x14ac:dyDescent="0.2">
      <c r="A601" s="24"/>
      <c r="B601" s="24"/>
      <c r="D601" s="25"/>
      <c r="E601" s="24"/>
      <c r="F601" s="24"/>
    </row>
    <row r="602" spans="1:6" ht="12.75" x14ac:dyDescent="0.2">
      <c r="A602" s="24"/>
      <c r="B602" s="24"/>
      <c r="D602" s="25"/>
      <c r="E602" s="24"/>
      <c r="F602" s="24"/>
    </row>
    <row r="603" spans="1:6" ht="12.75" x14ac:dyDescent="0.2">
      <c r="A603" s="24"/>
      <c r="B603" s="24"/>
      <c r="D603" s="25"/>
      <c r="E603" s="24"/>
      <c r="F603" s="24"/>
    </row>
    <row r="604" spans="1:6" ht="12.75" x14ac:dyDescent="0.2">
      <c r="A604" s="24"/>
      <c r="B604" s="24"/>
      <c r="D604" s="25"/>
      <c r="E604" s="24"/>
      <c r="F604" s="24"/>
    </row>
    <row r="605" spans="1:6" ht="12.75" x14ac:dyDescent="0.2">
      <c r="A605" s="24"/>
      <c r="B605" s="24"/>
      <c r="D605" s="25"/>
      <c r="E605" s="24"/>
      <c r="F605" s="24"/>
    </row>
    <row r="606" spans="1:6" ht="12.75" x14ac:dyDescent="0.2">
      <c r="A606" s="24"/>
      <c r="B606" s="24"/>
      <c r="D606" s="25"/>
      <c r="E606" s="24"/>
      <c r="F606" s="24"/>
    </row>
    <row r="607" spans="1:6" ht="12.75" x14ac:dyDescent="0.2">
      <c r="A607" s="24"/>
      <c r="B607" s="24"/>
      <c r="D607" s="25"/>
      <c r="E607" s="24"/>
      <c r="F607" s="24"/>
    </row>
    <row r="608" spans="1:6" ht="12.75" x14ac:dyDescent="0.2">
      <c r="A608" s="24"/>
      <c r="B608" s="24"/>
      <c r="D608" s="25"/>
      <c r="E608" s="24"/>
      <c r="F608" s="24"/>
    </row>
    <row r="609" spans="1:6" ht="12.75" x14ac:dyDescent="0.2">
      <c r="A609" s="24"/>
      <c r="B609" s="24"/>
      <c r="D609" s="25"/>
      <c r="E609" s="24"/>
      <c r="F609" s="24"/>
    </row>
    <row r="610" spans="1:6" ht="12.75" x14ac:dyDescent="0.2">
      <c r="A610" s="24"/>
      <c r="B610" s="24"/>
      <c r="D610" s="25"/>
      <c r="E610" s="24"/>
      <c r="F610" s="24"/>
    </row>
    <row r="611" spans="1:6" ht="12.75" x14ac:dyDescent="0.2">
      <c r="A611" s="24"/>
      <c r="B611" s="24"/>
      <c r="D611" s="25"/>
      <c r="E611" s="24"/>
      <c r="F611" s="24"/>
    </row>
    <row r="612" spans="1:6" ht="12.75" x14ac:dyDescent="0.2">
      <c r="A612" s="24"/>
      <c r="B612" s="24"/>
      <c r="D612" s="25"/>
      <c r="E612" s="24"/>
      <c r="F612" s="24"/>
    </row>
    <row r="613" spans="1:6" ht="12.75" x14ac:dyDescent="0.2">
      <c r="A613" s="24"/>
      <c r="B613" s="24"/>
      <c r="D613" s="25"/>
      <c r="E613" s="24"/>
      <c r="F613" s="24"/>
    </row>
    <row r="614" spans="1:6" ht="12.75" x14ac:dyDescent="0.2">
      <c r="A614" s="24"/>
      <c r="B614" s="24"/>
      <c r="D614" s="25"/>
      <c r="E614" s="24"/>
      <c r="F614" s="24"/>
    </row>
    <row r="615" spans="1:6" ht="12.75" x14ac:dyDescent="0.2">
      <c r="A615" s="24"/>
      <c r="B615" s="24"/>
      <c r="D615" s="25"/>
      <c r="E615" s="24"/>
      <c r="F615" s="24"/>
    </row>
    <row r="616" spans="1:6" ht="12.75" x14ac:dyDescent="0.2">
      <c r="A616" s="24"/>
      <c r="B616" s="24"/>
      <c r="D616" s="25"/>
      <c r="E616" s="24"/>
      <c r="F616" s="24"/>
    </row>
    <row r="617" spans="1:6" ht="12.75" x14ac:dyDescent="0.2">
      <c r="A617" s="24"/>
      <c r="B617" s="24"/>
      <c r="D617" s="25"/>
      <c r="E617" s="24"/>
      <c r="F617" s="24"/>
    </row>
    <row r="618" spans="1:6" ht="12.75" x14ac:dyDescent="0.2">
      <c r="A618" s="24"/>
      <c r="B618" s="24"/>
      <c r="D618" s="25"/>
      <c r="E618" s="24"/>
      <c r="F618" s="24"/>
    </row>
    <row r="619" spans="1:6" ht="12.75" x14ac:dyDescent="0.2">
      <c r="A619" s="24"/>
      <c r="B619" s="24"/>
      <c r="D619" s="25"/>
      <c r="E619" s="24"/>
      <c r="F619" s="24"/>
    </row>
    <row r="620" spans="1:6" ht="12.75" x14ac:dyDescent="0.2">
      <c r="A620" s="24"/>
      <c r="B620" s="24"/>
      <c r="D620" s="25"/>
      <c r="E620" s="24"/>
      <c r="F620" s="24"/>
    </row>
    <row r="621" spans="1:6" ht="12.75" x14ac:dyDescent="0.2">
      <c r="A621" s="24"/>
      <c r="B621" s="24"/>
      <c r="D621" s="25"/>
      <c r="E621" s="24"/>
      <c r="F621" s="24"/>
    </row>
    <row r="622" spans="1:6" ht="12.75" x14ac:dyDescent="0.2">
      <c r="A622" s="24"/>
      <c r="B622" s="24"/>
      <c r="D622" s="25"/>
      <c r="E622" s="24"/>
      <c r="F622" s="24"/>
    </row>
    <row r="623" spans="1:6" ht="12.75" x14ac:dyDescent="0.2">
      <c r="A623" s="24"/>
      <c r="B623" s="24"/>
      <c r="D623" s="25"/>
      <c r="E623" s="24"/>
      <c r="F623" s="24"/>
    </row>
    <row r="624" spans="1:6" ht="12.75" x14ac:dyDescent="0.2">
      <c r="A624" s="24"/>
      <c r="B624" s="24"/>
      <c r="D624" s="25"/>
      <c r="E624" s="24"/>
      <c r="F624" s="24"/>
    </row>
    <row r="625" spans="1:6" ht="12.75" x14ac:dyDescent="0.2">
      <c r="A625" s="24"/>
      <c r="B625" s="24"/>
      <c r="D625" s="25"/>
      <c r="E625" s="24"/>
      <c r="F625" s="24"/>
    </row>
    <row r="626" spans="1:6" ht="12.75" x14ac:dyDescent="0.2">
      <c r="A626" s="24"/>
      <c r="B626" s="24"/>
      <c r="D626" s="25"/>
      <c r="E626" s="24"/>
      <c r="F626" s="24"/>
    </row>
    <row r="627" spans="1:6" ht="12.75" x14ac:dyDescent="0.2">
      <c r="A627" s="24"/>
      <c r="B627" s="24"/>
      <c r="D627" s="25"/>
      <c r="E627" s="24"/>
      <c r="F627" s="24"/>
    </row>
    <row r="628" spans="1:6" ht="12.75" x14ac:dyDescent="0.2">
      <c r="A628" s="24"/>
      <c r="B628" s="24"/>
      <c r="D628" s="25"/>
      <c r="E628" s="24"/>
      <c r="F628" s="24"/>
    </row>
    <row r="629" spans="1:6" ht="12.75" x14ac:dyDescent="0.2">
      <c r="A629" s="24"/>
      <c r="B629" s="24"/>
      <c r="D629" s="25"/>
      <c r="E629" s="24"/>
      <c r="F629" s="24"/>
    </row>
    <row r="630" spans="1:6" ht="12.75" x14ac:dyDescent="0.2">
      <c r="A630" s="24"/>
      <c r="B630" s="24"/>
      <c r="D630" s="25"/>
      <c r="E630" s="24"/>
      <c r="F630" s="24"/>
    </row>
    <row r="631" spans="1:6" ht="12.75" x14ac:dyDescent="0.2">
      <c r="A631" s="24"/>
      <c r="B631" s="24"/>
      <c r="D631" s="25"/>
      <c r="E631" s="24"/>
      <c r="F631" s="24"/>
    </row>
    <row r="632" spans="1:6" ht="12.75" x14ac:dyDescent="0.2">
      <c r="A632" s="24"/>
      <c r="B632" s="24"/>
      <c r="D632" s="25"/>
      <c r="E632" s="24"/>
      <c r="F632" s="24"/>
    </row>
    <row r="633" spans="1:6" ht="12.75" x14ac:dyDescent="0.2">
      <c r="A633" s="24"/>
      <c r="B633" s="24"/>
      <c r="D633" s="25"/>
      <c r="E633" s="24"/>
      <c r="F633" s="24"/>
    </row>
    <row r="634" spans="1:6" ht="12.75" x14ac:dyDescent="0.2">
      <c r="A634" s="24"/>
      <c r="B634" s="24"/>
      <c r="D634" s="25"/>
      <c r="E634" s="24"/>
      <c r="F634" s="24"/>
    </row>
    <row r="635" spans="1:6" ht="12.75" x14ac:dyDescent="0.2">
      <c r="A635" s="24"/>
      <c r="B635" s="24"/>
      <c r="D635" s="25"/>
      <c r="E635" s="24"/>
      <c r="F635" s="24"/>
    </row>
    <row r="636" spans="1:6" ht="12.75" x14ac:dyDescent="0.2">
      <c r="A636" s="24"/>
      <c r="B636" s="24"/>
      <c r="D636" s="25"/>
      <c r="E636" s="24"/>
      <c r="F636" s="24"/>
    </row>
    <row r="637" spans="1:6" ht="12.75" x14ac:dyDescent="0.2">
      <c r="A637" s="24"/>
      <c r="B637" s="24"/>
      <c r="D637" s="25"/>
      <c r="E637" s="24"/>
      <c r="F637" s="24"/>
    </row>
    <row r="638" spans="1:6" ht="12.75" x14ac:dyDescent="0.2">
      <c r="A638" s="24"/>
      <c r="B638" s="24"/>
      <c r="D638" s="25"/>
      <c r="E638" s="24"/>
      <c r="F638" s="24"/>
    </row>
    <row r="639" spans="1:6" ht="12.75" x14ac:dyDescent="0.2">
      <c r="A639" s="24"/>
      <c r="B639" s="24"/>
      <c r="D639" s="25"/>
      <c r="E639" s="24"/>
      <c r="F639" s="24"/>
    </row>
    <row r="640" spans="1:6" ht="12.75" x14ac:dyDescent="0.2">
      <c r="A640" s="24"/>
      <c r="B640" s="24"/>
      <c r="D640" s="25"/>
      <c r="E640" s="24"/>
      <c r="F640" s="24"/>
    </row>
    <row r="641" spans="1:6" ht="12.75" x14ac:dyDescent="0.2">
      <c r="A641" s="24"/>
      <c r="B641" s="24"/>
      <c r="D641" s="25"/>
      <c r="E641" s="24"/>
      <c r="F641" s="24"/>
    </row>
    <row r="642" spans="1:6" ht="12.75" x14ac:dyDescent="0.2">
      <c r="A642" s="24"/>
      <c r="B642" s="24"/>
      <c r="D642" s="25"/>
      <c r="E642" s="24"/>
      <c r="F642" s="24"/>
    </row>
    <row r="643" spans="1:6" ht="12.75" x14ac:dyDescent="0.2">
      <c r="A643" s="24"/>
      <c r="B643" s="24"/>
      <c r="D643" s="25"/>
      <c r="E643" s="24"/>
      <c r="F643" s="24"/>
    </row>
    <row r="644" spans="1:6" ht="12.75" x14ac:dyDescent="0.2">
      <c r="A644" s="24"/>
      <c r="B644" s="24"/>
      <c r="D644" s="25"/>
      <c r="E644" s="24"/>
      <c r="F644" s="24"/>
    </row>
    <row r="645" spans="1:6" ht="12.75" x14ac:dyDescent="0.2">
      <c r="A645" s="24"/>
      <c r="B645" s="24"/>
      <c r="D645" s="25"/>
      <c r="E645" s="24"/>
      <c r="F645" s="24"/>
    </row>
    <row r="646" spans="1:6" ht="12.75" x14ac:dyDescent="0.2">
      <c r="A646" s="24"/>
      <c r="B646" s="24"/>
      <c r="D646" s="25"/>
      <c r="E646" s="24"/>
      <c r="F646" s="24"/>
    </row>
    <row r="647" spans="1:6" ht="12.75" x14ac:dyDescent="0.2">
      <c r="A647" s="24"/>
      <c r="B647" s="24"/>
      <c r="D647" s="25"/>
      <c r="E647" s="24"/>
      <c r="F647" s="24"/>
    </row>
    <row r="648" spans="1:6" ht="12.75" x14ac:dyDescent="0.2">
      <c r="A648" s="24"/>
      <c r="B648" s="24"/>
      <c r="D648" s="25"/>
      <c r="E648" s="24"/>
      <c r="F648" s="24"/>
    </row>
    <row r="649" spans="1:6" ht="12.75" x14ac:dyDescent="0.2">
      <c r="A649" s="24"/>
      <c r="B649" s="24"/>
      <c r="D649" s="25"/>
      <c r="E649" s="24"/>
      <c r="F649" s="24"/>
    </row>
    <row r="650" spans="1:6" ht="12.75" x14ac:dyDescent="0.2">
      <c r="A650" s="24"/>
      <c r="B650" s="24"/>
      <c r="D650" s="25"/>
      <c r="E650" s="24"/>
      <c r="F650" s="24"/>
    </row>
    <row r="651" spans="1:6" ht="12.75" x14ac:dyDescent="0.2">
      <c r="A651" s="24"/>
      <c r="B651" s="24"/>
      <c r="D651" s="25"/>
      <c r="E651" s="24"/>
      <c r="F651" s="24"/>
    </row>
    <row r="652" spans="1:6" ht="12.75" x14ac:dyDescent="0.2">
      <c r="A652" s="24"/>
      <c r="B652" s="24"/>
      <c r="D652" s="25"/>
      <c r="E652" s="24"/>
      <c r="F652" s="24"/>
    </row>
    <row r="653" spans="1:6" ht="12.75" x14ac:dyDescent="0.2">
      <c r="A653" s="24"/>
      <c r="B653" s="24"/>
      <c r="D653" s="25"/>
      <c r="E653" s="24"/>
      <c r="F653" s="24"/>
    </row>
    <row r="654" spans="1:6" ht="12.75" x14ac:dyDescent="0.2">
      <c r="A654" s="24"/>
      <c r="B654" s="24"/>
      <c r="D654" s="25"/>
      <c r="E654" s="24"/>
      <c r="F654" s="24"/>
    </row>
    <row r="655" spans="1:6" ht="12.75" x14ac:dyDescent="0.2">
      <c r="A655" s="24"/>
      <c r="B655" s="24"/>
      <c r="D655" s="25"/>
      <c r="E655" s="24"/>
      <c r="F655" s="24"/>
    </row>
    <row r="656" spans="1:6" ht="12.75" x14ac:dyDescent="0.2">
      <c r="A656" s="24"/>
      <c r="B656" s="24"/>
      <c r="D656" s="25"/>
      <c r="E656" s="24"/>
      <c r="F656" s="24"/>
    </row>
    <row r="657" spans="1:6" ht="12.75" x14ac:dyDescent="0.2">
      <c r="A657" s="24"/>
      <c r="B657" s="24"/>
      <c r="D657" s="25"/>
      <c r="E657" s="24"/>
      <c r="F657" s="24"/>
    </row>
    <row r="658" spans="1:6" ht="12.75" x14ac:dyDescent="0.2">
      <c r="A658" s="24"/>
      <c r="B658" s="24"/>
      <c r="D658" s="25"/>
      <c r="E658" s="24"/>
      <c r="F658" s="24"/>
    </row>
    <row r="659" spans="1:6" ht="12.75" x14ac:dyDescent="0.2">
      <c r="A659" s="24"/>
      <c r="B659" s="24"/>
      <c r="D659" s="25"/>
      <c r="E659" s="24"/>
      <c r="F659" s="24"/>
    </row>
    <row r="660" spans="1:6" ht="12.75" x14ac:dyDescent="0.2">
      <c r="A660" s="24"/>
      <c r="B660" s="24"/>
      <c r="D660" s="25"/>
      <c r="E660" s="24"/>
      <c r="F660" s="24"/>
    </row>
    <row r="661" spans="1:6" ht="12.75" x14ac:dyDescent="0.2">
      <c r="A661" s="24"/>
      <c r="B661" s="24"/>
      <c r="D661" s="25"/>
      <c r="E661" s="24"/>
      <c r="F661" s="24"/>
    </row>
    <row r="662" spans="1:6" ht="12.75" x14ac:dyDescent="0.2">
      <c r="A662" s="24"/>
      <c r="B662" s="24"/>
      <c r="D662" s="25"/>
      <c r="E662" s="24"/>
      <c r="F662" s="24"/>
    </row>
    <row r="663" spans="1:6" ht="12.75" x14ac:dyDescent="0.2">
      <c r="A663" s="24"/>
      <c r="B663" s="24"/>
      <c r="D663" s="25"/>
      <c r="E663" s="24"/>
      <c r="F663" s="24"/>
    </row>
    <row r="664" spans="1:6" ht="12.75" x14ac:dyDescent="0.2">
      <c r="A664" s="24"/>
      <c r="B664" s="24"/>
      <c r="D664" s="25"/>
      <c r="E664" s="24"/>
      <c r="F664" s="24"/>
    </row>
    <row r="665" spans="1:6" ht="12.75" x14ac:dyDescent="0.2">
      <c r="A665" s="24"/>
      <c r="B665" s="24"/>
      <c r="D665" s="25"/>
      <c r="E665" s="24"/>
      <c r="F665" s="24"/>
    </row>
    <row r="666" spans="1:6" ht="12.75" x14ac:dyDescent="0.2">
      <c r="A666" s="24"/>
      <c r="B666" s="24"/>
      <c r="D666" s="25"/>
      <c r="E666" s="24"/>
      <c r="F666" s="24"/>
    </row>
    <row r="667" spans="1:6" ht="12.75" x14ac:dyDescent="0.2">
      <c r="A667" s="24"/>
      <c r="B667" s="24"/>
      <c r="D667" s="25"/>
      <c r="E667" s="24"/>
      <c r="F667" s="24"/>
    </row>
    <row r="668" spans="1:6" ht="12.75" x14ac:dyDescent="0.2">
      <c r="A668" s="24"/>
      <c r="B668" s="24"/>
      <c r="D668" s="25"/>
      <c r="E668" s="24"/>
      <c r="F668" s="24"/>
    </row>
    <row r="669" spans="1:6" ht="12.75" x14ac:dyDescent="0.2">
      <c r="A669" s="24"/>
      <c r="B669" s="24"/>
      <c r="D669" s="25"/>
      <c r="E669" s="24"/>
      <c r="F669" s="24"/>
    </row>
    <row r="670" spans="1:6" ht="12.75" x14ac:dyDescent="0.2">
      <c r="A670" s="24"/>
      <c r="B670" s="24"/>
      <c r="D670" s="25"/>
      <c r="E670" s="24"/>
      <c r="F670" s="24"/>
    </row>
    <row r="671" spans="1:6" ht="12.75" x14ac:dyDescent="0.2">
      <c r="A671" s="24"/>
      <c r="B671" s="24"/>
      <c r="D671" s="25"/>
      <c r="E671" s="24"/>
      <c r="F671" s="24"/>
    </row>
    <row r="672" spans="1:6" ht="12.75" x14ac:dyDescent="0.2">
      <c r="A672" s="24"/>
      <c r="B672" s="24"/>
      <c r="D672" s="25"/>
      <c r="E672" s="24"/>
      <c r="F672" s="24"/>
    </row>
    <row r="673" spans="1:6" ht="12.75" x14ac:dyDescent="0.2">
      <c r="A673" s="24"/>
      <c r="B673" s="24"/>
      <c r="D673" s="25"/>
      <c r="E673" s="24"/>
      <c r="F673" s="24"/>
    </row>
    <row r="674" spans="1:6" ht="12.75" x14ac:dyDescent="0.2">
      <c r="A674" s="24"/>
      <c r="B674" s="24"/>
      <c r="D674" s="25"/>
      <c r="E674" s="24"/>
      <c r="F674" s="24"/>
    </row>
    <row r="675" spans="1:6" ht="12.75" x14ac:dyDescent="0.2">
      <c r="A675" s="24"/>
      <c r="B675" s="24"/>
      <c r="D675" s="25"/>
      <c r="E675" s="24"/>
      <c r="F675" s="24"/>
    </row>
    <row r="676" spans="1:6" ht="12.75" x14ac:dyDescent="0.2">
      <c r="A676" s="24"/>
      <c r="B676" s="24"/>
      <c r="D676" s="25"/>
      <c r="E676" s="24"/>
      <c r="F676" s="24"/>
    </row>
    <row r="677" spans="1:6" ht="12.75" x14ac:dyDescent="0.2">
      <c r="A677" s="24"/>
      <c r="B677" s="24"/>
      <c r="D677" s="25"/>
      <c r="E677" s="24"/>
      <c r="F677" s="24"/>
    </row>
    <row r="678" spans="1:6" ht="12.75" x14ac:dyDescent="0.2">
      <c r="A678" s="24"/>
      <c r="B678" s="24"/>
      <c r="D678" s="25"/>
      <c r="E678" s="24"/>
      <c r="F678" s="24"/>
    </row>
    <row r="679" spans="1:6" ht="12.75" x14ac:dyDescent="0.2">
      <c r="A679" s="24"/>
      <c r="B679" s="24"/>
      <c r="D679" s="25"/>
      <c r="E679" s="24"/>
      <c r="F679" s="24"/>
    </row>
    <row r="680" spans="1:6" ht="12.75" x14ac:dyDescent="0.2">
      <c r="A680" s="24"/>
      <c r="B680" s="24"/>
      <c r="D680" s="25"/>
      <c r="E680" s="24"/>
      <c r="F680" s="24"/>
    </row>
    <row r="681" spans="1:6" ht="12.75" x14ac:dyDescent="0.2">
      <c r="A681" s="24"/>
      <c r="B681" s="24"/>
      <c r="D681" s="25"/>
      <c r="E681" s="24"/>
      <c r="F681" s="24"/>
    </row>
    <row r="682" spans="1:6" ht="12.75" x14ac:dyDescent="0.2">
      <c r="A682" s="24"/>
      <c r="B682" s="24"/>
      <c r="D682" s="25"/>
      <c r="E682" s="24"/>
      <c r="F682" s="24"/>
    </row>
    <row r="683" spans="1:6" ht="12.75" x14ac:dyDescent="0.2">
      <c r="A683" s="24"/>
      <c r="B683" s="24"/>
      <c r="D683" s="25"/>
      <c r="E683" s="24"/>
      <c r="F683" s="24"/>
    </row>
    <row r="684" spans="1:6" ht="12.75" x14ac:dyDescent="0.2">
      <c r="A684" s="24"/>
      <c r="B684" s="24"/>
      <c r="D684" s="25"/>
      <c r="E684" s="24"/>
      <c r="F684" s="24"/>
    </row>
    <row r="685" spans="1:6" ht="12.75" x14ac:dyDescent="0.2">
      <c r="A685" s="24"/>
      <c r="B685" s="24"/>
      <c r="D685" s="25"/>
      <c r="E685" s="24"/>
      <c r="F685" s="24"/>
    </row>
    <row r="686" spans="1:6" ht="12.75" x14ac:dyDescent="0.2">
      <c r="A686" s="24"/>
      <c r="B686" s="24"/>
      <c r="D686" s="25"/>
      <c r="E686" s="24"/>
      <c r="F686" s="24"/>
    </row>
    <row r="687" spans="1:6" ht="12.75" x14ac:dyDescent="0.2">
      <c r="A687" s="24"/>
      <c r="B687" s="24"/>
      <c r="D687" s="25"/>
      <c r="E687" s="24"/>
      <c r="F687" s="24"/>
    </row>
    <row r="688" spans="1:6" ht="12.75" x14ac:dyDescent="0.2">
      <c r="A688" s="24"/>
      <c r="B688" s="24"/>
      <c r="D688" s="25"/>
      <c r="E688" s="24"/>
      <c r="F688" s="24"/>
    </row>
    <row r="689" spans="1:6" ht="12.75" x14ac:dyDescent="0.2">
      <c r="A689" s="24"/>
      <c r="B689" s="24"/>
      <c r="D689" s="25"/>
      <c r="E689" s="24"/>
      <c r="F689" s="24"/>
    </row>
    <row r="690" spans="1:6" ht="12.75" x14ac:dyDescent="0.2">
      <c r="A690" s="24"/>
      <c r="B690" s="24"/>
      <c r="D690" s="25"/>
      <c r="E690" s="24"/>
      <c r="F690" s="24"/>
    </row>
    <row r="691" spans="1:6" ht="12.75" x14ac:dyDescent="0.2">
      <c r="A691" s="24"/>
      <c r="B691" s="24"/>
      <c r="D691" s="25"/>
      <c r="E691" s="24"/>
      <c r="F691" s="24"/>
    </row>
    <row r="692" spans="1:6" ht="12.75" x14ac:dyDescent="0.2">
      <c r="A692" s="24"/>
      <c r="B692" s="24"/>
      <c r="D692" s="25"/>
      <c r="E692" s="24"/>
      <c r="F692" s="24"/>
    </row>
    <row r="693" spans="1:6" ht="12.75" x14ac:dyDescent="0.2">
      <c r="A693" s="24"/>
      <c r="B693" s="24"/>
      <c r="D693" s="25"/>
      <c r="E693" s="24"/>
      <c r="F693" s="24"/>
    </row>
    <row r="694" spans="1:6" ht="12.75" x14ac:dyDescent="0.2">
      <c r="A694" s="24"/>
      <c r="B694" s="24"/>
      <c r="D694" s="25"/>
      <c r="E694" s="24"/>
      <c r="F694" s="24"/>
    </row>
    <row r="695" spans="1:6" ht="12.75" x14ac:dyDescent="0.2">
      <c r="A695" s="24"/>
      <c r="B695" s="24"/>
      <c r="D695" s="25"/>
      <c r="E695" s="24"/>
      <c r="F695" s="24"/>
    </row>
    <row r="696" spans="1:6" ht="12.75" x14ac:dyDescent="0.2">
      <c r="A696" s="24"/>
      <c r="B696" s="24"/>
      <c r="D696" s="25"/>
      <c r="E696" s="24"/>
      <c r="F696" s="24"/>
    </row>
    <row r="697" spans="1:6" ht="12.75" x14ac:dyDescent="0.2">
      <c r="A697" s="24"/>
      <c r="B697" s="24"/>
      <c r="D697" s="25"/>
      <c r="E697" s="24"/>
      <c r="F697" s="24"/>
    </row>
    <row r="698" spans="1:6" ht="12.75" x14ac:dyDescent="0.2">
      <c r="A698" s="24"/>
      <c r="B698" s="24"/>
      <c r="D698" s="25"/>
      <c r="E698" s="24"/>
      <c r="F698" s="24"/>
    </row>
    <row r="699" spans="1:6" ht="12.75" x14ac:dyDescent="0.2">
      <c r="A699" s="24"/>
      <c r="B699" s="24"/>
      <c r="D699" s="25"/>
      <c r="E699" s="24"/>
      <c r="F699" s="24"/>
    </row>
    <row r="700" spans="1:6" ht="12.75" x14ac:dyDescent="0.2">
      <c r="A700" s="24"/>
      <c r="B700" s="24"/>
      <c r="D700" s="25"/>
      <c r="E700" s="24"/>
      <c r="F700" s="24"/>
    </row>
    <row r="701" spans="1:6" ht="12.75" x14ac:dyDescent="0.2">
      <c r="A701" s="24"/>
      <c r="B701" s="24"/>
      <c r="D701" s="25"/>
      <c r="E701" s="24"/>
      <c r="F701" s="24"/>
    </row>
    <row r="702" spans="1:6" ht="12.75" x14ac:dyDescent="0.2">
      <c r="A702" s="24"/>
      <c r="B702" s="24"/>
      <c r="D702" s="25"/>
      <c r="E702" s="24"/>
      <c r="F702" s="24"/>
    </row>
    <row r="703" spans="1:6" ht="12.75" x14ac:dyDescent="0.2">
      <c r="A703" s="24"/>
      <c r="B703" s="24"/>
      <c r="D703" s="25"/>
      <c r="E703" s="24"/>
      <c r="F703" s="24"/>
    </row>
    <row r="704" spans="1:6" ht="12.75" x14ac:dyDescent="0.2">
      <c r="A704" s="24"/>
      <c r="B704" s="24"/>
      <c r="D704" s="25"/>
      <c r="E704" s="24"/>
      <c r="F704" s="24"/>
    </row>
    <row r="705" spans="1:6" ht="12.75" x14ac:dyDescent="0.2">
      <c r="A705" s="24"/>
      <c r="B705" s="24"/>
      <c r="D705" s="25"/>
      <c r="E705" s="24"/>
      <c r="F705" s="24"/>
    </row>
    <row r="706" spans="1:6" ht="12.75" x14ac:dyDescent="0.2">
      <c r="A706" s="24"/>
      <c r="B706" s="24"/>
      <c r="D706" s="25"/>
      <c r="E706" s="24"/>
      <c r="F706" s="24"/>
    </row>
    <row r="707" spans="1:6" ht="12.75" x14ac:dyDescent="0.2">
      <c r="A707" s="24"/>
      <c r="B707" s="24"/>
      <c r="D707" s="25"/>
      <c r="E707" s="24"/>
      <c r="F707" s="24"/>
    </row>
    <row r="708" spans="1:6" ht="12.75" x14ac:dyDescent="0.2">
      <c r="A708" s="24"/>
      <c r="B708" s="24"/>
      <c r="D708" s="25"/>
      <c r="E708" s="24"/>
      <c r="F708" s="24"/>
    </row>
    <row r="709" spans="1:6" ht="12.75" x14ac:dyDescent="0.2">
      <c r="A709" s="24"/>
      <c r="B709" s="24"/>
      <c r="D709" s="25"/>
      <c r="E709" s="24"/>
      <c r="F709" s="24"/>
    </row>
    <row r="710" spans="1:6" ht="12.75" x14ac:dyDescent="0.2">
      <c r="A710" s="24"/>
      <c r="B710" s="24"/>
      <c r="D710" s="25"/>
      <c r="E710" s="24"/>
      <c r="F710" s="24"/>
    </row>
    <row r="711" spans="1:6" ht="12.75" x14ac:dyDescent="0.2">
      <c r="A711" s="24"/>
      <c r="B711" s="24"/>
      <c r="D711" s="25"/>
      <c r="E711" s="24"/>
      <c r="F711" s="24"/>
    </row>
    <row r="712" spans="1:6" ht="12.75" x14ac:dyDescent="0.2">
      <c r="A712" s="24"/>
      <c r="B712" s="24"/>
      <c r="D712" s="25"/>
      <c r="E712" s="24"/>
      <c r="F712" s="24"/>
    </row>
    <row r="713" spans="1:6" ht="12.75" x14ac:dyDescent="0.2">
      <c r="A713" s="24"/>
      <c r="B713" s="24"/>
      <c r="D713" s="25"/>
      <c r="E713" s="24"/>
      <c r="F713" s="24"/>
    </row>
    <row r="714" spans="1:6" ht="12.75" x14ac:dyDescent="0.2">
      <c r="A714" s="24"/>
      <c r="B714" s="24"/>
      <c r="D714" s="25"/>
      <c r="E714" s="24"/>
      <c r="F714" s="24"/>
    </row>
    <row r="715" spans="1:6" ht="12.75" x14ac:dyDescent="0.2">
      <c r="A715" s="24"/>
      <c r="B715" s="24"/>
      <c r="D715" s="25"/>
      <c r="E715" s="24"/>
      <c r="F715" s="24"/>
    </row>
    <row r="716" spans="1:6" ht="12.75" x14ac:dyDescent="0.2">
      <c r="A716" s="24"/>
      <c r="B716" s="24"/>
      <c r="D716" s="25"/>
      <c r="E716" s="24"/>
      <c r="F716" s="24"/>
    </row>
    <row r="717" spans="1:6" ht="12.75" x14ac:dyDescent="0.2">
      <c r="A717" s="24"/>
      <c r="B717" s="24"/>
      <c r="D717" s="25"/>
      <c r="E717" s="24"/>
      <c r="F717" s="24"/>
    </row>
    <row r="718" spans="1:6" ht="12.75" x14ac:dyDescent="0.2">
      <c r="A718" s="24"/>
      <c r="B718" s="24"/>
      <c r="D718" s="25"/>
      <c r="E718" s="24"/>
      <c r="F718" s="24"/>
    </row>
    <row r="719" spans="1:6" ht="12.75" x14ac:dyDescent="0.2">
      <c r="A719" s="24"/>
      <c r="B719" s="24"/>
      <c r="D719" s="25"/>
      <c r="E719" s="24"/>
      <c r="F719" s="24"/>
    </row>
    <row r="720" spans="1:6" ht="12.75" x14ac:dyDescent="0.2">
      <c r="A720" s="24"/>
      <c r="B720" s="24"/>
      <c r="D720" s="25"/>
      <c r="E720" s="24"/>
      <c r="F720" s="24"/>
    </row>
    <row r="721" spans="1:6" ht="12.75" x14ac:dyDescent="0.2">
      <c r="A721" s="24"/>
      <c r="B721" s="24"/>
      <c r="D721" s="25"/>
      <c r="E721" s="24"/>
      <c r="F721" s="24"/>
    </row>
    <row r="722" spans="1:6" ht="12.75" x14ac:dyDescent="0.2">
      <c r="A722" s="24"/>
      <c r="B722" s="24"/>
      <c r="D722" s="25"/>
      <c r="E722" s="24"/>
      <c r="F722" s="24"/>
    </row>
    <row r="723" spans="1:6" ht="12.75" x14ac:dyDescent="0.2">
      <c r="A723" s="24"/>
      <c r="B723" s="24"/>
      <c r="D723" s="25"/>
      <c r="E723" s="24"/>
      <c r="F723" s="24"/>
    </row>
    <row r="724" spans="1:6" ht="12.75" x14ac:dyDescent="0.2">
      <c r="A724" s="24"/>
      <c r="B724" s="24"/>
      <c r="D724" s="25"/>
      <c r="E724" s="24"/>
      <c r="F724" s="24"/>
    </row>
    <row r="725" spans="1:6" ht="12.75" x14ac:dyDescent="0.2">
      <c r="A725" s="24"/>
      <c r="B725" s="24"/>
      <c r="D725" s="25"/>
      <c r="E725" s="24"/>
      <c r="F725" s="24"/>
    </row>
    <row r="726" spans="1:6" ht="12.75" x14ac:dyDescent="0.2">
      <c r="A726" s="24"/>
      <c r="B726" s="24"/>
      <c r="D726" s="25"/>
      <c r="E726" s="24"/>
      <c r="F726" s="24"/>
    </row>
    <row r="727" spans="1:6" ht="12.75" x14ac:dyDescent="0.2">
      <c r="A727" s="24"/>
      <c r="B727" s="24"/>
      <c r="D727" s="25"/>
      <c r="E727" s="24"/>
      <c r="F727" s="24"/>
    </row>
    <row r="728" spans="1:6" ht="12.75" x14ac:dyDescent="0.2">
      <c r="A728" s="24"/>
      <c r="B728" s="24"/>
      <c r="D728" s="25"/>
      <c r="E728" s="24"/>
      <c r="F728" s="24"/>
    </row>
    <row r="729" spans="1:6" ht="12.75" x14ac:dyDescent="0.2">
      <c r="A729" s="24"/>
      <c r="B729" s="24"/>
      <c r="D729" s="25"/>
      <c r="E729" s="24"/>
      <c r="F729" s="24"/>
    </row>
    <row r="730" spans="1:6" ht="12.75" x14ac:dyDescent="0.2">
      <c r="A730" s="24"/>
      <c r="B730" s="24"/>
      <c r="D730" s="25"/>
      <c r="E730" s="24"/>
      <c r="F730" s="24"/>
    </row>
    <row r="731" spans="1:6" ht="12.75" x14ac:dyDescent="0.2">
      <c r="A731" s="24"/>
      <c r="B731" s="24"/>
      <c r="D731" s="25"/>
      <c r="E731" s="24"/>
      <c r="F731" s="24"/>
    </row>
    <row r="732" spans="1:6" ht="12.75" x14ac:dyDescent="0.2">
      <c r="A732" s="24"/>
      <c r="B732" s="24"/>
      <c r="D732" s="25"/>
      <c r="E732" s="24"/>
      <c r="F732" s="24"/>
    </row>
    <row r="733" spans="1:6" ht="12.75" x14ac:dyDescent="0.2">
      <c r="A733" s="24"/>
      <c r="B733" s="24"/>
      <c r="D733" s="25"/>
      <c r="E733" s="24"/>
      <c r="F733" s="24"/>
    </row>
    <row r="734" spans="1:6" ht="12.75" x14ac:dyDescent="0.2">
      <c r="A734" s="24"/>
      <c r="B734" s="24"/>
      <c r="D734" s="25"/>
      <c r="E734" s="24"/>
      <c r="F734" s="24"/>
    </row>
    <row r="735" spans="1:6" ht="12.75" x14ac:dyDescent="0.2">
      <c r="A735" s="24"/>
      <c r="B735" s="24"/>
      <c r="D735" s="25"/>
      <c r="E735" s="24"/>
      <c r="F735" s="24"/>
    </row>
    <row r="736" spans="1:6" ht="12.75" x14ac:dyDescent="0.2">
      <c r="A736" s="24"/>
      <c r="B736" s="24"/>
      <c r="D736" s="25"/>
      <c r="E736" s="24"/>
      <c r="F736" s="24"/>
    </row>
    <row r="737" spans="1:6" ht="12.75" x14ac:dyDescent="0.2">
      <c r="A737" s="24"/>
      <c r="B737" s="24"/>
      <c r="D737" s="25"/>
      <c r="E737" s="24"/>
      <c r="F737" s="24"/>
    </row>
    <row r="738" spans="1:6" ht="12.75" x14ac:dyDescent="0.2">
      <c r="A738" s="24"/>
      <c r="B738" s="24"/>
      <c r="D738" s="25"/>
      <c r="E738" s="24"/>
      <c r="F738" s="24"/>
    </row>
    <row r="739" spans="1:6" ht="12.75" x14ac:dyDescent="0.2">
      <c r="A739" s="24"/>
      <c r="B739" s="24"/>
      <c r="D739" s="25"/>
      <c r="E739" s="24"/>
      <c r="F739" s="24"/>
    </row>
    <row r="740" spans="1:6" ht="12.75" x14ac:dyDescent="0.2">
      <c r="A740" s="24"/>
      <c r="B740" s="24"/>
      <c r="D740" s="25"/>
      <c r="E740" s="24"/>
      <c r="F740" s="24"/>
    </row>
    <row r="741" spans="1:6" ht="12.75" x14ac:dyDescent="0.2">
      <c r="A741" s="24"/>
      <c r="B741" s="24"/>
      <c r="D741" s="25"/>
      <c r="E741" s="24"/>
      <c r="F741" s="24"/>
    </row>
    <row r="742" spans="1:6" ht="12.75" x14ac:dyDescent="0.2">
      <c r="A742" s="24"/>
      <c r="B742" s="24"/>
      <c r="D742" s="25"/>
      <c r="E742" s="24"/>
      <c r="F742" s="24"/>
    </row>
    <row r="743" spans="1:6" ht="12.75" x14ac:dyDescent="0.2">
      <c r="A743" s="24"/>
      <c r="B743" s="24"/>
      <c r="D743" s="25"/>
      <c r="E743" s="24"/>
      <c r="F743" s="24"/>
    </row>
    <row r="744" spans="1:6" ht="12.75" x14ac:dyDescent="0.2">
      <c r="A744" s="24"/>
      <c r="B744" s="24"/>
      <c r="D744" s="25"/>
      <c r="E744" s="24"/>
      <c r="F744" s="24"/>
    </row>
    <row r="745" spans="1:6" ht="12.75" x14ac:dyDescent="0.2">
      <c r="A745" s="24"/>
      <c r="B745" s="24"/>
      <c r="D745" s="25"/>
      <c r="E745" s="24"/>
      <c r="F745" s="24"/>
    </row>
    <row r="746" spans="1:6" ht="12.75" x14ac:dyDescent="0.2">
      <c r="A746" s="24"/>
      <c r="B746" s="24"/>
      <c r="D746" s="25"/>
      <c r="E746" s="24"/>
      <c r="F746" s="24"/>
    </row>
    <row r="747" spans="1:6" ht="12.75" x14ac:dyDescent="0.2">
      <c r="A747" s="24"/>
      <c r="B747" s="24"/>
      <c r="D747" s="25"/>
      <c r="E747" s="24"/>
      <c r="F747" s="24"/>
    </row>
    <row r="748" spans="1:6" ht="12.75" x14ac:dyDescent="0.2">
      <c r="A748" s="24"/>
      <c r="B748" s="24"/>
      <c r="D748" s="25"/>
      <c r="E748" s="24"/>
      <c r="F748" s="24"/>
    </row>
    <row r="749" spans="1:6" ht="12.75" x14ac:dyDescent="0.2">
      <c r="A749" s="24"/>
      <c r="B749" s="24"/>
      <c r="D749" s="25"/>
      <c r="E749" s="24"/>
      <c r="F749" s="24"/>
    </row>
    <row r="750" spans="1:6" ht="12.75" x14ac:dyDescent="0.2">
      <c r="A750" s="24"/>
      <c r="B750" s="24"/>
      <c r="D750" s="25"/>
      <c r="E750" s="24"/>
      <c r="F750" s="24"/>
    </row>
    <row r="751" spans="1:6" ht="12.75" x14ac:dyDescent="0.2">
      <c r="A751" s="24"/>
      <c r="B751" s="24"/>
      <c r="D751" s="25"/>
      <c r="E751" s="24"/>
      <c r="F751" s="24"/>
    </row>
    <row r="752" spans="1:6" ht="12.75" x14ac:dyDescent="0.2">
      <c r="A752" s="24"/>
      <c r="B752" s="24"/>
      <c r="D752" s="25"/>
      <c r="E752" s="24"/>
      <c r="F752" s="24"/>
    </row>
    <row r="753" spans="1:6" ht="12.75" x14ac:dyDescent="0.2">
      <c r="A753" s="24"/>
      <c r="B753" s="24"/>
      <c r="D753" s="25"/>
      <c r="E753" s="24"/>
      <c r="F753" s="24"/>
    </row>
    <row r="754" spans="1:6" ht="12.75" x14ac:dyDescent="0.2">
      <c r="A754" s="24"/>
      <c r="B754" s="24"/>
      <c r="D754" s="25"/>
      <c r="E754" s="24"/>
      <c r="F754" s="24"/>
    </row>
    <row r="755" spans="1:6" ht="12.75" x14ac:dyDescent="0.2">
      <c r="A755" s="24"/>
      <c r="B755" s="24"/>
      <c r="D755" s="25"/>
      <c r="E755" s="24"/>
      <c r="F755" s="24"/>
    </row>
    <row r="756" spans="1:6" ht="12.75" x14ac:dyDescent="0.2">
      <c r="A756" s="24"/>
      <c r="B756" s="24"/>
      <c r="D756" s="25"/>
      <c r="E756" s="24"/>
      <c r="F756" s="24"/>
    </row>
    <row r="757" spans="1:6" ht="12.75" x14ac:dyDescent="0.2">
      <c r="A757" s="24"/>
      <c r="B757" s="24"/>
      <c r="D757" s="25"/>
      <c r="E757" s="24"/>
      <c r="F757" s="24"/>
    </row>
    <row r="758" spans="1:6" ht="12.75" x14ac:dyDescent="0.2">
      <c r="A758" s="24"/>
      <c r="B758" s="24"/>
      <c r="D758" s="25"/>
      <c r="E758" s="24"/>
      <c r="F758" s="24"/>
    </row>
    <row r="759" spans="1:6" ht="12.75" x14ac:dyDescent="0.2">
      <c r="A759" s="24"/>
      <c r="B759" s="24"/>
      <c r="D759" s="25"/>
      <c r="E759" s="24"/>
      <c r="F759" s="24"/>
    </row>
    <row r="760" spans="1:6" ht="12.75" x14ac:dyDescent="0.2">
      <c r="A760" s="24"/>
      <c r="B760" s="24"/>
      <c r="D760" s="25"/>
      <c r="E760" s="24"/>
      <c r="F760" s="24"/>
    </row>
    <row r="761" spans="1:6" ht="12.75" x14ac:dyDescent="0.2">
      <c r="A761" s="24"/>
      <c r="B761" s="24"/>
      <c r="D761" s="25"/>
      <c r="E761" s="24"/>
      <c r="F761" s="24"/>
    </row>
    <row r="762" spans="1:6" ht="12.75" x14ac:dyDescent="0.2">
      <c r="A762" s="24"/>
      <c r="B762" s="24"/>
      <c r="D762" s="25"/>
      <c r="E762" s="24"/>
      <c r="F762" s="24"/>
    </row>
    <row r="763" spans="1:6" ht="12.75" x14ac:dyDescent="0.2">
      <c r="A763" s="24"/>
      <c r="B763" s="24"/>
      <c r="D763" s="25"/>
      <c r="E763" s="24"/>
      <c r="F763" s="24"/>
    </row>
    <row r="764" spans="1:6" ht="12.75" x14ac:dyDescent="0.2">
      <c r="A764" s="24"/>
      <c r="B764" s="24"/>
      <c r="D764" s="25"/>
      <c r="E764" s="24"/>
      <c r="F764" s="24"/>
    </row>
    <row r="765" spans="1:6" ht="12.75" x14ac:dyDescent="0.2">
      <c r="A765" s="24"/>
      <c r="B765" s="24"/>
      <c r="D765" s="25"/>
      <c r="E765" s="24"/>
      <c r="F765" s="24"/>
    </row>
    <row r="766" spans="1:6" ht="12.75" x14ac:dyDescent="0.2">
      <c r="A766" s="24"/>
      <c r="B766" s="24"/>
      <c r="D766" s="25"/>
      <c r="E766" s="24"/>
      <c r="F766" s="24"/>
    </row>
    <row r="767" spans="1:6" ht="12.75" x14ac:dyDescent="0.2">
      <c r="A767" s="24"/>
      <c r="B767" s="24"/>
      <c r="D767" s="25"/>
      <c r="E767" s="24"/>
      <c r="F767" s="24"/>
    </row>
    <row r="768" spans="1:6" ht="12.75" x14ac:dyDescent="0.2">
      <c r="A768" s="24"/>
      <c r="B768" s="24"/>
      <c r="D768" s="25"/>
      <c r="E768" s="24"/>
      <c r="F768" s="24"/>
    </row>
    <row r="769" spans="1:6" ht="12.75" x14ac:dyDescent="0.2">
      <c r="A769" s="24"/>
      <c r="B769" s="24"/>
      <c r="D769" s="25"/>
      <c r="E769" s="24"/>
      <c r="F769" s="24"/>
    </row>
    <row r="770" spans="1:6" ht="12.75" x14ac:dyDescent="0.2">
      <c r="A770" s="24"/>
      <c r="B770" s="24"/>
      <c r="D770" s="25"/>
      <c r="E770" s="24"/>
      <c r="F770" s="24"/>
    </row>
    <row r="771" spans="1:6" ht="12.75" x14ac:dyDescent="0.2">
      <c r="A771" s="24"/>
      <c r="B771" s="24"/>
      <c r="D771" s="25"/>
      <c r="E771" s="24"/>
      <c r="F771" s="24"/>
    </row>
    <row r="772" spans="1:6" ht="12.75" x14ac:dyDescent="0.2">
      <c r="A772" s="24"/>
      <c r="B772" s="24"/>
      <c r="D772" s="25"/>
      <c r="E772" s="24"/>
      <c r="F772" s="24"/>
    </row>
    <row r="773" spans="1:6" ht="12.75" x14ac:dyDescent="0.2">
      <c r="A773" s="24"/>
      <c r="B773" s="24"/>
      <c r="D773" s="25"/>
      <c r="E773" s="24"/>
      <c r="F773" s="24"/>
    </row>
    <row r="774" spans="1:6" ht="12.75" x14ac:dyDescent="0.2">
      <c r="A774" s="24"/>
      <c r="B774" s="24"/>
      <c r="D774" s="25"/>
      <c r="E774" s="24"/>
      <c r="F774" s="24"/>
    </row>
    <row r="775" spans="1:6" ht="12.75" x14ac:dyDescent="0.2">
      <c r="A775" s="24"/>
      <c r="B775" s="24"/>
      <c r="D775" s="25"/>
      <c r="E775" s="24"/>
      <c r="F775" s="24"/>
    </row>
    <row r="776" spans="1:6" ht="12.75" x14ac:dyDescent="0.2">
      <c r="A776" s="24"/>
      <c r="B776" s="24"/>
      <c r="D776" s="25"/>
      <c r="E776" s="24"/>
      <c r="F776" s="24"/>
    </row>
    <row r="777" spans="1:6" ht="12.75" x14ac:dyDescent="0.2">
      <c r="A777" s="24"/>
      <c r="B777" s="24"/>
      <c r="D777" s="25"/>
      <c r="E777" s="24"/>
      <c r="F777" s="24"/>
    </row>
    <row r="778" spans="1:6" ht="12.75" x14ac:dyDescent="0.2">
      <c r="A778" s="24"/>
      <c r="B778" s="24"/>
      <c r="D778" s="25"/>
      <c r="E778" s="24"/>
      <c r="F778" s="24"/>
    </row>
    <row r="779" spans="1:6" ht="12.75" x14ac:dyDescent="0.2">
      <c r="A779" s="24"/>
      <c r="B779" s="24"/>
      <c r="D779" s="25"/>
      <c r="E779" s="24"/>
      <c r="F779" s="24"/>
    </row>
    <row r="780" spans="1:6" ht="12.75" x14ac:dyDescent="0.2">
      <c r="A780" s="24"/>
      <c r="B780" s="24"/>
      <c r="D780" s="25"/>
      <c r="E780" s="24"/>
      <c r="F780" s="24"/>
    </row>
    <row r="781" spans="1:6" ht="12.75" x14ac:dyDescent="0.2">
      <c r="A781" s="24"/>
      <c r="B781" s="24"/>
      <c r="D781" s="25"/>
      <c r="E781" s="24"/>
      <c r="F781" s="24"/>
    </row>
    <row r="782" spans="1:6" ht="12.75" x14ac:dyDescent="0.2">
      <c r="A782" s="24"/>
      <c r="B782" s="24"/>
      <c r="D782" s="25"/>
      <c r="E782" s="24"/>
      <c r="F782" s="24"/>
    </row>
    <row r="783" spans="1:6" ht="12.75" x14ac:dyDescent="0.2">
      <c r="A783" s="24"/>
      <c r="B783" s="24"/>
      <c r="D783" s="25"/>
      <c r="E783" s="24"/>
      <c r="F783" s="24"/>
    </row>
    <row r="784" spans="1:6" ht="12.75" x14ac:dyDescent="0.2">
      <c r="A784" s="24"/>
      <c r="B784" s="24"/>
      <c r="D784" s="25"/>
      <c r="E784" s="24"/>
      <c r="F784" s="24"/>
    </row>
    <row r="785" spans="1:6" ht="12.75" x14ac:dyDescent="0.2">
      <c r="A785" s="24"/>
      <c r="B785" s="24"/>
      <c r="D785" s="25"/>
      <c r="E785" s="24"/>
      <c r="F785" s="24"/>
    </row>
    <row r="786" spans="1:6" ht="12.75" x14ac:dyDescent="0.2">
      <c r="A786" s="24"/>
      <c r="B786" s="24"/>
      <c r="D786" s="25"/>
      <c r="E786" s="24"/>
      <c r="F786" s="24"/>
    </row>
    <row r="787" spans="1:6" ht="12.75" x14ac:dyDescent="0.2">
      <c r="A787" s="24"/>
      <c r="B787" s="24"/>
      <c r="D787" s="25"/>
      <c r="E787" s="24"/>
      <c r="F787" s="24"/>
    </row>
    <row r="788" spans="1:6" ht="12.75" x14ac:dyDescent="0.2">
      <c r="A788" s="24"/>
      <c r="B788" s="24"/>
      <c r="D788" s="25"/>
      <c r="E788" s="24"/>
      <c r="F788" s="24"/>
    </row>
    <row r="789" spans="1:6" ht="12.75" x14ac:dyDescent="0.2">
      <c r="A789" s="24"/>
      <c r="B789" s="24"/>
      <c r="D789" s="25"/>
      <c r="E789" s="24"/>
      <c r="F789" s="24"/>
    </row>
    <row r="790" spans="1:6" ht="12.75" x14ac:dyDescent="0.2">
      <c r="A790" s="24"/>
      <c r="B790" s="24"/>
      <c r="D790" s="25"/>
      <c r="E790" s="24"/>
      <c r="F790" s="24"/>
    </row>
    <row r="791" spans="1:6" ht="12.75" x14ac:dyDescent="0.2">
      <c r="A791" s="24"/>
      <c r="B791" s="24"/>
      <c r="D791" s="25"/>
      <c r="E791" s="24"/>
      <c r="F791" s="24"/>
    </row>
    <row r="792" spans="1:6" ht="12.75" x14ac:dyDescent="0.2">
      <c r="A792" s="24"/>
      <c r="B792" s="24"/>
      <c r="D792" s="25"/>
      <c r="E792" s="24"/>
      <c r="F792" s="24"/>
    </row>
    <row r="793" spans="1:6" ht="12.75" x14ac:dyDescent="0.2">
      <c r="A793" s="24"/>
      <c r="B793" s="24"/>
      <c r="D793" s="25"/>
      <c r="E793" s="24"/>
      <c r="F793" s="24"/>
    </row>
    <row r="794" spans="1:6" ht="12.75" x14ac:dyDescent="0.2">
      <c r="A794" s="24"/>
      <c r="B794" s="24"/>
      <c r="D794" s="25"/>
      <c r="E794" s="24"/>
      <c r="F794" s="24"/>
    </row>
    <row r="795" spans="1:6" ht="12.75" x14ac:dyDescent="0.2">
      <c r="A795" s="24"/>
      <c r="B795" s="24"/>
      <c r="D795" s="25"/>
      <c r="E795" s="24"/>
      <c r="F795" s="24"/>
    </row>
    <row r="796" spans="1:6" ht="12.75" x14ac:dyDescent="0.2">
      <c r="A796" s="24"/>
      <c r="B796" s="24"/>
      <c r="D796" s="25"/>
      <c r="E796" s="24"/>
      <c r="F796" s="24"/>
    </row>
    <row r="797" spans="1:6" ht="12.75" x14ac:dyDescent="0.2">
      <c r="A797" s="24"/>
      <c r="B797" s="24"/>
      <c r="D797" s="25"/>
      <c r="E797" s="24"/>
      <c r="F797" s="24"/>
    </row>
    <row r="798" spans="1:6" ht="12.75" x14ac:dyDescent="0.2">
      <c r="A798" s="24"/>
      <c r="B798" s="24"/>
      <c r="D798" s="25"/>
      <c r="E798" s="24"/>
      <c r="F798" s="24"/>
    </row>
    <row r="799" spans="1:6" ht="12.75" x14ac:dyDescent="0.2">
      <c r="A799" s="24"/>
      <c r="B799" s="24"/>
      <c r="D799" s="25"/>
      <c r="E799" s="24"/>
      <c r="F799" s="24"/>
    </row>
    <row r="800" spans="1:6" ht="12.75" x14ac:dyDescent="0.2">
      <c r="A800" s="24"/>
      <c r="B800" s="24"/>
      <c r="D800" s="25"/>
      <c r="E800" s="24"/>
      <c r="F800" s="24"/>
    </row>
    <row r="801" spans="1:6" ht="12.75" x14ac:dyDescent="0.2">
      <c r="A801" s="24"/>
      <c r="B801" s="24"/>
      <c r="D801" s="25"/>
      <c r="E801" s="24"/>
      <c r="F801" s="24"/>
    </row>
    <row r="802" spans="1:6" ht="12.75" x14ac:dyDescent="0.2">
      <c r="A802" s="24"/>
      <c r="B802" s="24"/>
      <c r="D802" s="25"/>
      <c r="E802" s="24"/>
      <c r="F802" s="24"/>
    </row>
    <row r="803" spans="1:6" ht="12.75" x14ac:dyDescent="0.2">
      <c r="A803" s="24"/>
      <c r="B803" s="24"/>
      <c r="D803" s="25"/>
      <c r="E803" s="24"/>
      <c r="F803" s="24"/>
    </row>
    <row r="804" spans="1:6" ht="12.75" x14ac:dyDescent="0.2">
      <c r="A804" s="24"/>
      <c r="B804" s="24"/>
      <c r="D804" s="25"/>
      <c r="E804" s="24"/>
      <c r="F804" s="24"/>
    </row>
    <row r="805" spans="1:6" ht="12.75" x14ac:dyDescent="0.2">
      <c r="A805" s="24"/>
      <c r="B805" s="24"/>
      <c r="D805" s="25"/>
      <c r="E805" s="24"/>
      <c r="F805" s="24"/>
    </row>
    <row r="806" spans="1:6" ht="12.75" x14ac:dyDescent="0.2">
      <c r="A806" s="24"/>
      <c r="B806" s="24"/>
      <c r="D806" s="25"/>
      <c r="E806" s="24"/>
      <c r="F806" s="24"/>
    </row>
    <row r="807" spans="1:6" ht="12.75" x14ac:dyDescent="0.2">
      <c r="A807" s="24"/>
      <c r="B807" s="24"/>
      <c r="D807" s="25"/>
      <c r="E807" s="24"/>
      <c r="F807" s="24"/>
    </row>
    <row r="808" spans="1:6" ht="12.75" x14ac:dyDescent="0.2">
      <c r="A808" s="24"/>
      <c r="B808" s="24"/>
      <c r="D808" s="25"/>
      <c r="E808" s="24"/>
      <c r="F808" s="24"/>
    </row>
    <row r="809" spans="1:6" ht="12.75" x14ac:dyDescent="0.2">
      <c r="A809" s="24"/>
      <c r="B809" s="24"/>
      <c r="D809" s="25"/>
      <c r="E809" s="24"/>
      <c r="F809" s="24"/>
    </row>
    <row r="810" spans="1:6" ht="12.75" x14ac:dyDescent="0.2">
      <c r="A810" s="24"/>
      <c r="B810" s="24"/>
      <c r="D810" s="25"/>
      <c r="E810" s="24"/>
      <c r="F810" s="24"/>
    </row>
    <row r="811" spans="1:6" ht="12.75" x14ac:dyDescent="0.2">
      <c r="A811" s="24"/>
      <c r="B811" s="24"/>
      <c r="D811" s="25"/>
      <c r="E811" s="24"/>
      <c r="F811" s="24"/>
    </row>
    <row r="812" spans="1:6" ht="12.75" x14ac:dyDescent="0.2">
      <c r="A812" s="24"/>
      <c r="B812" s="24"/>
      <c r="D812" s="25"/>
      <c r="E812" s="24"/>
      <c r="F812" s="24"/>
    </row>
    <row r="813" spans="1:6" ht="12.75" x14ac:dyDescent="0.2">
      <c r="A813" s="24"/>
      <c r="B813" s="24"/>
      <c r="D813" s="25"/>
      <c r="E813" s="24"/>
      <c r="F813" s="24"/>
    </row>
    <row r="814" spans="1:6" ht="12.75" x14ac:dyDescent="0.2">
      <c r="A814" s="24"/>
      <c r="B814" s="24"/>
      <c r="D814" s="25"/>
      <c r="E814" s="24"/>
      <c r="F814" s="24"/>
    </row>
    <row r="815" spans="1:6" ht="12.75" x14ac:dyDescent="0.2">
      <c r="A815" s="24"/>
      <c r="B815" s="24"/>
      <c r="D815" s="25"/>
      <c r="E815" s="24"/>
      <c r="F815" s="24"/>
    </row>
    <row r="816" spans="1:6" ht="12.75" x14ac:dyDescent="0.2">
      <c r="A816" s="24"/>
      <c r="B816" s="24"/>
      <c r="D816" s="25"/>
      <c r="E816" s="24"/>
      <c r="F816" s="24"/>
    </row>
    <row r="817" spans="1:6" ht="12.75" x14ac:dyDescent="0.2">
      <c r="A817" s="24"/>
      <c r="B817" s="24"/>
      <c r="D817" s="25"/>
      <c r="E817" s="24"/>
      <c r="F817" s="24"/>
    </row>
    <row r="818" spans="1:6" ht="12.75" x14ac:dyDescent="0.2">
      <c r="A818" s="24"/>
      <c r="B818" s="24"/>
      <c r="D818" s="25"/>
      <c r="E818" s="24"/>
      <c r="F818" s="24"/>
    </row>
    <row r="819" spans="1:6" ht="12.75" x14ac:dyDescent="0.2">
      <c r="A819" s="24"/>
      <c r="B819" s="24"/>
      <c r="D819" s="25"/>
      <c r="E819" s="24"/>
      <c r="F819" s="24"/>
    </row>
    <row r="820" spans="1:6" ht="12.75" x14ac:dyDescent="0.2">
      <c r="A820" s="24"/>
      <c r="B820" s="24"/>
      <c r="D820" s="25"/>
      <c r="E820" s="24"/>
      <c r="F820" s="24"/>
    </row>
    <row r="821" spans="1:6" ht="12.75" x14ac:dyDescent="0.2">
      <c r="A821" s="24"/>
      <c r="B821" s="24"/>
      <c r="D821" s="25"/>
      <c r="E821" s="24"/>
      <c r="F821" s="24"/>
    </row>
    <row r="822" spans="1:6" ht="12.75" x14ac:dyDescent="0.2">
      <c r="A822" s="24"/>
      <c r="B822" s="24"/>
      <c r="D822" s="25"/>
      <c r="E822" s="24"/>
      <c r="F822" s="24"/>
    </row>
    <row r="823" spans="1:6" ht="12.75" x14ac:dyDescent="0.2">
      <c r="A823" s="24"/>
      <c r="B823" s="24"/>
      <c r="D823" s="25"/>
      <c r="E823" s="24"/>
      <c r="F823" s="24"/>
    </row>
    <row r="824" spans="1:6" ht="12.75" x14ac:dyDescent="0.2">
      <c r="A824" s="24"/>
      <c r="B824" s="24"/>
      <c r="D824" s="25"/>
      <c r="E824" s="24"/>
      <c r="F824" s="24"/>
    </row>
    <row r="825" spans="1:6" ht="12.75" x14ac:dyDescent="0.2">
      <c r="A825" s="24"/>
      <c r="B825" s="24"/>
      <c r="D825" s="25"/>
      <c r="E825" s="24"/>
      <c r="F825" s="24"/>
    </row>
    <row r="826" spans="1:6" ht="12.75" x14ac:dyDescent="0.2">
      <c r="A826" s="24"/>
      <c r="B826" s="24"/>
      <c r="D826" s="25"/>
      <c r="E826" s="24"/>
      <c r="F826" s="24"/>
    </row>
    <row r="827" spans="1:6" ht="12.75" x14ac:dyDescent="0.2">
      <c r="A827" s="24"/>
      <c r="B827" s="24"/>
      <c r="D827" s="25"/>
      <c r="E827" s="24"/>
      <c r="F827" s="24"/>
    </row>
    <row r="828" spans="1:6" ht="12.75" x14ac:dyDescent="0.2">
      <c r="A828" s="24"/>
      <c r="B828" s="24"/>
      <c r="D828" s="25"/>
      <c r="E828" s="24"/>
      <c r="F828" s="24"/>
    </row>
    <row r="829" spans="1:6" ht="12.75" x14ac:dyDescent="0.2">
      <c r="A829" s="24"/>
      <c r="B829" s="24"/>
      <c r="D829" s="25"/>
      <c r="E829" s="24"/>
      <c r="F829" s="24"/>
    </row>
    <row r="830" spans="1:6" ht="12.75" x14ac:dyDescent="0.2">
      <c r="A830" s="24"/>
      <c r="B830" s="24"/>
      <c r="D830" s="25"/>
      <c r="E830" s="24"/>
      <c r="F830" s="24"/>
    </row>
    <row r="831" spans="1:6" ht="12.75" x14ac:dyDescent="0.2">
      <c r="A831" s="24"/>
      <c r="B831" s="24"/>
      <c r="D831" s="25"/>
      <c r="E831" s="24"/>
      <c r="F831" s="24"/>
    </row>
    <row r="832" spans="1:6" ht="12.75" x14ac:dyDescent="0.2">
      <c r="A832" s="24"/>
      <c r="B832" s="24"/>
      <c r="D832" s="25"/>
      <c r="E832" s="24"/>
      <c r="F832" s="24"/>
    </row>
    <row r="833" spans="1:6" ht="12.75" x14ac:dyDescent="0.2">
      <c r="A833" s="24"/>
      <c r="B833" s="24"/>
      <c r="D833" s="25"/>
      <c r="E833" s="24"/>
      <c r="F833" s="24"/>
    </row>
    <row r="834" spans="1:6" ht="12.75" x14ac:dyDescent="0.2">
      <c r="A834" s="24"/>
      <c r="B834" s="24"/>
      <c r="D834" s="25"/>
      <c r="E834" s="24"/>
      <c r="F834" s="24"/>
    </row>
    <row r="835" spans="1:6" ht="12.75" x14ac:dyDescent="0.2">
      <c r="A835" s="24"/>
      <c r="B835" s="24"/>
      <c r="D835" s="25"/>
      <c r="E835" s="24"/>
      <c r="F835" s="24"/>
    </row>
    <row r="836" spans="1:6" ht="12.75" x14ac:dyDescent="0.2">
      <c r="A836" s="24"/>
      <c r="B836" s="24"/>
      <c r="D836" s="25"/>
      <c r="E836" s="24"/>
      <c r="F836" s="24"/>
    </row>
    <row r="837" spans="1:6" ht="12.75" x14ac:dyDescent="0.2">
      <c r="A837" s="24"/>
      <c r="B837" s="24"/>
      <c r="D837" s="25"/>
      <c r="E837" s="24"/>
      <c r="F837" s="24"/>
    </row>
    <row r="838" spans="1:6" ht="12.75" x14ac:dyDescent="0.2">
      <c r="A838" s="24"/>
      <c r="B838" s="24"/>
      <c r="D838" s="25"/>
      <c r="E838" s="24"/>
      <c r="F838" s="24"/>
    </row>
    <row r="839" spans="1:6" ht="12.75" x14ac:dyDescent="0.2">
      <c r="A839" s="24"/>
      <c r="B839" s="24"/>
      <c r="D839" s="25"/>
      <c r="E839" s="24"/>
      <c r="F839" s="24"/>
    </row>
    <row r="840" spans="1:6" ht="12.75" x14ac:dyDescent="0.2">
      <c r="A840" s="24"/>
      <c r="B840" s="24"/>
      <c r="D840" s="25"/>
      <c r="E840" s="24"/>
      <c r="F840" s="24"/>
    </row>
    <row r="841" spans="1:6" ht="12.75" x14ac:dyDescent="0.2">
      <c r="A841" s="24"/>
      <c r="B841" s="24"/>
      <c r="D841" s="25"/>
      <c r="E841" s="24"/>
      <c r="F841" s="24"/>
    </row>
    <row r="842" spans="1:6" ht="12.75" x14ac:dyDescent="0.2">
      <c r="A842" s="24"/>
      <c r="B842" s="24"/>
      <c r="D842" s="25"/>
      <c r="E842" s="24"/>
      <c r="F842" s="24"/>
    </row>
    <row r="843" spans="1:6" ht="12.75" x14ac:dyDescent="0.2">
      <c r="A843" s="24"/>
      <c r="B843" s="24"/>
      <c r="D843" s="25"/>
      <c r="E843" s="24"/>
      <c r="F843" s="24"/>
    </row>
    <row r="844" spans="1:6" ht="12.75" x14ac:dyDescent="0.2">
      <c r="A844" s="24"/>
      <c r="B844" s="24"/>
      <c r="D844" s="25"/>
      <c r="E844" s="24"/>
      <c r="F844" s="24"/>
    </row>
    <row r="845" spans="1:6" ht="12.75" x14ac:dyDescent="0.2">
      <c r="A845" s="24"/>
      <c r="B845" s="24"/>
      <c r="D845" s="25"/>
      <c r="E845" s="24"/>
      <c r="F845" s="24"/>
    </row>
    <row r="846" spans="1:6" ht="12.75" x14ac:dyDescent="0.2">
      <c r="A846" s="24"/>
      <c r="B846" s="24"/>
      <c r="D846" s="25"/>
      <c r="E846" s="24"/>
      <c r="F846" s="24"/>
    </row>
    <row r="847" spans="1:6" ht="12.75" x14ac:dyDescent="0.2">
      <c r="A847" s="24"/>
      <c r="B847" s="24"/>
      <c r="D847" s="25"/>
      <c r="E847" s="24"/>
      <c r="F847" s="24"/>
    </row>
    <row r="848" spans="1:6" ht="12.75" x14ac:dyDescent="0.2">
      <c r="A848" s="24"/>
      <c r="B848" s="24"/>
      <c r="D848" s="25"/>
      <c r="E848" s="24"/>
      <c r="F848" s="24"/>
    </row>
    <row r="849" spans="1:6" ht="12.75" x14ac:dyDescent="0.2">
      <c r="A849" s="24"/>
      <c r="B849" s="24"/>
      <c r="D849" s="25"/>
      <c r="E849" s="24"/>
      <c r="F849" s="24"/>
    </row>
    <row r="850" spans="1:6" ht="12.75" x14ac:dyDescent="0.2">
      <c r="A850" s="24"/>
      <c r="B850" s="24"/>
      <c r="D850" s="25"/>
      <c r="E850" s="24"/>
      <c r="F850" s="24"/>
    </row>
    <row r="851" spans="1:6" ht="12.75" x14ac:dyDescent="0.2">
      <c r="A851" s="24"/>
      <c r="B851" s="24"/>
      <c r="D851" s="25"/>
      <c r="E851" s="24"/>
      <c r="F851" s="24"/>
    </row>
    <row r="852" spans="1:6" ht="12.75" x14ac:dyDescent="0.2">
      <c r="A852" s="24"/>
      <c r="B852" s="24"/>
      <c r="D852" s="25"/>
      <c r="E852" s="24"/>
      <c r="F852" s="24"/>
    </row>
    <row r="853" spans="1:6" ht="12.75" x14ac:dyDescent="0.2">
      <c r="A853" s="24"/>
      <c r="B853" s="24"/>
      <c r="D853" s="25"/>
      <c r="E853" s="24"/>
      <c r="F853" s="24"/>
    </row>
    <row r="854" spans="1:6" ht="12.75" x14ac:dyDescent="0.2">
      <c r="A854" s="24"/>
      <c r="B854" s="24"/>
      <c r="D854" s="25"/>
      <c r="E854" s="24"/>
      <c r="F854" s="24"/>
    </row>
    <row r="855" spans="1:6" ht="12.75" x14ac:dyDescent="0.2">
      <c r="A855" s="24"/>
      <c r="B855" s="24"/>
      <c r="D855" s="25"/>
      <c r="E855" s="24"/>
      <c r="F855" s="24"/>
    </row>
    <row r="856" spans="1:6" ht="12.75" x14ac:dyDescent="0.2">
      <c r="A856" s="24"/>
      <c r="B856" s="24"/>
      <c r="D856" s="25"/>
      <c r="E856" s="24"/>
      <c r="F856" s="24"/>
    </row>
    <row r="857" spans="1:6" ht="12.75" x14ac:dyDescent="0.2">
      <c r="A857" s="24"/>
      <c r="B857" s="24"/>
      <c r="D857" s="25"/>
      <c r="E857" s="24"/>
      <c r="F857" s="24"/>
    </row>
    <row r="858" spans="1:6" ht="12.75" x14ac:dyDescent="0.2">
      <c r="A858" s="24"/>
      <c r="B858" s="24"/>
      <c r="D858" s="25"/>
      <c r="E858" s="24"/>
      <c r="F858" s="24"/>
    </row>
    <row r="859" spans="1:6" ht="12.75" x14ac:dyDescent="0.2">
      <c r="A859" s="24"/>
      <c r="B859" s="24"/>
      <c r="D859" s="25"/>
      <c r="E859" s="24"/>
      <c r="F859" s="24"/>
    </row>
    <row r="860" spans="1:6" ht="12.75" x14ac:dyDescent="0.2">
      <c r="A860" s="24"/>
      <c r="B860" s="24"/>
      <c r="D860" s="25"/>
      <c r="E860" s="24"/>
      <c r="F860" s="24"/>
    </row>
    <row r="861" spans="1:6" ht="12.75" x14ac:dyDescent="0.2">
      <c r="A861" s="24"/>
      <c r="B861" s="24"/>
      <c r="D861" s="25"/>
      <c r="E861" s="24"/>
      <c r="F861" s="24"/>
    </row>
    <row r="862" spans="1:6" ht="12.75" x14ac:dyDescent="0.2">
      <c r="A862" s="24"/>
      <c r="B862" s="24"/>
      <c r="D862" s="25"/>
      <c r="E862" s="24"/>
      <c r="F862" s="24"/>
    </row>
    <row r="863" spans="1:6" ht="12.75" x14ac:dyDescent="0.2">
      <c r="A863" s="24"/>
      <c r="B863" s="24"/>
      <c r="D863" s="25"/>
      <c r="E863" s="24"/>
      <c r="F863" s="24"/>
    </row>
    <row r="864" spans="1:6" ht="12.75" x14ac:dyDescent="0.2">
      <c r="A864" s="24"/>
      <c r="B864" s="24"/>
      <c r="D864" s="25"/>
      <c r="E864" s="24"/>
      <c r="F864" s="24"/>
    </row>
    <row r="865" spans="1:6" ht="12.75" x14ac:dyDescent="0.2">
      <c r="A865" s="24"/>
      <c r="B865" s="24"/>
      <c r="D865" s="25"/>
      <c r="E865" s="24"/>
      <c r="F865" s="24"/>
    </row>
    <row r="866" spans="1:6" ht="12.75" x14ac:dyDescent="0.2">
      <c r="A866" s="24"/>
      <c r="B866" s="24"/>
      <c r="D866" s="25"/>
      <c r="E866" s="24"/>
      <c r="F866" s="24"/>
    </row>
    <row r="867" spans="1:6" ht="12.75" x14ac:dyDescent="0.2">
      <c r="A867" s="24"/>
      <c r="B867" s="24"/>
      <c r="D867" s="25"/>
      <c r="E867" s="24"/>
      <c r="F867" s="24"/>
    </row>
    <row r="868" spans="1:6" ht="12.75" x14ac:dyDescent="0.2">
      <c r="A868" s="24"/>
      <c r="B868" s="24"/>
      <c r="D868" s="25"/>
      <c r="E868" s="24"/>
      <c r="F868" s="24"/>
    </row>
    <row r="869" spans="1:6" ht="12.75" x14ac:dyDescent="0.2">
      <c r="A869" s="24"/>
      <c r="B869" s="24"/>
      <c r="D869" s="25"/>
      <c r="E869" s="24"/>
      <c r="F869" s="24"/>
    </row>
    <row r="870" spans="1:6" ht="12.75" x14ac:dyDescent="0.2">
      <c r="A870" s="24"/>
      <c r="B870" s="24"/>
      <c r="D870" s="25"/>
      <c r="E870" s="24"/>
      <c r="F870" s="24"/>
    </row>
    <row r="871" spans="1:6" ht="12.75" x14ac:dyDescent="0.2">
      <c r="A871" s="24"/>
      <c r="B871" s="24"/>
      <c r="D871" s="25"/>
      <c r="E871" s="24"/>
      <c r="F871" s="24"/>
    </row>
    <row r="872" spans="1:6" ht="12.75" x14ac:dyDescent="0.2">
      <c r="A872" s="24"/>
      <c r="B872" s="24"/>
      <c r="D872" s="25"/>
      <c r="E872" s="24"/>
      <c r="F872" s="24"/>
    </row>
    <row r="873" spans="1:6" ht="12.75" x14ac:dyDescent="0.2">
      <c r="A873" s="24"/>
      <c r="B873" s="24"/>
      <c r="D873" s="25"/>
      <c r="E873" s="24"/>
      <c r="F873" s="24"/>
    </row>
    <row r="874" spans="1:6" ht="12.75" x14ac:dyDescent="0.2">
      <c r="A874" s="24"/>
      <c r="B874" s="24"/>
      <c r="D874" s="25"/>
      <c r="E874" s="24"/>
      <c r="F874" s="24"/>
    </row>
    <row r="875" spans="1:6" ht="12.75" x14ac:dyDescent="0.2">
      <c r="A875" s="24"/>
      <c r="B875" s="24"/>
      <c r="D875" s="25"/>
      <c r="E875" s="24"/>
      <c r="F875" s="24"/>
    </row>
    <row r="876" spans="1:6" ht="12.75" x14ac:dyDescent="0.2">
      <c r="A876" s="24"/>
      <c r="B876" s="24"/>
      <c r="D876" s="25"/>
      <c r="E876" s="24"/>
      <c r="F876" s="24"/>
    </row>
    <row r="877" spans="1:6" ht="12.75" x14ac:dyDescent="0.2">
      <c r="A877" s="24"/>
      <c r="B877" s="24"/>
      <c r="D877" s="25"/>
      <c r="E877" s="24"/>
      <c r="F877" s="24"/>
    </row>
    <row r="878" spans="1:6" ht="12.75" x14ac:dyDescent="0.2">
      <c r="A878" s="24"/>
      <c r="B878" s="24"/>
      <c r="D878" s="25"/>
      <c r="E878" s="24"/>
      <c r="F878" s="24"/>
    </row>
    <row r="879" spans="1:6" ht="12.75" x14ac:dyDescent="0.2">
      <c r="A879" s="24"/>
      <c r="B879" s="24"/>
      <c r="D879" s="25"/>
      <c r="E879" s="24"/>
      <c r="F879" s="24"/>
    </row>
    <row r="880" spans="1:6" ht="12.75" x14ac:dyDescent="0.2">
      <c r="A880" s="24"/>
      <c r="B880" s="24"/>
      <c r="D880" s="25"/>
      <c r="E880" s="24"/>
      <c r="F880" s="24"/>
    </row>
    <row r="881" spans="1:6" ht="12.75" x14ac:dyDescent="0.2">
      <c r="A881" s="24"/>
      <c r="B881" s="24"/>
      <c r="D881" s="25"/>
      <c r="E881" s="24"/>
      <c r="F881" s="24"/>
    </row>
    <row r="882" spans="1:6" ht="12.75" x14ac:dyDescent="0.2">
      <c r="A882" s="24"/>
      <c r="B882" s="24"/>
      <c r="D882" s="25"/>
      <c r="E882" s="24"/>
      <c r="F882" s="24"/>
    </row>
    <row r="883" spans="1:6" ht="12.75" x14ac:dyDescent="0.2">
      <c r="A883" s="24"/>
      <c r="B883" s="24"/>
      <c r="D883" s="25"/>
      <c r="E883" s="24"/>
      <c r="F883" s="24"/>
    </row>
    <row r="884" spans="1:6" ht="12.75" x14ac:dyDescent="0.2">
      <c r="A884" s="24"/>
      <c r="B884" s="24"/>
      <c r="D884" s="25"/>
      <c r="E884" s="24"/>
      <c r="F884" s="24"/>
    </row>
    <row r="885" spans="1:6" ht="12.75" x14ac:dyDescent="0.2">
      <c r="A885" s="24"/>
      <c r="B885" s="24"/>
      <c r="D885" s="25"/>
      <c r="E885" s="24"/>
      <c r="F885" s="24"/>
    </row>
    <row r="886" spans="1:6" ht="12.75" x14ac:dyDescent="0.2">
      <c r="A886" s="24"/>
      <c r="B886" s="24"/>
      <c r="D886" s="25"/>
      <c r="E886" s="24"/>
      <c r="F886" s="24"/>
    </row>
    <row r="887" spans="1:6" ht="12.75" x14ac:dyDescent="0.2">
      <c r="A887" s="24"/>
      <c r="B887" s="24"/>
      <c r="D887" s="25"/>
      <c r="E887" s="24"/>
      <c r="F887" s="24"/>
    </row>
    <row r="888" spans="1:6" ht="12.75" x14ac:dyDescent="0.2">
      <c r="A888" s="24"/>
      <c r="B888" s="24"/>
      <c r="D888" s="25"/>
      <c r="E888" s="24"/>
      <c r="F888" s="24"/>
    </row>
    <row r="889" spans="1:6" ht="12.75" x14ac:dyDescent="0.2">
      <c r="A889" s="24"/>
      <c r="B889" s="24"/>
      <c r="D889" s="25"/>
      <c r="E889" s="24"/>
      <c r="F889" s="24"/>
    </row>
    <row r="890" spans="1:6" ht="12.75" x14ac:dyDescent="0.2">
      <c r="A890" s="24"/>
      <c r="B890" s="24"/>
      <c r="D890" s="25"/>
      <c r="E890" s="24"/>
      <c r="F890" s="24"/>
    </row>
    <row r="891" spans="1:6" ht="12.75" x14ac:dyDescent="0.2">
      <c r="A891" s="24"/>
      <c r="B891" s="24"/>
      <c r="D891" s="25"/>
      <c r="E891" s="24"/>
      <c r="F891" s="24"/>
    </row>
    <row r="892" spans="1:6" ht="12.75" x14ac:dyDescent="0.2">
      <c r="A892" s="24"/>
      <c r="B892" s="24"/>
      <c r="D892" s="25"/>
      <c r="E892" s="24"/>
      <c r="F892" s="24"/>
    </row>
    <row r="893" spans="1:6" ht="12.75" x14ac:dyDescent="0.2">
      <c r="A893" s="24"/>
      <c r="B893" s="24"/>
      <c r="D893" s="25"/>
      <c r="E893" s="24"/>
      <c r="F893" s="24"/>
    </row>
    <row r="894" spans="1:6" ht="12.75" x14ac:dyDescent="0.2">
      <c r="A894" s="24"/>
      <c r="B894" s="24"/>
      <c r="D894" s="25"/>
      <c r="E894" s="24"/>
      <c r="F894" s="24"/>
    </row>
    <row r="895" spans="1:6" ht="12.75" x14ac:dyDescent="0.2">
      <c r="A895" s="24"/>
      <c r="B895" s="24"/>
      <c r="D895" s="25"/>
      <c r="E895" s="24"/>
      <c r="F895" s="24"/>
    </row>
    <row r="896" spans="1:6" ht="12.75" x14ac:dyDescent="0.2">
      <c r="A896" s="24"/>
      <c r="B896" s="24"/>
      <c r="D896" s="25"/>
      <c r="E896" s="24"/>
      <c r="F896" s="24"/>
    </row>
    <row r="897" spans="1:6" ht="12.75" x14ac:dyDescent="0.2">
      <c r="A897" s="24"/>
      <c r="B897" s="24"/>
      <c r="D897" s="25"/>
      <c r="E897" s="24"/>
      <c r="F897" s="24"/>
    </row>
    <row r="898" spans="1:6" ht="12.75" x14ac:dyDescent="0.2">
      <c r="A898" s="24"/>
      <c r="B898" s="24"/>
      <c r="D898" s="25"/>
      <c r="E898" s="24"/>
      <c r="F898" s="24"/>
    </row>
    <row r="899" spans="1:6" ht="12.75" x14ac:dyDescent="0.2">
      <c r="A899" s="24"/>
      <c r="B899" s="24"/>
      <c r="D899" s="25"/>
      <c r="E899" s="24"/>
      <c r="F899" s="24"/>
    </row>
    <row r="900" spans="1:6" ht="12.75" x14ac:dyDescent="0.2">
      <c r="A900" s="24"/>
      <c r="B900" s="24"/>
      <c r="D900" s="25"/>
      <c r="E900" s="24"/>
      <c r="F900" s="24"/>
    </row>
    <row r="901" spans="1:6" ht="12.75" x14ac:dyDescent="0.2">
      <c r="A901" s="24"/>
      <c r="B901" s="24"/>
      <c r="D901" s="25"/>
      <c r="E901" s="24"/>
      <c r="F901" s="24"/>
    </row>
    <row r="902" spans="1:6" ht="12.75" x14ac:dyDescent="0.2">
      <c r="A902" s="24"/>
      <c r="B902" s="24"/>
      <c r="D902" s="25"/>
      <c r="E902" s="24"/>
      <c r="F902" s="24"/>
    </row>
    <row r="903" spans="1:6" ht="12.75" x14ac:dyDescent="0.2">
      <c r="A903" s="24"/>
      <c r="B903" s="24"/>
      <c r="D903" s="25"/>
      <c r="E903" s="24"/>
      <c r="F903" s="24"/>
    </row>
    <row r="904" spans="1:6" ht="12.75" x14ac:dyDescent="0.2">
      <c r="A904" s="24"/>
      <c r="B904" s="24"/>
      <c r="D904" s="25"/>
      <c r="E904" s="24"/>
      <c r="F904" s="24"/>
    </row>
    <row r="905" spans="1:6" ht="12.75" x14ac:dyDescent="0.2">
      <c r="A905" s="24"/>
      <c r="B905" s="24"/>
      <c r="D905" s="25"/>
      <c r="E905" s="24"/>
      <c r="F905" s="24"/>
    </row>
    <row r="906" spans="1:6" ht="12.75" x14ac:dyDescent="0.2">
      <c r="A906" s="24"/>
      <c r="B906" s="24"/>
      <c r="D906" s="25"/>
      <c r="E906" s="24"/>
      <c r="F906" s="24"/>
    </row>
    <row r="907" spans="1:6" ht="12.75" x14ac:dyDescent="0.2">
      <c r="A907" s="24"/>
      <c r="B907" s="24"/>
      <c r="D907" s="25"/>
      <c r="E907" s="24"/>
      <c r="F907" s="24"/>
    </row>
    <row r="908" spans="1:6" ht="12.75" x14ac:dyDescent="0.2">
      <c r="A908" s="24"/>
      <c r="B908" s="24"/>
      <c r="D908" s="25"/>
      <c r="E908" s="24"/>
      <c r="F908" s="24"/>
    </row>
    <row r="909" spans="1:6" ht="12.75" x14ac:dyDescent="0.2">
      <c r="A909" s="24"/>
      <c r="B909" s="24"/>
      <c r="D909" s="25"/>
      <c r="E909" s="24"/>
      <c r="F909" s="24"/>
    </row>
    <row r="910" spans="1:6" ht="12.75" x14ac:dyDescent="0.2">
      <c r="A910" s="24"/>
      <c r="B910" s="24"/>
      <c r="D910" s="25"/>
      <c r="E910" s="24"/>
      <c r="F910" s="24"/>
    </row>
    <row r="911" spans="1:6" ht="12.75" x14ac:dyDescent="0.2">
      <c r="A911" s="24"/>
      <c r="B911" s="24"/>
      <c r="D911" s="25"/>
      <c r="E911" s="24"/>
      <c r="F911" s="24"/>
    </row>
    <row r="912" spans="1:6" ht="12.75" x14ac:dyDescent="0.2">
      <c r="A912" s="24"/>
      <c r="B912" s="24"/>
      <c r="D912" s="25"/>
      <c r="E912" s="24"/>
      <c r="F912" s="24"/>
    </row>
    <row r="913" spans="1:6" ht="12.75" x14ac:dyDescent="0.2">
      <c r="A913" s="24"/>
      <c r="B913" s="24"/>
      <c r="D913" s="25"/>
      <c r="E913" s="24"/>
      <c r="F913" s="24"/>
    </row>
    <row r="914" spans="1:6" ht="12.75" x14ac:dyDescent="0.2">
      <c r="A914" s="24"/>
      <c r="B914" s="24"/>
      <c r="D914" s="25"/>
      <c r="E914" s="24"/>
      <c r="F914" s="24"/>
    </row>
    <row r="915" spans="1:6" ht="12.75" x14ac:dyDescent="0.2">
      <c r="A915" s="24"/>
      <c r="B915" s="24"/>
      <c r="D915" s="25"/>
      <c r="E915" s="24"/>
      <c r="F915" s="24"/>
    </row>
    <row r="916" spans="1:6" ht="12.75" x14ac:dyDescent="0.2">
      <c r="A916" s="24"/>
      <c r="B916" s="24"/>
      <c r="D916" s="25"/>
      <c r="E916" s="24"/>
      <c r="F916" s="24"/>
    </row>
    <row r="917" spans="1:6" ht="12.75" x14ac:dyDescent="0.2">
      <c r="A917" s="24"/>
      <c r="B917" s="24"/>
      <c r="D917" s="25"/>
      <c r="E917" s="24"/>
      <c r="F917" s="24"/>
    </row>
    <row r="918" spans="1:6" ht="12.75" x14ac:dyDescent="0.2">
      <c r="A918" s="24"/>
      <c r="B918" s="24"/>
      <c r="D918" s="25"/>
      <c r="E918" s="24"/>
      <c r="F918" s="24"/>
    </row>
    <row r="919" spans="1:6" ht="12.75" x14ac:dyDescent="0.2">
      <c r="A919" s="24"/>
      <c r="B919" s="24"/>
      <c r="D919" s="25"/>
      <c r="E919" s="24"/>
      <c r="F919" s="24"/>
    </row>
    <row r="920" spans="1:6" ht="12.75" x14ac:dyDescent="0.2">
      <c r="A920" s="24"/>
      <c r="B920" s="24"/>
      <c r="D920" s="25"/>
      <c r="E920" s="24"/>
      <c r="F920" s="24"/>
    </row>
    <row r="921" spans="1:6" ht="12.75" x14ac:dyDescent="0.2">
      <c r="A921" s="24"/>
      <c r="B921" s="24"/>
      <c r="D921" s="25"/>
      <c r="E921" s="24"/>
      <c r="F921" s="24"/>
    </row>
    <row r="922" spans="1:6" ht="12.75" x14ac:dyDescent="0.2">
      <c r="A922" s="24"/>
      <c r="B922" s="24"/>
      <c r="D922" s="25"/>
      <c r="E922" s="24"/>
      <c r="F922" s="24"/>
    </row>
    <row r="923" spans="1:6" ht="12.75" x14ac:dyDescent="0.2">
      <c r="A923" s="24"/>
      <c r="B923" s="24"/>
      <c r="D923" s="25"/>
      <c r="E923" s="24"/>
      <c r="F923" s="24"/>
    </row>
    <row r="924" spans="1:6" ht="12.75" x14ac:dyDescent="0.2">
      <c r="A924" s="24"/>
      <c r="B924" s="24"/>
      <c r="D924" s="25"/>
      <c r="E924" s="24"/>
      <c r="F924" s="24"/>
    </row>
    <row r="925" spans="1:6" ht="12.75" x14ac:dyDescent="0.2">
      <c r="A925" s="24"/>
      <c r="B925" s="24"/>
      <c r="D925" s="25"/>
      <c r="E925" s="24"/>
      <c r="F925" s="24"/>
    </row>
    <row r="926" spans="1:6" ht="12.75" x14ac:dyDescent="0.2">
      <c r="A926" s="24"/>
      <c r="B926" s="24"/>
      <c r="D926" s="25"/>
      <c r="E926" s="24"/>
      <c r="F926" s="24"/>
    </row>
    <row r="927" spans="1:6" ht="12.75" x14ac:dyDescent="0.2">
      <c r="A927" s="24"/>
      <c r="B927" s="24"/>
      <c r="D927" s="25"/>
      <c r="E927" s="24"/>
      <c r="F927" s="24"/>
    </row>
    <row r="928" spans="1:6" ht="12.75" x14ac:dyDescent="0.2">
      <c r="A928" s="24"/>
      <c r="B928" s="24"/>
      <c r="D928" s="25"/>
      <c r="E928" s="24"/>
      <c r="F928" s="24"/>
    </row>
    <row r="929" spans="1:6" ht="12.75" x14ac:dyDescent="0.2">
      <c r="A929" s="24"/>
      <c r="B929" s="24"/>
      <c r="D929" s="25"/>
      <c r="E929" s="24"/>
      <c r="F929" s="24"/>
    </row>
    <row r="930" spans="1:6" ht="12.75" x14ac:dyDescent="0.2">
      <c r="A930" s="24"/>
      <c r="B930" s="24"/>
      <c r="D930" s="25"/>
      <c r="E930" s="24"/>
      <c r="F930" s="24"/>
    </row>
    <row r="931" spans="1:6" ht="12.75" x14ac:dyDescent="0.2">
      <c r="A931" s="24"/>
      <c r="B931" s="24"/>
      <c r="D931" s="25"/>
      <c r="E931" s="24"/>
      <c r="F931" s="24"/>
    </row>
    <row r="932" spans="1:6" ht="12.75" x14ac:dyDescent="0.2">
      <c r="A932" s="24"/>
      <c r="B932" s="24"/>
      <c r="D932" s="25"/>
      <c r="E932" s="24"/>
      <c r="F932" s="24"/>
    </row>
    <row r="933" spans="1:6" ht="12.75" x14ac:dyDescent="0.2">
      <c r="A933" s="24"/>
      <c r="B933" s="24"/>
      <c r="D933" s="25"/>
      <c r="E933" s="24"/>
      <c r="F933" s="24"/>
    </row>
    <row r="934" spans="1:6" ht="12.75" x14ac:dyDescent="0.2">
      <c r="A934" s="24"/>
      <c r="B934" s="24"/>
      <c r="D934" s="25"/>
      <c r="E934" s="24"/>
      <c r="F934" s="24"/>
    </row>
    <row r="935" spans="1:6" ht="12.75" x14ac:dyDescent="0.2">
      <c r="A935" s="24"/>
      <c r="B935" s="24"/>
      <c r="D935" s="25"/>
      <c r="E935" s="24"/>
      <c r="F935" s="24"/>
    </row>
    <row r="936" spans="1:6" ht="12.75" x14ac:dyDescent="0.2">
      <c r="A936" s="24"/>
      <c r="B936" s="24"/>
      <c r="D936" s="25"/>
      <c r="E936" s="24"/>
      <c r="F936" s="24"/>
    </row>
    <row r="937" spans="1:6" ht="12.75" x14ac:dyDescent="0.2">
      <c r="A937" s="24"/>
      <c r="B937" s="24"/>
      <c r="D937" s="25"/>
      <c r="E937" s="24"/>
      <c r="F937" s="24"/>
    </row>
    <row r="938" spans="1:6" ht="12.75" x14ac:dyDescent="0.2">
      <c r="A938" s="24"/>
      <c r="B938" s="24"/>
      <c r="D938" s="25"/>
      <c r="E938" s="24"/>
      <c r="F938" s="24"/>
    </row>
    <row r="939" spans="1:6" ht="12.75" x14ac:dyDescent="0.2">
      <c r="A939" s="24"/>
      <c r="B939" s="24"/>
      <c r="D939" s="25"/>
      <c r="E939" s="24"/>
      <c r="F939" s="24"/>
    </row>
    <row r="940" spans="1:6" ht="12.75" x14ac:dyDescent="0.2">
      <c r="A940" s="24"/>
      <c r="B940" s="24"/>
      <c r="D940" s="25"/>
      <c r="E940" s="24"/>
      <c r="F940" s="24"/>
    </row>
    <row r="941" spans="1:6" ht="12.75" x14ac:dyDescent="0.2">
      <c r="A941" s="24"/>
      <c r="B941" s="24"/>
      <c r="D941" s="25"/>
      <c r="E941" s="24"/>
      <c r="F941" s="24"/>
    </row>
    <row r="942" spans="1:6" ht="12.75" x14ac:dyDescent="0.2">
      <c r="A942" s="24"/>
      <c r="B942" s="24"/>
      <c r="D942" s="25"/>
      <c r="E942" s="24"/>
      <c r="F942" s="24"/>
    </row>
    <row r="943" spans="1:6" ht="12.75" x14ac:dyDescent="0.2">
      <c r="A943" s="24"/>
      <c r="B943" s="24"/>
      <c r="D943" s="25"/>
      <c r="E943" s="24"/>
      <c r="F943" s="24"/>
    </row>
    <row r="944" spans="1:6" ht="12.75" x14ac:dyDescent="0.2">
      <c r="A944" s="24"/>
      <c r="B944" s="24"/>
      <c r="D944" s="25"/>
      <c r="E944" s="24"/>
      <c r="F944" s="24"/>
    </row>
    <row r="945" spans="1:6" ht="12.75" x14ac:dyDescent="0.2">
      <c r="A945" s="24"/>
      <c r="B945" s="24"/>
      <c r="D945" s="25"/>
      <c r="E945" s="24"/>
      <c r="F945" s="24"/>
    </row>
  </sheetData>
  <mergeCells count="11">
    <mergeCell ref="A110:G110"/>
    <mergeCell ref="A96:G96"/>
    <mergeCell ref="A98:G98"/>
    <mergeCell ref="A46:G46"/>
    <mergeCell ref="A27:G27"/>
    <mergeCell ref="A44:G44"/>
    <mergeCell ref="A2:G2"/>
    <mergeCell ref="A1:G1"/>
    <mergeCell ref="A12:G12"/>
    <mergeCell ref="A14:G14"/>
    <mergeCell ref="A25:G25"/>
  </mergeCells>
  <dataValidations count="3">
    <dataValidation type="custom" allowBlank="1" showDropDown="1" showErrorMessage="1" sqref="F5:F8" xr:uid="{00000000-0002-0000-0500-000000000000}">
      <formula1>AND(#REF!&lt;&gt;"VACANT",ISDATE(F5))</formula1>
    </dataValidation>
    <dataValidation type="decimal" allowBlank="1" showDropDown="1" showErrorMessage="1" sqref="B36 B48:B75 B78:B94 B100:B109" xr:uid="{00000000-0002-0000-0500-000001000000}">
      <formula1>10000</formula1>
      <formula2>999999</formula2>
    </dataValidation>
    <dataValidation type="custom" allowBlank="1" showDropDown="1" showErrorMessage="1" sqref="F16:F24 F29:F43 F48:F75 F78:F95 F100:F109" xr:uid="{00000000-0002-0000-0500-000002000000}">
      <formula1>OR(NOT(ISERROR(DATEVALUE(F16))), AND(ISNUMBER(F16), LEFT(CELL("format", F16))="D"))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REGIONAL OFFICE</vt:lpstr>
      <vt:lpstr>ACIMO</vt:lpstr>
      <vt:lpstr>CNIMO</vt:lpstr>
      <vt:lpstr>CSIMO</vt:lpstr>
      <vt:lpstr>SMIMO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NIA ACIMO</cp:lastModifiedBy>
  <cp:lastPrinted>2026-07-28T05:43:00Z</cp:lastPrinted>
  <dcterms:modified xsi:type="dcterms:W3CDTF">2026-08-04T09:15:41Z</dcterms:modified>
</cp:coreProperties>
</file>