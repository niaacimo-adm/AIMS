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Masterlist as of October 2024\Admin and Finance Division Rev 06\Admin Section -Property Unit Forms Rev 06\"/>
    </mc:Choice>
  </mc:AlternateContent>
  <xr:revisionPtr revIDLastSave="0" documentId="13_ncr:1_{1679341B-E91C-4B08-A298-0A63E8D522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 (2)" sheetId="1" r:id="rId1"/>
    <sheet name="Property Number Format" sheetId="2" r:id="rId2"/>
    <sheet name="Location No." sheetId="3" r:id="rId3"/>
    <sheet name="Threshold" sheetId="4" r:id="rId4"/>
  </sheets>
  <definedNames>
    <definedName name="_xlnm.Print_Area" localSheetId="0">'PAR (2)'!$A$1:$I$54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3" l="1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 Formalejo</author>
  </authors>
  <commentList>
    <comment ref="F13" authorId="0" shapeId="0" xr:uid="{9C9E0F26-EFF5-4D67-B2DA-17A5E92FB6B8}">
      <text>
        <r>
          <rPr>
            <b/>
            <sz val="9"/>
            <color indexed="81"/>
            <rFont val="Tahoma"/>
            <family val="2"/>
          </rPr>
          <t>Robert Formalejo:</t>
        </r>
        <r>
          <rPr>
            <sz val="9"/>
            <color indexed="81"/>
            <rFont val="Tahoma"/>
            <family val="2"/>
          </rPr>
          <t xml:space="preserve">
0000-00-00-0000-Fund-Location
Ex: 2025-01-01-0001-FCOB-R5-01</t>
        </r>
      </text>
    </comment>
  </commentList>
</comments>
</file>

<file path=xl/sharedStrings.xml><?xml version="1.0" encoding="utf-8"?>
<sst xmlns="http://schemas.openxmlformats.org/spreadsheetml/2006/main" count="170" uniqueCount="156">
  <si>
    <t>Date</t>
  </si>
  <si>
    <t xml:space="preserve"> _________________________</t>
  </si>
  <si>
    <t>Position/Office</t>
  </si>
  <si>
    <t xml:space="preserve">   Signature over Printed Name</t>
  </si>
  <si>
    <t xml:space="preserve">Issued by: </t>
  </si>
  <si>
    <t xml:space="preserve">Received by: </t>
  </si>
  <si>
    <t>Amount</t>
  </si>
  <si>
    <t>Description</t>
  </si>
  <si>
    <t>Unit</t>
  </si>
  <si>
    <t>PAR No.: _________</t>
  </si>
  <si>
    <t>Fund Cluster:  ______________________________________</t>
  </si>
  <si>
    <t xml:space="preserve">   Signatue over Printed Name of End User</t>
  </si>
  <si>
    <t>Quantity</t>
  </si>
  <si>
    <t>Property 
Number</t>
  </si>
  <si>
    <t>Date 
Acquired</t>
  </si>
  <si>
    <t xml:space="preserve">                                         PROPERTY ACKNOWLEDGMENT RECEIPT</t>
  </si>
  <si>
    <t>Republic of the Philippines</t>
  </si>
  <si>
    <t>OFFICE OF THE PRESIDENT</t>
  </si>
  <si>
    <t>NATIONAL IRRIGATION ADMINISTRATION</t>
  </si>
  <si>
    <t>PPE sub-major account group</t>
  </si>
  <si>
    <t>General Ledger Account</t>
  </si>
  <si>
    <t>Land</t>
  </si>
  <si>
    <t>OLI</t>
  </si>
  <si>
    <t>WSS</t>
  </si>
  <si>
    <t>Bldg</t>
  </si>
  <si>
    <t>OS</t>
  </si>
  <si>
    <t>OE</t>
  </si>
  <si>
    <t>ICT</t>
  </si>
  <si>
    <t>CE</t>
  </si>
  <si>
    <t>CHE</t>
  </si>
  <si>
    <t>MPSE</t>
  </si>
  <si>
    <t>Medical</t>
  </si>
  <si>
    <t>Other Mac</t>
  </si>
  <si>
    <t>Motor Vehicle</t>
  </si>
  <si>
    <t>Other Transpo</t>
  </si>
  <si>
    <t>FF</t>
  </si>
  <si>
    <t>Office Location Code</t>
  </si>
  <si>
    <t>To add:</t>
  </si>
  <si>
    <t>Funds</t>
  </si>
  <si>
    <t>Month</t>
  </si>
  <si>
    <t>Condition:</t>
  </si>
  <si>
    <t>R5-01</t>
  </si>
  <si>
    <t>RIM Office</t>
  </si>
  <si>
    <t>*COA Section</t>
  </si>
  <si>
    <t>F101</t>
  </si>
  <si>
    <t>01</t>
  </si>
  <si>
    <t>JANUARY</t>
  </si>
  <si>
    <t>in good condition</t>
  </si>
  <si>
    <t>A1</t>
  </si>
  <si>
    <t>R5-02</t>
  </si>
  <si>
    <t>EOD Manager's Office</t>
  </si>
  <si>
    <t>158CARP</t>
  </si>
  <si>
    <t>02</t>
  </si>
  <si>
    <t>FEBRUARY</t>
  </si>
  <si>
    <t>needing repair</t>
  </si>
  <si>
    <t>A2</t>
  </si>
  <si>
    <t>R5-03</t>
  </si>
  <si>
    <t>Planning, Design and Construction Section</t>
  </si>
  <si>
    <t>501CARP</t>
  </si>
  <si>
    <t>03</t>
  </si>
  <si>
    <t>MARCH</t>
  </si>
  <si>
    <t>A3</t>
  </si>
  <si>
    <t>R5-04</t>
  </si>
  <si>
    <t>Operational, Institutional and Equipment Section</t>
  </si>
  <si>
    <t>101CARP</t>
  </si>
  <si>
    <t>04</t>
  </si>
  <si>
    <t>APRIL</t>
  </si>
  <si>
    <t>unserviceable</t>
  </si>
  <si>
    <t>R</t>
  </si>
  <si>
    <t>R5-05</t>
  </si>
  <si>
    <t>AFD Manager's Office</t>
  </si>
  <si>
    <t>FLFP</t>
  </si>
  <si>
    <t>05</t>
  </si>
  <si>
    <t>MAY</t>
  </si>
  <si>
    <t>R5-06</t>
  </si>
  <si>
    <t>Finance Section</t>
  </si>
  <si>
    <t>FCOB</t>
  </si>
  <si>
    <t>06</t>
  </si>
  <si>
    <t>JUNE</t>
  </si>
  <si>
    <t>R5-07</t>
  </si>
  <si>
    <t>Admin Section</t>
  </si>
  <si>
    <t>07</t>
  </si>
  <si>
    <t>JULY</t>
  </si>
  <si>
    <t>R5-08</t>
  </si>
  <si>
    <t>Farmer's/Training Center</t>
  </si>
  <si>
    <t>08</t>
  </si>
  <si>
    <t>AUGUST</t>
  </si>
  <si>
    <t>R5-09</t>
  </si>
  <si>
    <t>Division Manager's Office</t>
  </si>
  <si>
    <t>09</t>
  </si>
  <si>
    <t>SEPTEMBER</t>
  </si>
  <si>
    <t>R5-10</t>
  </si>
  <si>
    <t>Engineering &amp; Operations Section</t>
  </si>
  <si>
    <t>10</t>
  </si>
  <si>
    <t>OCTOBER</t>
  </si>
  <si>
    <t>R5-11</t>
  </si>
  <si>
    <t>Admin &amp; Finance Section</t>
  </si>
  <si>
    <t>11</t>
  </si>
  <si>
    <t>NOVEMBER</t>
  </si>
  <si>
    <t>R5-12</t>
  </si>
  <si>
    <t>Catanduanes Sub-Office</t>
  </si>
  <si>
    <t>12</t>
  </si>
  <si>
    <t>DECEMBER</t>
  </si>
  <si>
    <t>R5-13</t>
  </si>
  <si>
    <t>R5-14</t>
  </si>
  <si>
    <t>R5-15</t>
  </si>
  <si>
    <t>R5-16A</t>
  </si>
  <si>
    <t>SRSF Sub-Office</t>
  </si>
  <si>
    <t>R5-16B</t>
  </si>
  <si>
    <t>Masbate Sub-Office</t>
  </si>
  <si>
    <t>R5-17</t>
  </si>
  <si>
    <t>R5-18</t>
  </si>
  <si>
    <t>R5-19</t>
  </si>
  <si>
    <t>R5-20</t>
  </si>
  <si>
    <t>R5-21</t>
  </si>
  <si>
    <t>R5-22</t>
  </si>
  <si>
    <t>R5-23</t>
  </si>
  <si>
    <t>RIIS District Office</t>
  </si>
  <si>
    <t>R5-24</t>
  </si>
  <si>
    <t>CRIS District Office</t>
  </si>
  <si>
    <t>R5-25</t>
  </si>
  <si>
    <t>THIRIS District Office</t>
  </si>
  <si>
    <t>R5-26</t>
  </si>
  <si>
    <t>LCPIS District Office</t>
  </si>
  <si>
    <t>R5-27</t>
  </si>
  <si>
    <t>COA</t>
  </si>
  <si>
    <t>R5-28</t>
  </si>
  <si>
    <t>Events Hall</t>
  </si>
  <si>
    <t>R5-29</t>
  </si>
  <si>
    <t>PPU Storage</t>
  </si>
  <si>
    <t>R5-30</t>
  </si>
  <si>
    <t>Admin Records Room</t>
  </si>
  <si>
    <t>R5-31</t>
  </si>
  <si>
    <t>EOD Stock Room</t>
  </si>
  <si>
    <t>R5-32</t>
  </si>
  <si>
    <t>RIM Quarters</t>
  </si>
  <si>
    <t>R5-33</t>
  </si>
  <si>
    <t>Guard House</t>
  </si>
  <si>
    <t>Salary Grade</t>
  </si>
  <si>
    <t>Job Grade</t>
  </si>
  <si>
    <t>Threshold</t>
  </si>
  <si>
    <t>1-7</t>
  </si>
  <si>
    <t>8-10</t>
  </si>
  <si>
    <t>11-17</t>
  </si>
  <si>
    <t>18-21</t>
  </si>
  <si>
    <t>22-30</t>
  </si>
  <si>
    <t>2-5</t>
  </si>
  <si>
    <t>6-7</t>
  </si>
  <si>
    <t>12-18</t>
  </si>
  <si>
    <t>P10M above</t>
  </si>
  <si>
    <t>up to P1M</t>
  </si>
  <si>
    <t>up to P10M</t>
  </si>
  <si>
    <t>up to P70,000.00</t>
  </si>
  <si>
    <t>up to P500,000.00</t>
  </si>
  <si>
    <r>
      <t xml:space="preserve">Entity Name : </t>
    </r>
    <r>
      <rPr>
        <u/>
        <sz val="10"/>
        <rFont val="Helvetica"/>
      </rPr>
      <t>National Irrigation Administration - Region V</t>
    </r>
  </si>
  <si>
    <t>ALBAY-CATANDUANES IRRIGATION MANAGEMENT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</si>
</sst>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Php-3409]* #,##0.00_);_([$Php-3409]* \(#,##0.00\);_([$Php-3409]* &quot;-&quot;??_);_(@_)"/>
    <numFmt numFmtId="165" formatCode="m/d/yy;@"/>
    <numFmt numFmtId="166" formatCode="00"/>
  </numFmts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i/>
      <sz val="12"/>
      <name val="Times New Roman"/>
      <family val="1"/>
    </font>
    <font>
      <sz val="11"/>
      <color theme="1"/>
      <name val="Helvetica"/>
    </font>
    <font>
      <b/>
      <sz val="14"/>
      <name val="Helvetica"/>
    </font>
    <font>
      <b/>
      <sz val="12"/>
      <name val="Helvetica"/>
    </font>
    <font>
      <u/>
      <sz val="12"/>
      <name val="Helvetica"/>
    </font>
    <font>
      <sz val="10"/>
      <name val="Helvetica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8"/>
      <name val="Helvetica"/>
    </font>
    <font>
      <sz val="12"/>
      <color theme="1"/>
      <name val="Helvetica"/>
    </font>
    <font>
      <sz val="12"/>
      <name val="Helvetica"/>
    </font>
    <font>
      <sz val="12"/>
      <color theme="1"/>
      <name val="Calibri"/>
      <family val="2"/>
      <scheme val="minor"/>
    </font>
    <font>
      <b/>
      <u/>
      <sz val="12"/>
      <name val="Helvetica"/>
    </font>
    <font>
      <b/>
      <sz val="8"/>
      <color theme="9" tint="-0.249977111117893"/>
      <name val="Helvetica"/>
    </font>
    <font>
      <sz val="8"/>
      <color theme="9" tint="-0.249977111117893"/>
      <name val="Helvetica"/>
    </font>
    <font>
      <b/>
      <sz val="14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mbria"/>
      <family val="1"/>
    </font>
    <font>
      <sz val="10"/>
      <color rgb="FF000000"/>
      <name val="Cambria"/>
      <family val="1"/>
    </font>
    <font>
      <sz val="11"/>
      <color theme="1"/>
      <name val="Trajan Pro"/>
      <family val="1"/>
    </font>
    <font>
      <i/>
      <sz val="14"/>
      <name val="Trajan Pro"/>
      <family val="1"/>
    </font>
    <font>
      <b/>
      <sz val="10.5"/>
      <name val="Trajan Pro"/>
      <family val="1"/>
    </font>
    <font>
      <sz val="9"/>
      <color rgb="FF000000"/>
      <name val="Trajan Pro"/>
      <family val="1"/>
    </font>
    <font>
      <b/>
      <sz val="11"/>
      <name val="Helvetica"/>
    </font>
    <font>
      <b/>
      <sz val="10"/>
      <name val="Helvetica"/>
    </font>
    <font>
      <u/>
      <sz val="10"/>
      <name val="Helvetica"/>
    </font>
    <font>
      <b/>
      <sz val="10.5"/>
      <name val="Trajan Pro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9" fillId="0" borderId="0"/>
    <xf numFmtId="0" fontId="10" fillId="0" borderId="0" applyNumberFormat="0" applyFill="0" applyBorder="0" applyAlignment="0" applyProtection="0"/>
    <xf numFmtId="0" fontId="9" fillId="0" borderId="0"/>
    <xf numFmtId="0" fontId="21" fillId="0" borderId="0"/>
  </cellStyleXfs>
  <cellXfs count="110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14" xfId="0" applyFont="1" applyBorder="1" applyAlignment="1">
      <alignment horizontal="left" vertical="center"/>
    </xf>
    <xf numFmtId="0" fontId="11" fillId="0" borderId="0" xfId="1" applyFont="1"/>
    <xf numFmtId="0" fontId="9" fillId="0" borderId="0" xfId="1"/>
    <xf numFmtId="0" fontId="8" fillId="0" borderId="0" xfId="1" applyFont="1"/>
    <xf numFmtId="0" fontId="12" fillId="0" borderId="0" xfId="0" applyFont="1"/>
    <xf numFmtId="0" fontId="12" fillId="0" borderId="16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3" fillId="0" borderId="17" xfId="0" applyFont="1" applyBorder="1" applyAlignment="1">
      <alignment horizontal="left" vertical="center"/>
    </xf>
    <xf numFmtId="165" fontId="12" fillId="0" borderId="16" xfId="0" applyNumberFormat="1" applyFont="1" applyBorder="1" applyAlignment="1">
      <alignment horizontal="center" vertical="center"/>
    </xf>
    <xf numFmtId="164" fontId="12" fillId="0" borderId="16" xfId="0" applyNumberFormat="1" applyFont="1" applyBorder="1"/>
    <xf numFmtId="0" fontId="12" fillId="0" borderId="1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3" fillId="0" borderId="14" xfId="0" applyFont="1" applyBorder="1" applyAlignment="1">
      <alignment vertical="center"/>
    </xf>
    <xf numFmtId="0" fontId="12" fillId="0" borderId="13" xfId="0" applyFont="1" applyBorder="1"/>
    <xf numFmtId="0" fontId="12" fillId="0" borderId="13" xfId="0" applyFont="1" applyBorder="1" applyAlignment="1">
      <alignment horizontal="right" vertical="center"/>
    </xf>
    <xf numFmtId="0" fontId="13" fillId="0" borderId="14" xfId="0" applyFont="1" applyBorder="1" applyAlignment="1">
      <alignment horizontal="left" vertical="center"/>
    </xf>
    <xf numFmtId="0" fontId="12" fillId="0" borderId="12" xfId="0" applyFont="1" applyBorder="1"/>
    <xf numFmtId="0" fontId="12" fillId="0" borderId="15" xfId="0" applyFont="1" applyBorder="1"/>
    <xf numFmtId="0" fontId="12" fillId="0" borderId="14" xfId="0" applyFont="1" applyBorder="1"/>
    <xf numFmtId="0" fontId="14" fillId="0" borderId="14" xfId="0" applyFont="1" applyBorder="1"/>
    <xf numFmtId="0" fontId="12" fillId="0" borderId="6" xfId="0" applyFont="1" applyBorder="1"/>
    <xf numFmtId="0" fontId="12" fillId="0" borderId="21" xfId="0" applyFont="1" applyBorder="1"/>
    <xf numFmtId="0" fontId="12" fillId="0" borderId="11" xfId="0" applyFont="1" applyBorder="1"/>
    <xf numFmtId="0" fontId="12" fillId="0" borderId="10" xfId="0" applyFont="1" applyBorder="1"/>
    <xf numFmtId="0" fontId="6" fillId="0" borderId="5" xfId="0" applyFont="1" applyBorder="1"/>
    <xf numFmtId="0" fontId="13" fillId="0" borderId="0" xfId="0" applyFont="1"/>
    <xf numFmtId="0" fontId="12" fillId="0" borderId="4" xfId="0" applyFont="1" applyBorder="1"/>
    <xf numFmtId="0" fontId="16" fillId="0" borderId="0" xfId="3" applyFont="1" applyAlignment="1">
      <alignment vertical="center"/>
    </xf>
    <xf numFmtId="0" fontId="17" fillId="0" borderId="0" xfId="3" applyFont="1" applyAlignment="1">
      <alignment vertical="center"/>
    </xf>
    <xf numFmtId="0" fontId="17" fillId="0" borderId="0" xfId="2" quotePrefix="1" applyFont="1" applyAlignment="1">
      <alignment vertical="center"/>
    </xf>
    <xf numFmtId="0" fontId="21" fillId="0" borderId="0" xfId="4"/>
    <xf numFmtId="0" fontId="22" fillId="0" borderId="0" xfId="4" applyFont="1"/>
    <xf numFmtId="166" fontId="21" fillId="0" borderId="0" xfId="4" applyNumberFormat="1" applyAlignment="1">
      <alignment horizontal="center"/>
    </xf>
    <xf numFmtId="0" fontId="23" fillId="0" borderId="0" xfId="4" applyFont="1"/>
    <xf numFmtId="0" fontId="24" fillId="0" borderId="0" xfId="4" applyFont="1"/>
    <xf numFmtId="0" fontId="25" fillId="0" borderId="0" xfId="4" applyFont="1"/>
    <xf numFmtId="0" fontId="26" fillId="0" borderId="0" xfId="4" applyFont="1"/>
    <xf numFmtId="0" fontId="26" fillId="0" borderId="0" xfId="4" quotePrefix="1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9" fillId="0" borderId="0" xfId="0" applyFont="1"/>
    <xf numFmtId="0" fontId="30" fillId="0" borderId="0" xfId="0" applyFont="1" applyAlignment="1">
      <alignment horizontal="right"/>
    </xf>
    <xf numFmtId="0" fontId="30" fillId="0" borderId="0" xfId="0" applyFont="1"/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3" fillId="0" borderId="0" xfId="0" applyFont="1"/>
    <xf numFmtId="0" fontId="34" fillId="0" borderId="0" xfId="0" applyFont="1" applyAlignment="1">
      <alignment vertical="center"/>
    </xf>
    <xf numFmtId="0" fontId="34" fillId="0" borderId="0" xfId="0" applyFont="1"/>
    <xf numFmtId="0" fontId="34" fillId="0" borderId="19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15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20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34" fillId="0" borderId="19" xfId="0" applyFont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center" wrapText="1"/>
    </xf>
    <xf numFmtId="0" fontId="34" fillId="0" borderId="9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34" fillId="0" borderId="7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27" fillId="0" borderId="0" xfId="1" applyFont="1" applyAlignment="1"/>
    <xf numFmtId="0" fontId="28" fillId="0" borderId="0" xfId="1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1" applyFont="1" applyAlignment="1">
      <alignment vertical="center" wrapText="1"/>
    </xf>
    <xf numFmtId="0" fontId="27" fillId="0" borderId="0" xfId="1" applyFont="1" applyAlignment="1"/>
    <xf numFmtId="0" fontId="28" fillId="0" borderId="0" xfId="1" applyFont="1" applyAlignment="1">
      <alignment vertical="center"/>
    </xf>
    <xf numFmtId="0" fontId="32" fillId="0" borderId="0" xfId="1" applyFont="1" applyAlignment="1">
      <alignment vertical="center" wrapText="1"/>
    </xf>
    <xf numFmtId="0" fontId="36" fillId="0" borderId="0" xfId="0" applyFont="1" applyAlignment="1">
      <alignment vertical="center"/>
    </xf>
  </cellXfs>
  <cellStyles count="5">
    <cellStyle name="Hyperlink" xfId="2" builtinId="8"/>
    <cellStyle name="Normal" xfId="0" builtinId="0"/>
    <cellStyle name="Normal 2" xfId="1" xr:uid="{37AAAC73-9340-4EC2-9FE4-E30771E061A7}"/>
    <cellStyle name="Normal 2 2" xfId="3" xr:uid="{BCF764F4-329F-4AFF-A1C5-1ADF3F78DBF4}"/>
    <cellStyle name="Normal 3" xfId="4" xr:uid="{5E0F225A-7A71-44A6-B01C-5751D8C52B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576263</xdr:colOff>
      <xdr:row>0</xdr:row>
      <xdr:rowOff>38100</xdr:rowOff>
    </xdr:from>
    <xdr:to>
      <xdr:col>8</xdr:col>
      <xdr:colOff>831479</xdr:colOff>
      <xdr:row>5</xdr:row>
      <xdr:rowOff>89243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DECD3B-863C-40F4-B72F-85AB73350C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950"/>
        <a:stretch/>
      </xdr:blipFill>
      <xdr:spPr>
        <a:xfrm>
          <a:off x="6472238" y="38100"/>
          <a:ext cx="988641" cy="879818"/>
        </a:xfrm>
        <a:prstGeom prst="rect">
          <a:avLst/>
        </a:prstGeom>
      </xdr:spPr>
    </xdr:pic>
    <xdr:clientData/>
  </xdr:twoCellAnchor>
  <xdr:twoCellAnchor>
    <xdr:from>
      <xdr:col>0</xdr:col>
      <xdr:colOff>202406</xdr:colOff>
      <xdr:row>0</xdr:row>
      <xdr:rowOff>61913</xdr:rowOff>
    </xdr:from>
    <xdr:to>
      <xdr:col>2</xdr:col>
      <xdr:colOff>468823</xdr:colOff>
      <xdr:row>4</xdr:row>
      <xdr:rowOff>48202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998F7137-7778-4CC3-96F8-AED8A2D4D36E}"/>
            </a:ext>
          </a:extLst>
        </xdr:cNvPr>
        <xdr:cNvGrpSpPr/>
      </xdr:nvGrpSpPr>
      <xdr:grpSpPr>
        <a:xfrm>
          <a:off x="202406" y="61913"/>
          <a:ext cx="1485617" cy="710189"/>
          <a:chOff x="0" y="0"/>
          <a:chExt cx="1061300" cy="514985"/>
        </a:xfrm>
      </xdr:grpSpPr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756A871C-660F-BD31-1E11-A46CC027EA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06095" cy="506095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D7449FDF-4E21-17A0-C920-B536CEF556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6315" y="0"/>
            <a:ext cx="514985" cy="514985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23813</xdr:colOff>
      <xdr:row>48</xdr:row>
      <xdr:rowOff>-1</xdr:rowOff>
    </xdr:from>
    <xdr:to>
      <xdr:col>8</xdr:col>
      <xdr:colOff>916781</xdr:colOff>
      <xdr:row>54</xdr:row>
      <xdr:rowOff>47625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034188A-7149-4C9B-8AB2-7A8C9F6787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" t="22479"/>
        <a:stretch/>
      </xdr:blipFill>
      <xdr:spPr>
        <a:xfrm>
          <a:off x="23813" y="10120312"/>
          <a:ext cx="7524749" cy="1154907"/>
        </a:xfrm>
        <a:prstGeom prst="rect">
          <a:avLst/>
        </a:prstGeom>
      </xdr:spPr>
    </xdr:pic>
    <xdr:clientData/>
  </xdr:twoCellAnchor>
  <xdr:twoCellAnchor>
    <xdr:from>
      <xdr:col>0</xdr:col>
      <xdr:colOff>59532</xdr:colOff>
      <xdr:row>49</xdr:row>
      <xdr:rowOff>179508</xdr:rowOff>
    </xdr:from>
    <xdr:to>
      <xdr:col>5</xdr:col>
      <xdr:colOff>66559</xdr:colOff>
      <xdr:row>53</xdr:row>
      <xdr:rowOff>44413</xdr:rowOff>
    </xdr:to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F30DD7C4-F8A1-47CA-9D9D-9D07C951EE39}"/>
            </a:ext>
          </a:extLst>
        </xdr:cNvPr>
        <xdr:cNvSpPr txBox="1"/>
      </xdr:nvSpPr>
      <xdr:spPr>
        <a:xfrm>
          <a:off x="59532" y="10444527"/>
          <a:ext cx="4212681" cy="626905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r>
            <a:rPr lang="en-US" sz="800" b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Panganiban Drive, Naga City, Camarines Sur, Philippines</a:t>
          </a:r>
          <a:endParaRPr lang="en-PH" sz="8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Telephone No.: (054) 871-5611 • Telefax No.: (054) 871-5604</a:t>
          </a:r>
          <a:endParaRPr lang="en-PH" sz="8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Email r5@nia.gov.ph • Website: www.region5.nia.gov.ph   •  TIN: 000916415116 </a:t>
          </a:r>
        </a:p>
        <a:p>
          <a:r>
            <a:rPr lang="en-PH" sz="800" b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NIA-RO V-AFD-ADM/PPU-INT-Form07</a:t>
          </a:r>
          <a:r>
            <a:rPr lang="en-PH" sz="800" b="1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PH" sz="800" b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Rev06</a:t>
          </a:r>
        </a:p>
      </xdr:txBody>
    </xdr:sp>
    <xdr:clientData/>
  </xdr:twoCellAnchor>
  <xdr:twoCellAnchor>
    <xdr:from>
      <xdr:col>7</xdr:col>
      <xdr:colOff>186448</xdr:colOff>
      <xdr:row>50</xdr:row>
      <xdr:rowOff>81064</xdr:rowOff>
    </xdr:from>
    <xdr:to>
      <xdr:col>8</xdr:col>
      <xdr:colOff>796800</xdr:colOff>
      <xdr:row>52</xdr:row>
      <xdr:rowOff>159633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7D5239-A4CB-44CA-9328-71A05CE8DCF7}"/>
            </a:ext>
          </a:extLst>
        </xdr:cNvPr>
        <xdr:cNvGrpSpPr/>
      </xdr:nvGrpSpPr>
      <xdr:grpSpPr>
        <a:xfrm>
          <a:off x="6082423" y="10291864"/>
          <a:ext cx="1343777" cy="459569"/>
          <a:chOff x="1100534" y="-3889"/>
          <a:chExt cx="1595676" cy="588089"/>
        </a:xfrm>
      </xdr:grpSpPr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792BE4D6-E93B-6F1C-CE8C-995256F571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51000" y="0"/>
            <a:ext cx="1045210" cy="5842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5B109584-FC58-4860-0BD4-032DA9041FE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99" t="6430" r="5705" b="5770"/>
          <a:stretch/>
        </xdr:blipFill>
        <xdr:spPr>
          <a:xfrm>
            <a:off x="1100534" y="-3889"/>
            <a:ext cx="538972" cy="580908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23</xdr:row>
      <xdr:rowOff>152400</xdr:rowOff>
    </xdr:from>
    <xdr:to>
      <xdr:col>10</xdr:col>
      <xdr:colOff>514350</xdr:colOff>
      <xdr:row>41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B0DE0FC-1D39-47CC-9246-22DBB9774965}"/>
            </a:ext>
          </a:extLst>
        </xdr:cNvPr>
        <xdr:cNvSpPr txBox="1"/>
      </xdr:nvSpPr>
      <xdr:spPr>
        <a:xfrm>
          <a:off x="104775" y="3876675"/>
          <a:ext cx="6505575" cy="279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000"/>
            <a:t>LAND						1-06-01-010</a:t>
          </a:r>
        </a:p>
        <a:p>
          <a:r>
            <a:rPr lang="en-PH" sz="1000"/>
            <a:t>OTHER LAND IMPROVEMENTS				1-06-02-990</a:t>
          </a:r>
        </a:p>
        <a:p>
          <a:r>
            <a:rPr lang="en-PH" sz="1000"/>
            <a:t>WATER SUPPLY SYSTEMS					1-06-03-040</a:t>
          </a:r>
        </a:p>
        <a:p>
          <a:r>
            <a:rPr lang="en-PH" sz="1000"/>
            <a:t>BUILDINGS						1-06-04-010</a:t>
          </a:r>
        </a:p>
        <a:p>
          <a:r>
            <a:rPr lang="en-PH" sz="1000"/>
            <a:t>OTHER STRUCTURES					1-06-04-990</a:t>
          </a:r>
        </a:p>
        <a:p>
          <a:r>
            <a:rPr lang="en-PH" sz="1000"/>
            <a:t>OFFICE EQUIPMENT					1-06-05-020</a:t>
          </a:r>
        </a:p>
        <a:p>
          <a:r>
            <a:rPr lang="en-PH" sz="1000"/>
            <a:t>INFORMATION AND COMMUNICATIONS TECHNOLOGY EQUIPMENT		1-06-05-030</a:t>
          </a:r>
        </a:p>
        <a:p>
          <a:r>
            <a:rPr lang="en-PH" sz="1000"/>
            <a:t>COMMUNICATIONS EQUIPMENT				1-06-05-070</a:t>
          </a:r>
        </a:p>
        <a:p>
          <a:r>
            <a:rPr lang="en-PH" sz="1000"/>
            <a:t>CONSTRUCTION AND HEAVY EQUIPMENT				1-06-05-080</a:t>
          </a:r>
        </a:p>
        <a:p>
          <a:r>
            <a:rPr lang="en-PH" sz="1000"/>
            <a:t>MILITARY, POLICE AND SECURITY EQUIPMENT			1-06-05-100</a:t>
          </a:r>
        </a:p>
        <a:p>
          <a:r>
            <a:rPr lang="en-PH" sz="1000"/>
            <a:t>MEDICAL EQUIPMENT					1-06-05-110</a:t>
          </a:r>
        </a:p>
        <a:p>
          <a:r>
            <a:rPr lang="en-PH" sz="1000"/>
            <a:t>TECHNICAL AND SCIENTIFIC EQUIPMENT				1-06-05-140</a:t>
          </a:r>
        </a:p>
        <a:p>
          <a:r>
            <a:rPr lang="en-PH" sz="1000"/>
            <a:t>OTHER MACHINERY AND EQUIPMENT				1-06-05-990</a:t>
          </a:r>
        </a:p>
        <a:p>
          <a:r>
            <a:rPr lang="en-PH" sz="1000"/>
            <a:t>MOTOR VEHICLES					1-06-06-010</a:t>
          </a:r>
        </a:p>
        <a:p>
          <a:r>
            <a:rPr lang="en-PH" sz="1000"/>
            <a:t>OTHER TRANSPORTATION EQUIPMENT				1-06-06-990</a:t>
          </a:r>
        </a:p>
        <a:p>
          <a:r>
            <a:rPr lang="en-PH" sz="1000"/>
            <a:t>FURNITURE AND FIXTURES					1-06-07-010</a:t>
          </a:r>
        </a:p>
      </xdr:txBody>
    </xdr:sp>
    <xdr:clientData/>
  </xdr:twoCellAnchor>
  <xdr:twoCellAnchor editAs="oneCell">
    <xdr:from>
      <xdr:col>0</xdr:col>
      <xdr:colOff>152400</xdr:colOff>
      <xdr:row>2</xdr:row>
      <xdr:rowOff>152400</xdr:rowOff>
    </xdr:from>
    <xdr:to>
      <xdr:col>8</xdr:col>
      <xdr:colOff>229291</xdr:colOff>
      <xdr:row>16</xdr:row>
      <xdr:rowOff>38400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7BD5E4-1DBE-4716-95EE-70EAB9F91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476250"/>
          <a:ext cx="4953691" cy="215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4"/>
  <sheetViews>
    <sheetView tabSelected="1" view="pageBreakPreview" zoomScaleNormal="100" zoomScaleSheetLayoutView="100" workbookViewId="0">
      <selection activeCell="F11" sqref="F11:G12"/>
    </sheetView>
  </sheetViews>
  <sheetFormatPr defaultRowHeight="15" x14ac:dyDescent="0.25"/>
  <cols>
    <col min="1" max="1" width="10.42578125" customWidth="1"/>
    <col min="2" max="3" width="7.85546875" customWidth="1"/>
    <col min="4" max="4" width="15" customWidth="1"/>
    <col min="5" max="5" width="21.7109375" customWidth="1"/>
    <col min="6" max="6" width="8.7109375" customWidth="1"/>
    <col min="7" max="7" width="16.85546875" customWidth="1"/>
    <col min="8" max="8" width="11" customWidth="1"/>
    <col min="9" max="9" width="13.85546875" bestFit="1" customWidth="1"/>
  </cols>
  <sheetData>
    <row r="1" spans="1:9" ht="13.5" customHeight="1" x14ac:dyDescent="0.25">
      <c r="A1" s="102"/>
      <c r="B1" s="102"/>
      <c r="C1" s="102"/>
      <c r="D1" s="106" t="s">
        <v>16</v>
      </c>
      <c r="E1" s="106"/>
      <c r="F1" s="106"/>
      <c r="G1" s="106"/>
      <c r="H1" s="102"/>
      <c r="I1" s="102"/>
    </row>
    <row r="2" spans="1:9" x14ac:dyDescent="0.25">
      <c r="A2" s="103"/>
      <c r="B2" s="103"/>
      <c r="C2" s="103"/>
      <c r="D2" s="107" t="s">
        <v>17</v>
      </c>
      <c r="E2" s="107"/>
      <c r="F2" s="107"/>
      <c r="G2" s="107"/>
      <c r="H2" s="103"/>
      <c r="I2" s="103"/>
    </row>
    <row r="3" spans="1:9" s="3" customFormat="1" ht="13.15" customHeight="1" x14ac:dyDescent="0.25">
      <c r="A3" s="104"/>
      <c r="B3" s="104"/>
      <c r="C3" s="104"/>
      <c r="D3" s="109" t="s">
        <v>18</v>
      </c>
      <c r="E3" s="109"/>
      <c r="F3" s="109"/>
      <c r="G3" s="109"/>
      <c r="H3" s="104"/>
      <c r="I3" s="104"/>
    </row>
    <row r="4" spans="1:9" ht="15.75" customHeight="1" x14ac:dyDescent="0.25">
      <c r="A4" s="105"/>
      <c r="B4" s="105"/>
      <c r="C4" s="105"/>
      <c r="D4" s="108" t="s">
        <v>155</v>
      </c>
      <c r="E4" s="108"/>
      <c r="F4" s="108"/>
      <c r="G4" s="108"/>
      <c r="H4" s="105"/>
      <c r="I4" s="105"/>
    </row>
    <row r="5" spans="1:9" ht="8.25" customHeight="1" x14ac:dyDescent="0.3">
      <c r="A5" s="50"/>
      <c r="B5" s="50"/>
      <c r="C5" s="50"/>
      <c r="D5" s="50"/>
      <c r="E5" s="50"/>
      <c r="F5" s="50"/>
      <c r="G5" s="50"/>
      <c r="H5" s="51"/>
      <c r="I5" s="52"/>
    </row>
    <row r="6" spans="1:9" ht="18.75" x14ac:dyDescent="0.3">
      <c r="A6" s="93" t="s">
        <v>15</v>
      </c>
      <c r="B6" s="93"/>
      <c r="C6" s="93"/>
      <c r="D6" s="93"/>
      <c r="E6" s="93"/>
      <c r="F6" s="93"/>
      <c r="G6" s="93"/>
      <c r="H6" s="93"/>
      <c r="I6" s="93"/>
    </row>
    <row r="7" spans="1:9" ht="12" customHeight="1" x14ac:dyDescent="0.25">
      <c r="A7" s="6"/>
      <c r="B7" s="6"/>
      <c r="C7" s="6"/>
      <c r="D7" s="6"/>
      <c r="E7" s="6"/>
      <c r="F7" s="6"/>
      <c r="G7" s="6"/>
      <c r="H7" s="6"/>
      <c r="I7" s="5"/>
    </row>
    <row r="8" spans="1:9" ht="17.25" customHeight="1" x14ac:dyDescent="0.25">
      <c r="A8" s="56" t="s">
        <v>154</v>
      </c>
      <c r="B8" s="53"/>
      <c r="C8" s="53"/>
      <c r="D8" s="53"/>
      <c r="E8" s="53"/>
      <c r="F8" s="54"/>
      <c r="G8" s="5"/>
      <c r="H8" s="5"/>
      <c r="I8" s="5"/>
    </row>
    <row r="9" spans="1:9" ht="17.25" customHeight="1" x14ac:dyDescent="0.25">
      <c r="A9" s="57" t="s">
        <v>10</v>
      </c>
      <c r="B9" s="55"/>
      <c r="C9" s="55"/>
      <c r="D9" s="55"/>
      <c r="E9" s="55"/>
      <c r="F9" s="5"/>
      <c r="G9" s="55"/>
      <c r="H9" s="55" t="s">
        <v>9</v>
      </c>
      <c r="I9" s="55"/>
    </row>
    <row r="10" spans="1:9" ht="9" customHeight="1" thickBot="1" x14ac:dyDescent="0.3">
      <c r="A10" s="11"/>
      <c r="B10" s="11"/>
      <c r="C10" s="11"/>
      <c r="D10" s="11"/>
      <c r="E10" s="11"/>
      <c r="F10" s="11"/>
      <c r="G10" s="11"/>
      <c r="H10" s="11"/>
      <c r="I10" s="11"/>
    </row>
    <row r="11" spans="1:9" s="3" customFormat="1" ht="21.95" customHeight="1" x14ac:dyDescent="0.25">
      <c r="A11" s="94" t="s">
        <v>12</v>
      </c>
      <c r="B11" s="58" t="s">
        <v>8</v>
      </c>
      <c r="C11" s="96" t="s">
        <v>7</v>
      </c>
      <c r="D11" s="97"/>
      <c r="E11" s="98"/>
      <c r="F11" s="60" t="s">
        <v>13</v>
      </c>
      <c r="G11" s="61"/>
      <c r="H11" s="94" t="s">
        <v>14</v>
      </c>
      <c r="I11" s="58" t="s">
        <v>6</v>
      </c>
    </row>
    <row r="12" spans="1:9" s="3" customFormat="1" ht="6" customHeight="1" thickBot="1" x14ac:dyDescent="0.3">
      <c r="A12" s="95"/>
      <c r="B12" s="59"/>
      <c r="C12" s="99"/>
      <c r="D12" s="100"/>
      <c r="E12" s="101"/>
      <c r="F12" s="62"/>
      <c r="G12" s="63"/>
      <c r="H12" s="59"/>
      <c r="I12" s="59"/>
    </row>
    <row r="13" spans="1:9" ht="15.75" customHeight="1" x14ac:dyDescent="0.25">
      <c r="A13" s="12"/>
      <c r="B13" s="12"/>
      <c r="C13" s="13"/>
      <c r="D13" s="14"/>
      <c r="E13" s="15"/>
      <c r="F13" s="91"/>
      <c r="G13" s="92"/>
      <c r="H13" s="16"/>
      <c r="I13" s="17"/>
    </row>
    <row r="14" spans="1:9" ht="15.75" customHeight="1" x14ac:dyDescent="0.25">
      <c r="A14" s="18"/>
      <c r="B14" s="18"/>
      <c r="C14" s="19"/>
      <c r="D14" s="20"/>
      <c r="E14" s="21"/>
      <c r="F14" s="72"/>
      <c r="G14" s="73"/>
      <c r="H14" s="22"/>
      <c r="I14" s="23"/>
    </row>
    <row r="15" spans="1:9" ht="15.75" customHeight="1" x14ac:dyDescent="0.25">
      <c r="A15" s="18"/>
      <c r="B15" s="18"/>
      <c r="C15" s="19"/>
      <c r="D15" s="20"/>
      <c r="E15" s="21"/>
      <c r="F15" s="72"/>
      <c r="G15" s="73"/>
      <c r="H15" s="22"/>
      <c r="I15" s="22"/>
    </row>
    <row r="16" spans="1:9" ht="15.75" customHeight="1" x14ac:dyDescent="0.25">
      <c r="A16" s="18"/>
      <c r="B16" s="18"/>
      <c r="C16" s="19"/>
      <c r="D16" s="20"/>
      <c r="E16" s="21"/>
      <c r="F16" s="72"/>
      <c r="G16" s="73"/>
      <c r="H16" s="22"/>
      <c r="I16" s="22"/>
    </row>
    <row r="17" spans="1:9" ht="15.75" customHeight="1" x14ac:dyDescent="0.25">
      <c r="A17" s="18"/>
      <c r="B17" s="18"/>
      <c r="C17" s="19"/>
      <c r="D17" s="20"/>
      <c r="E17" s="24"/>
      <c r="F17" s="72"/>
      <c r="G17" s="73"/>
      <c r="H17" s="22"/>
      <c r="I17" s="22"/>
    </row>
    <row r="18" spans="1:9" ht="15.75" customHeight="1" x14ac:dyDescent="0.25">
      <c r="A18" s="18"/>
      <c r="B18" s="18"/>
      <c r="C18" s="19"/>
      <c r="D18" s="20"/>
      <c r="E18" s="24"/>
      <c r="F18" s="72"/>
      <c r="G18" s="73"/>
      <c r="H18" s="22"/>
      <c r="I18" s="22"/>
    </row>
    <row r="19" spans="1:9" ht="15.75" customHeight="1" x14ac:dyDescent="0.25">
      <c r="A19" s="18"/>
      <c r="B19" s="18"/>
      <c r="C19" s="19"/>
      <c r="D19" s="20"/>
      <c r="E19" s="24"/>
      <c r="F19" s="72"/>
      <c r="G19" s="73"/>
      <c r="H19" s="22"/>
      <c r="I19" s="22"/>
    </row>
    <row r="20" spans="1:9" ht="15.75" customHeight="1" x14ac:dyDescent="0.25">
      <c r="A20" s="18"/>
      <c r="B20" s="18"/>
      <c r="C20" s="19"/>
      <c r="D20" s="20"/>
      <c r="E20" s="24"/>
      <c r="F20" s="72"/>
      <c r="G20" s="73"/>
      <c r="H20" s="22"/>
      <c r="I20" s="22"/>
    </row>
    <row r="21" spans="1:9" ht="15.75" customHeight="1" x14ac:dyDescent="0.25">
      <c r="A21" s="18"/>
      <c r="B21" s="18"/>
      <c r="C21" s="19"/>
      <c r="D21" s="20"/>
      <c r="E21" s="24"/>
      <c r="F21" s="72"/>
      <c r="G21" s="73"/>
      <c r="H21" s="22"/>
      <c r="I21" s="22"/>
    </row>
    <row r="22" spans="1:9" ht="15.75" customHeight="1" x14ac:dyDescent="0.25">
      <c r="A22" s="18"/>
      <c r="B22" s="18"/>
      <c r="C22" s="19"/>
      <c r="D22" s="20"/>
      <c r="E22" s="24"/>
      <c r="F22" s="72"/>
      <c r="G22" s="73"/>
      <c r="H22" s="22"/>
      <c r="I22" s="22"/>
    </row>
    <row r="23" spans="1:9" ht="15.75" customHeight="1" x14ac:dyDescent="0.25">
      <c r="A23" s="18"/>
      <c r="B23" s="18"/>
      <c r="C23" s="19"/>
      <c r="D23" s="20"/>
      <c r="E23" s="24"/>
      <c r="F23" s="72"/>
      <c r="G23" s="73"/>
      <c r="H23" s="22"/>
      <c r="I23" s="22"/>
    </row>
    <row r="24" spans="1:9" ht="15.75" customHeight="1" x14ac:dyDescent="0.25">
      <c r="A24" s="18"/>
      <c r="B24" s="18"/>
      <c r="C24" s="19"/>
      <c r="D24" s="20"/>
      <c r="E24" s="24"/>
      <c r="F24" s="72"/>
      <c r="G24" s="73"/>
      <c r="H24" s="22"/>
      <c r="I24" s="22"/>
    </row>
    <row r="25" spans="1:9" ht="15.75" customHeight="1" x14ac:dyDescent="0.25">
      <c r="A25" s="22"/>
      <c r="B25" s="22"/>
      <c r="C25" s="25"/>
      <c r="D25" s="26"/>
      <c r="E25" s="24"/>
      <c r="F25" s="72"/>
      <c r="G25" s="73"/>
      <c r="H25" s="22"/>
      <c r="I25" s="22"/>
    </row>
    <row r="26" spans="1:9" ht="15.75" customHeight="1" x14ac:dyDescent="0.25">
      <c r="A26" s="22"/>
      <c r="B26" s="22"/>
      <c r="C26" s="25"/>
      <c r="D26" s="26"/>
      <c r="E26" s="27"/>
      <c r="F26" s="72"/>
      <c r="G26" s="73"/>
      <c r="H26" s="22"/>
      <c r="I26" s="22"/>
    </row>
    <row r="27" spans="1:9" ht="15.75" customHeight="1" x14ac:dyDescent="0.25">
      <c r="A27" s="22"/>
      <c r="B27" s="22"/>
      <c r="C27" s="25"/>
      <c r="D27" s="26"/>
      <c r="E27" s="27"/>
      <c r="F27" s="72"/>
      <c r="G27" s="73"/>
      <c r="H27" s="22"/>
      <c r="I27" s="22"/>
    </row>
    <row r="28" spans="1:9" ht="15.75" customHeight="1" x14ac:dyDescent="0.25">
      <c r="A28" s="22"/>
      <c r="B28" s="22"/>
      <c r="C28" s="25"/>
      <c r="D28" s="26"/>
      <c r="E28" s="7"/>
      <c r="F28" s="72"/>
      <c r="G28" s="73"/>
      <c r="H28" s="22"/>
      <c r="I28" s="22"/>
    </row>
    <row r="29" spans="1:9" ht="15.75" customHeight="1" x14ac:dyDescent="0.25">
      <c r="A29" s="22"/>
      <c r="B29" s="22"/>
      <c r="C29" s="25"/>
      <c r="D29" s="26"/>
      <c r="E29" s="7"/>
      <c r="F29" s="72"/>
      <c r="G29" s="73"/>
      <c r="H29" s="22"/>
      <c r="I29" s="22"/>
    </row>
    <row r="30" spans="1:9" ht="15.75" customHeight="1" x14ac:dyDescent="0.25">
      <c r="A30" s="22"/>
      <c r="B30" s="22"/>
      <c r="C30" s="25"/>
      <c r="D30" s="26"/>
      <c r="E30" s="27"/>
      <c r="F30" s="72"/>
      <c r="G30" s="73"/>
      <c r="H30" s="22"/>
      <c r="I30" s="22"/>
    </row>
    <row r="31" spans="1:9" ht="15.75" customHeight="1" x14ac:dyDescent="0.25">
      <c r="A31" s="22"/>
      <c r="B31" s="22"/>
      <c r="C31" s="25"/>
      <c r="D31" s="26"/>
      <c r="E31" s="27"/>
      <c r="F31" s="72"/>
      <c r="G31" s="73"/>
      <c r="H31" s="22"/>
      <c r="I31" s="22"/>
    </row>
    <row r="32" spans="1:9" ht="15.75" customHeight="1" x14ac:dyDescent="0.25">
      <c r="A32" s="22"/>
      <c r="B32" s="22"/>
      <c r="C32" s="25"/>
      <c r="D32" s="26"/>
      <c r="E32" s="27"/>
      <c r="F32" s="72"/>
      <c r="G32" s="73"/>
      <c r="H32" s="22"/>
      <c r="I32" s="22"/>
    </row>
    <row r="33" spans="1:11" ht="15.75" customHeight="1" x14ac:dyDescent="0.25">
      <c r="A33" s="22"/>
      <c r="B33" s="22"/>
      <c r="C33" s="25"/>
      <c r="D33" s="26"/>
      <c r="E33" s="27"/>
      <c r="F33" s="72"/>
      <c r="G33" s="73"/>
      <c r="H33" s="22"/>
      <c r="I33" s="22"/>
    </row>
    <row r="34" spans="1:11" ht="15.75" customHeight="1" x14ac:dyDescent="0.25">
      <c r="A34" s="22"/>
      <c r="B34" s="22"/>
      <c r="C34" s="25"/>
      <c r="D34" s="26"/>
      <c r="E34" s="27"/>
      <c r="F34" s="72"/>
      <c r="G34" s="73"/>
      <c r="H34" s="22"/>
      <c r="I34" s="22"/>
    </row>
    <row r="35" spans="1:11" ht="15.75" customHeight="1" x14ac:dyDescent="0.25">
      <c r="A35" s="22"/>
      <c r="B35" s="22"/>
      <c r="C35" s="25"/>
      <c r="D35" s="26"/>
      <c r="E35" s="27"/>
      <c r="F35" s="72"/>
      <c r="G35" s="73"/>
      <c r="H35" s="22"/>
      <c r="I35" s="22"/>
    </row>
    <row r="36" spans="1:11" ht="15.75" customHeight="1" x14ac:dyDescent="0.25">
      <c r="A36" s="22"/>
      <c r="B36" s="22"/>
      <c r="C36" s="25"/>
      <c r="D36" s="26"/>
      <c r="E36" s="27"/>
      <c r="F36" s="72"/>
      <c r="G36" s="73"/>
      <c r="H36" s="22"/>
      <c r="I36" s="22"/>
    </row>
    <row r="37" spans="1:11" ht="15.75" customHeight="1" x14ac:dyDescent="0.25">
      <c r="A37" s="22"/>
      <c r="B37" s="22"/>
      <c r="C37" s="25"/>
      <c r="D37" s="26"/>
      <c r="E37" s="27"/>
      <c r="F37" s="72"/>
      <c r="G37" s="73"/>
      <c r="H37" s="22"/>
      <c r="I37" s="22"/>
    </row>
    <row r="38" spans="1:11" ht="15.75" customHeight="1" x14ac:dyDescent="0.25">
      <c r="A38" s="22"/>
      <c r="B38" s="22"/>
      <c r="C38" s="25"/>
      <c r="D38" s="26"/>
      <c r="E38" s="27"/>
      <c r="F38" s="72"/>
      <c r="G38" s="73"/>
      <c r="H38" s="22"/>
      <c r="I38" s="22"/>
    </row>
    <row r="39" spans="1:11" ht="15.75" customHeight="1" x14ac:dyDescent="0.25">
      <c r="A39" s="22"/>
      <c r="B39" s="22"/>
      <c r="C39" s="25"/>
      <c r="D39" s="26"/>
      <c r="E39" s="28"/>
      <c r="F39" s="74"/>
      <c r="G39" s="75"/>
      <c r="H39" s="22"/>
      <c r="I39" s="22"/>
    </row>
    <row r="40" spans="1:11" ht="15.75" customHeight="1" x14ac:dyDescent="0.25">
      <c r="A40" s="22"/>
      <c r="B40" s="22"/>
      <c r="C40" s="25"/>
      <c r="D40" s="26"/>
      <c r="E40" s="27"/>
      <c r="F40" s="72"/>
      <c r="G40" s="73"/>
      <c r="H40" s="22"/>
      <c r="I40" s="22"/>
    </row>
    <row r="41" spans="1:11" ht="15.75" customHeight="1" thickBot="1" x14ac:dyDescent="0.3">
      <c r="A41" s="22"/>
      <c r="B41" s="22"/>
      <c r="C41" s="29"/>
      <c r="D41" s="30"/>
      <c r="E41" s="31"/>
      <c r="F41" s="76"/>
      <c r="G41" s="77"/>
      <c r="H41" s="32"/>
      <c r="I41" s="32"/>
    </row>
    <row r="42" spans="1:11" ht="19.5" customHeight="1" x14ac:dyDescent="0.25">
      <c r="A42" s="64" t="s">
        <v>5</v>
      </c>
      <c r="B42" s="65"/>
      <c r="C42" s="65"/>
      <c r="D42" s="65"/>
      <c r="E42" s="66"/>
      <c r="F42" s="33" t="s">
        <v>4</v>
      </c>
      <c r="G42" s="34"/>
      <c r="H42" s="34"/>
      <c r="I42" s="35"/>
    </row>
    <row r="43" spans="1:11" ht="34.5" customHeight="1" x14ac:dyDescent="0.25">
      <c r="A43" s="67"/>
      <c r="B43" s="68"/>
      <c r="C43" s="68"/>
      <c r="D43" s="68"/>
      <c r="E43" s="69"/>
      <c r="F43" s="67"/>
      <c r="G43" s="70"/>
      <c r="H43" s="70"/>
      <c r="I43" s="71"/>
      <c r="K43" s="4"/>
    </row>
    <row r="44" spans="1:11" s="3" customFormat="1" ht="15" customHeight="1" x14ac:dyDescent="0.25">
      <c r="A44" s="78" t="s">
        <v>11</v>
      </c>
      <c r="B44" s="79"/>
      <c r="C44" s="79"/>
      <c r="D44" s="79"/>
      <c r="E44" s="80"/>
      <c r="F44" s="81" t="s">
        <v>3</v>
      </c>
      <c r="G44" s="82"/>
      <c r="H44" s="82"/>
      <c r="I44" s="83"/>
    </row>
    <row r="45" spans="1:11" ht="20.100000000000001" customHeight="1" x14ac:dyDescent="0.25">
      <c r="A45" s="87"/>
      <c r="B45" s="88"/>
      <c r="C45" s="88"/>
      <c r="D45" s="88"/>
      <c r="E45" s="89"/>
      <c r="F45" s="87"/>
      <c r="G45" s="68"/>
      <c r="H45" s="68"/>
      <c r="I45" s="69"/>
    </row>
    <row r="46" spans="1:11" s="3" customFormat="1" ht="20.100000000000001" customHeight="1" x14ac:dyDescent="0.25">
      <c r="A46" s="78" t="s">
        <v>2</v>
      </c>
      <c r="B46" s="79"/>
      <c r="C46" s="79"/>
      <c r="D46" s="79"/>
      <c r="E46" s="80"/>
      <c r="F46" s="78" t="s">
        <v>2</v>
      </c>
      <c r="G46" s="79"/>
      <c r="H46" s="79"/>
      <c r="I46" s="80"/>
    </row>
    <row r="47" spans="1:11" ht="20.100000000000001" customHeight="1" x14ac:dyDescent="0.25">
      <c r="A47" s="90" t="s">
        <v>1</v>
      </c>
      <c r="B47" s="88"/>
      <c r="C47" s="88"/>
      <c r="D47" s="88"/>
      <c r="E47" s="89"/>
      <c r="F47" s="90" t="s">
        <v>1</v>
      </c>
      <c r="G47" s="88"/>
      <c r="H47" s="88"/>
      <c r="I47" s="89"/>
    </row>
    <row r="48" spans="1:11" s="3" customFormat="1" ht="20.100000000000001" customHeight="1" thickBot="1" x14ac:dyDescent="0.3">
      <c r="A48" s="84" t="s">
        <v>0</v>
      </c>
      <c r="B48" s="85"/>
      <c r="C48" s="85"/>
      <c r="D48" s="85"/>
      <c r="E48" s="86"/>
      <c r="F48" s="84" t="s">
        <v>0</v>
      </c>
      <c r="G48" s="85"/>
      <c r="H48" s="85"/>
      <c r="I48" s="86"/>
    </row>
    <row r="49" spans="1:8" ht="18" customHeight="1" x14ac:dyDescent="0.25">
      <c r="A49" s="2"/>
    </row>
    <row r="50" spans="1:8" x14ac:dyDescent="0.25">
      <c r="A50" s="36"/>
      <c r="B50" s="8"/>
      <c r="C50" s="8"/>
      <c r="D50" s="9"/>
      <c r="E50" s="9"/>
      <c r="F50" s="9"/>
      <c r="G50" s="1"/>
      <c r="H50" s="1"/>
    </row>
    <row r="51" spans="1:8" x14ac:dyDescent="0.25">
      <c r="A51" s="37"/>
      <c r="B51" s="10"/>
      <c r="C51" s="10"/>
      <c r="D51" s="9"/>
      <c r="E51" s="9"/>
      <c r="F51" s="9"/>
      <c r="G51" s="1"/>
      <c r="H51" s="1"/>
    </row>
    <row r="52" spans="1:8" x14ac:dyDescent="0.25">
      <c r="A52" s="38"/>
      <c r="B52" s="10"/>
      <c r="C52" s="10"/>
      <c r="D52" s="9"/>
      <c r="E52" s="9"/>
      <c r="F52" s="9"/>
      <c r="G52" s="1"/>
      <c r="H52" s="1"/>
    </row>
    <row r="53" spans="1:8" x14ac:dyDescent="0.25">
      <c r="A53" s="37"/>
      <c r="B53" s="10"/>
      <c r="C53" s="10"/>
      <c r="D53" s="9"/>
      <c r="E53" s="9"/>
      <c r="F53" s="9"/>
      <c r="G53" s="1"/>
      <c r="H53" s="1"/>
    </row>
    <row r="54" spans="1:8" ht="9" customHeight="1" x14ac:dyDescent="0.25"/>
  </sheetData>
  <mergeCells count="53">
    <mergeCell ref="F16:G16"/>
    <mergeCell ref="F17:G17"/>
    <mergeCell ref="A11:A12"/>
    <mergeCell ref="B11:B12"/>
    <mergeCell ref="C11:E12"/>
    <mergeCell ref="F31:G31"/>
    <mergeCell ref="F32:G32"/>
    <mergeCell ref="F26:G26"/>
    <mergeCell ref="F27:G27"/>
    <mergeCell ref="F28:G28"/>
    <mergeCell ref="F29:G29"/>
    <mergeCell ref="F30:G30"/>
    <mergeCell ref="F18:G18"/>
    <mergeCell ref="F19:G19"/>
    <mergeCell ref="F20:G20"/>
    <mergeCell ref="F25:G25"/>
    <mergeCell ref="F13:G13"/>
    <mergeCell ref="F14:G14"/>
    <mergeCell ref="A6:I6"/>
    <mergeCell ref="F15:G15"/>
    <mergeCell ref="A44:E44"/>
    <mergeCell ref="F44:I44"/>
    <mergeCell ref="A48:E48"/>
    <mergeCell ref="F48:I48"/>
    <mergeCell ref="A45:E45"/>
    <mergeCell ref="F45:I45"/>
    <mergeCell ref="A46:E46"/>
    <mergeCell ref="F46:I46"/>
    <mergeCell ref="A47:E47"/>
    <mergeCell ref="F47:I47"/>
    <mergeCell ref="A42:E42"/>
    <mergeCell ref="A43:E43"/>
    <mergeCell ref="F43:I43"/>
    <mergeCell ref="F21:G21"/>
    <mergeCell ref="F22:G22"/>
    <mergeCell ref="F23:G23"/>
    <mergeCell ref="F24:G24"/>
    <mergeCell ref="F35:G35"/>
    <mergeCell ref="F36:G36"/>
    <mergeCell ref="F38:G38"/>
    <mergeCell ref="F39:G39"/>
    <mergeCell ref="F40:G40"/>
    <mergeCell ref="F41:G41"/>
    <mergeCell ref="F34:G34"/>
    <mergeCell ref="F37:G37"/>
    <mergeCell ref="F33:G33"/>
    <mergeCell ref="I11:I12"/>
    <mergeCell ref="F11:G12"/>
    <mergeCell ref="H11:H12"/>
    <mergeCell ref="D1:G1"/>
    <mergeCell ref="D2:G2"/>
    <mergeCell ref="D3:G3"/>
    <mergeCell ref="D4:G4"/>
  </mergeCells>
  <printOptions horizontalCentered="1"/>
  <pageMargins left="0.25" right="0.25" top="0.75" bottom="0.75" header="0.3" footer="0.3"/>
  <pageSetup paperSize="9" scale="87" fitToHeight="0" orientation="portrait" r:id="rId1"/>
  <headerFooter>
    <oddFooter xml:space="preserve">&amp;LMaster Doc ID: ___________
</oddFooter>
  </headerFooter>
  <colBreaks count="1" manualBreakCount="1">
    <brk id="8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F812F-8850-48D5-96E5-425CFF168CDE}">
  <dimension ref="L24:N40"/>
  <sheetViews>
    <sheetView topLeftCell="A4" workbookViewId="0">
      <selection activeCell="M26" sqref="M26:N26"/>
    </sheetView>
  </sheetViews>
  <sheetFormatPr defaultRowHeight="12.75" x14ac:dyDescent="0.2"/>
  <cols>
    <col min="1" max="11" width="9.140625" style="39"/>
    <col min="12" max="12" width="13" style="39" customWidth="1"/>
    <col min="13" max="13" width="26.42578125" style="39" bestFit="1" customWidth="1"/>
    <col min="14" max="14" width="21.42578125" style="39" bestFit="1" customWidth="1"/>
    <col min="15" max="16384" width="9.140625" style="39"/>
  </cols>
  <sheetData>
    <row r="24" spans="12:14" x14ac:dyDescent="0.2">
      <c r="M24" s="40" t="s">
        <v>19</v>
      </c>
      <c r="N24" s="40" t="s">
        <v>20</v>
      </c>
    </row>
    <row r="25" spans="12:14" x14ac:dyDescent="0.2">
      <c r="L25" s="40" t="s">
        <v>21</v>
      </c>
      <c r="M25" s="41">
        <v>1</v>
      </c>
      <c r="N25" s="41">
        <v>1</v>
      </c>
    </row>
    <row r="26" spans="12:14" x14ac:dyDescent="0.2">
      <c r="L26" s="40" t="s">
        <v>22</v>
      </c>
      <c r="M26" s="41">
        <v>2</v>
      </c>
      <c r="N26" s="41">
        <v>99</v>
      </c>
    </row>
    <row r="27" spans="12:14" x14ac:dyDescent="0.2">
      <c r="L27" s="40" t="s">
        <v>23</v>
      </c>
      <c r="M27" s="41">
        <v>3</v>
      </c>
      <c r="N27" s="41">
        <v>4</v>
      </c>
    </row>
    <row r="28" spans="12:14" x14ac:dyDescent="0.2">
      <c r="L28" s="40" t="s">
        <v>24</v>
      </c>
      <c r="M28" s="41">
        <v>4</v>
      </c>
      <c r="N28" s="41">
        <v>1</v>
      </c>
    </row>
    <row r="29" spans="12:14" x14ac:dyDescent="0.2">
      <c r="L29" s="40" t="s">
        <v>25</v>
      </c>
      <c r="M29" s="41">
        <v>4</v>
      </c>
      <c r="N29" s="41">
        <v>99</v>
      </c>
    </row>
    <row r="30" spans="12:14" x14ac:dyDescent="0.2">
      <c r="L30" s="40" t="s">
        <v>26</v>
      </c>
      <c r="M30" s="41">
        <v>5</v>
      </c>
      <c r="N30" s="41">
        <v>2</v>
      </c>
    </row>
    <row r="31" spans="12:14" x14ac:dyDescent="0.2">
      <c r="L31" s="40" t="s">
        <v>27</v>
      </c>
      <c r="M31" s="41">
        <v>5</v>
      </c>
      <c r="N31" s="41">
        <v>3</v>
      </c>
    </row>
    <row r="32" spans="12:14" x14ac:dyDescent="0.2">
      <c r="L32" s="40" t="s">
        <v>28</v>
      </c>
      <c r="M32" s="41">
        <v>5</v>
      </c>
      <c r="N32" s="41">
        <v>7</v>
      </c>
    </row>
    <row r="33" spans="12:14" x14ac:dyDescent="0.2">
      <c r="L33" s="40" t="s">
        <v>29</v>
      </c>
      <c r="M33" s="41">
        <v>5</v>
      </c>
      <c r="N33" s="41">
        <v>8</v>
      </c>
    </row>
    <row r="34" spans="12:14" x14ac:dyDescent="0.2">
      <c r="L34" s="40" t="s">
        <v>30</v>
      </c>
      <c r="M34" s="41">
        <v>5</v>
      </c>
      <c r="N34" s="41">
        <v>10</v>
      </c>
    </row>
    <row r="35" spans="12:14" x14ac:dyDescent="0.2">
      <c r="L35" s="40" t="s">
        <v>31</v>
      </c>
      <c r="M35" s="41">
        <v>5</v>
      </c>
      <c r="N35" s="41">
        <v>14</v>
      </c>
    </row>
    <row r="36" spans="12:14" x14ac:dyDescent="0.2">
      <c r="L36" s="40" t="s">
        <v>32</v>
      </c>
      <c r="M36" s="41">
        <v>5</v>
      </c>
      <c r="N36" s="41">
        <v>99</v>
      </c>
    </row>
    <row r="37" spans="12:14" x14ac:dyDescent="0.2">
      <c r="L37" s="40" t="s">
        <v>33</v>
      </c>
      <c r="M37" s="41">
        <v>6</v>
      </c>
      <c r="N37" s="41">
        <v>1</v>
      </c>
    </row>
    <row r="38" spans="12:14" x14ac:dyDescent="0.2">
      <c r="L38" s="40" t="s">
        <v>34</v>
      </c>
      <c r="M38" s="41">
        <v>6</v>
      </c>
      <c r="N38" s="41">
        <v>99</v>
      </c>
    </row>
    <row r="39" spans="12:14" x14ac:dyDescent="0.2">
      <c r="L39" s="40" t="s">
        <v>35</v>
      </c>
      <c r="M39" s="41">
        <v>7</v>
      </c>
      <c r="N39" s="41">
        <v>1</v>
      </c>
    </row>
    <row r="40" spans="12:14" x14ac:dyDescent="0.2">
      <c r="M40" s="41"/>
      <c r="N40" s="4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1D3AB-3890-435F-A2CC-91D819234589}">
  <sheetPr>
    <outlinePr summaryBelow="0" summaryRight="0"/>
    <pageSetUpPr fitToPage="1"/>
  </sheetPr>
  <dimension ref="A1:O35"/>
  <sheetViews>
    <sheetView workbookViewId="0">
      <selection activeCell="A2" sqref="A2"/>
    </sheetView>
  </sheetViews>
  <sheetFormatPr defaultColWidth="12.5703125" defaultRowHeight="15.75" customHeight="1" x14ac:dyDescent="0.2"/>
  <cols>
    <col min="1" max="1" width="12.5703125" style="39"/>
    <col min="2" max="2" width="45.42578125" style="39" customWidth="1"/>
    <col min="3" max="9" width="12.5703125" style="39"/>
    <col min="10" max="10" width="4.7109375" style="39" customWidth="1"/>
    <col min="11" max="16384" width="12.5703125" style="39"/>
  </cols>
  <sheetData>
    <row r="1" spans="1:15" x14ac:dyDescent="0.2">
      <c r="A1" s="42" t="s">
        <v>36</v>
      </c>
      <c r="B1" s="43"/>
      <c r="F1" s="44" t="s">
        <v>37</v>
      </c>
      <c r="H1" s="45" t="s">
        <v>38</v>
      </c>
      <c r="J1" s="45" t="s">
        <v>39</v>
      </c>
      <c r="N1" s="44" t="s">
        <v>40</v>
      </c>
    </row>
    <row r="2" spans="1:15" x14ac:dyDescent="0.2">
      <c r="A2" s="43" t="s">
        <v>41</v>
      </c>
      <c r="B2" s="43" t="s">
        <v>42</v>
      </c>
      <c r="C2" s="45" t="str">
        <f t="shared" ref="C2:C9" si="0">CONCATENATE("RO5-",B2)</f>
        <v>RO5-RIM Office</v>
      </c>
      <c r="F2" s="45" t="s">
        <v>43</v>
      </c>
      <c r="H2" s="45" t="s">
        <v>44</v>
      </c>
      <c r="J2" s="46" t="s">
        <v>45</v>
      </c>
      <c r="K2" s="45" t="s">
        <v>46</v>
      </c>
      <c r="N2" s="45" t="s">
        <v>47</v>
      </c>
      <c r="O2" s="45" t="s">
        <v>48</v>
      </c>
    </row>
    <row r="3" spans="1:15" x14ac:dyDescent="0.2">
      <c r="A3" s="43" t="s">
        <v>49</v>
      </c>
      <c r="B3" s="42" t="s">
        <v>50</v>
      </c>
      <c r="C3" s="45" t="str">
        <f t="shared" si="0"/>
        <v>RO5-EOD Manager's Office</v>
      </c>
      <c r="H3" s="45" t="s">
        <v>51</v>
      </c>
      <c r="J3" s="45" t="s">
        <v>52</v>
      </c>
      <c r="K3" s="45" t="s">
        <v>53</v>
      </c>
      <c r="N3" s="45" t="s">
        <v>54</v>
      </c>
      <c r="O3" s="45" t="s">
        <v>55</v>
      </c>
    </row>
    <row r="4" spans="1:15" x14ac:dyDescent="0.2">
      <c r="A4" s="43" t="s">
        <v>56</v>
      </c>
      <c r="B4" s="42" t="s">
        <v>57</v>
      </c>
      <c r="C4" s="45" t="str">
        <f t="shared" si="0"/>
        <v>RO5-Planning, Design and Construction Section</v>
      </c>
      <c r="H4" s="45" t="s">
        <v>58</v>
      </c>
      <c r="J4" s="45" t="s">
        <v>59</v>
      </c>
      <c r="K4" s="45" t="s">
        <v>60</v>
      </c>
      <c r="O4" s="45" t="s">
        <v>61</v>
      </c>
    </row>
    <row r="5" spans="1:15" x14ac:dyDescent="0.2">
      <c r="A5" s="43" t="s">
        <v>62</v>
      </c>
      <c r="B5" s="42" t="s">
        <v>63</v>
      </c>
      <c r="C5" s="45" t="str">
        <f t="shared" si="0"/>
        <v>RO5-Operational, Institutional and Equipment Section</v>
      </c>
      <c r="H5" s="45" t="s">
        <v>64</v>
      </c>
      <c r="J5" s="45" t="s">
        <v>65</v>
      </c>
      <c r="K5" s="45" t="s">
        <v>66</v>
      </c>
      <c r="N5" s="45" t="s">
        <v>67</v>
      </c>
      <c r="O5" s="45" t="s">
        <v>68</v>
      </c>
    </row>
    <row r="6" spans="1:15" x14ac:dyDescent="0.2">
      <c r="A6" s="43" t="s">
        <v>69</v>
      </c>
      <c r="B6" s="42" t="s">
        <v>70</v>
      </c>
      <c r="C6" s="45" t="str">
        <f t="shared" si="0"/>
        <v>RO5-AFD Manager's Office</v>
      </c>
      <c r="H6" s="45" t="s">
        <v>71</v>
      </c>
      <c r="J6" s="45" t="s">
        <v>72</v>
      </c>
      <c r="K6" s="45" t="s">
        <v>73</v>
      </c>
    </row>
    <row r="7" spans="1:15" x14ac:dyDescent="0.2">
      <c r="A7" s="43" t="s">
        <v>74</v>
      </c>
      <c r="B7" s="43" t="s">
        <v>75</v>
      </c>
      <c r="C7" s="45" t="str">
        <f t="shared" si="0"/>
        <v>RO5-Finance Section</v>
      </c>
      <c r="H7" s="45" t="s">
        <v>76</v>
      </c>
      <c r="J7" s="45" t="s">
        <v>77</v>
      </c>
      <c r="K7" s="45" t="s">
        <v>78</v>
      </c>
    </row>
    <row r="8" spans="1:15" x14ac:dyDescent="0.2">
      <c r="A8" s="43" t="s">
        <v>79</v>
      </c>
      <c r="B8" s="43" t="s">
        <v>80</v>
      </c>
      <c r="C8" s="45" t="str">
        <f t="shared" si="0"/>
        <v>RO5-Admin Section</v>
      </c>
      <c r="J8" s="45" t="s">
        <v>81</v>
      </c>
      <c r="K8" s="45" t="s">
        <v>82</v>
      </c>
    </row>
    <row r="9" spans="1:15" x14ac:dyDescent="0.2">
      <c r="A9" s="43" t="s">
        <v>83</v>
      </c>
      <c r="B9" s="42" t="s">
        <v>84</v>
      </c>
      <c r="C9" s="45" t="str">
        <f t="shared" si="0"/>
        <v>RO5-Farmer's/Training Center</v>
      </c>
      <c r="J9" s="45" t="s">
        <v>85</v>
      </c>
      <c r="K9" s="45" t="s">
        <v>86</v>
      </c>
    </row>
    <row r="10" spans="1:15" x14ac:dyDescent="0.2">
      <c r="A10" s="43" t="s">
        <v>87</v>
      </c>
      <c r="B10" s="42" t="s">
        <v>88</v>
      </c>
      <c r="C10" s="45" t="str">
        <f t="shared" ref="C10:C13" si="1">CONCATENATE("ACIMO-",B10)</f>
        <v>ACIMO-Division Manager's Office</v>
      </c>
      <c r="J10" s="45" t="s">
        <v>89</v>
      </c>
      <c r="K10" s="45" t="s">
        <v>90</v>
      </c>
    </row>
    <row r="11" spans="1:15" x14ac:dyDescent="0.2">
      <c r="A11" s="43" t="s">
        <v>91</v>
      </c>
      <c r="B11" s="42" t="s">
        <v>92</v>
      </c>
      <c r="C11" s="45" t="str">
        <f t="shared" si="1"/>
        <v>ACIMO-Engineering &amp; Operations Section</v>
      </c>
      <c r="J11" s="45" t="s">
        <v>93</v>
      </c>
      <c r="K11" s="45" t="s">
        <v>94</v>
      </c>
    </row>
    <row r="12" spans="1:15" x14ac:dyDescent="0.2">
      <c r="A12" s="43" t="s">
        <v>95</v>
      </c>
      <c r="B12" s="42" t="s">
        <v>96</v>
      </c>
      <c r="C12" s="45" t="str">
        <f t="shared" si="1"/>
        <v>ACIMO-Admin &amp; Finance Section</v>
      </c>
      <c r="J12" s="45" t="s">
        <v>97</v>
      </c>
      <c r="K12" s="45" t="s">
        <v>98</v>
      </c>
    </row>
    <row r="13" spans="1:15" x14ac:dyDescent="0.2">
      <c r="A13" s="43" t="s">
        <v>99</v>
      </c>
      <c r="B13" s="42" t="s">
        <v>100</v>
      </c>
      <c r="C13" s="45" t="str">
        <f t="shared" si="1"/>
        <v>ACIMO-Catanduanes Sub-Office</v>
      </c>
      <c r="J13" s="45" t="s">
        <v>101</v>
      </c>
      <c r="K13" s="45" t="s">
        <v>102</v>
      </c>
    </row>
    <row r="14" spans="1:15" x14ac:dyDescent="0.2">
      <c r="A14" s="43" t="s">
        <v>103</v>
      </c>
      <c r="B14" s="42" t="s">
        <v>88</v>
      </c>
      <c r="C14" s="45" t="str">
        <f t="shared" ref="C14:C18" si="2">CONCATENATE("SMIMO-",B14)</f>
        <v>SMIMO-Division Manager's Office</v>
      </c>
    </row>
    <row r="15" spans="1:15" x14ac:dyDescent="0.2">
      <c r="A15" s="43" t="s">
        <v>104</v>
      </c>
      <c r="B15" s="42" t="s">
        <v>92</v>
      </c>
      <c r="C15" s="45" t="str">
        <f t="shared" si="2"/>
        <v>SMIMO-Engineering &amp; Operations Section</v>
      </c>
    </row>
    <row r="16" spans="1:15" x14ac:dyDescent="0.2">
      <c r="A16" s="43" t="s">
        <v>105</v>
      </c>
      <c r="B16" s="42" t="s">
        <v>96</v>
      </c>
      <c r="C16" s="45" t="str">
        <f t="shared" si="2"/>
        <v>SMIMO-Admin &amp; Finance Section</v>
      </c>
    </row>
    <row r="17" spans="1:3" x14ac:dyDescent="0.2">
      <c r="A17" s="43" t="s">
        <v>106</v>
      </c>
      <c r="B17" s="42" t="s">
        <v>107</v>
      </c>
      <c r="C17" s="45" t="str">
        <f t="shared" si="2"/>
        <v>SMIMO-SRSF Sub-Office</v>
      </c>
    </row>
    <row r="18" spans="1:3" x14ac:dyDescent="0.2">
      <c r="A18" s="43" t="s">
        <v>108</v>
      </c>
      <c r="B18" s="42" t="s">
        <v>109</v>
      </c>
      <c r="C18" s="45" t="str">
        <f t="shared" si="2"/>
        <v>SMIMO-Masbate Sub-Office</v>
      </c>
    </row>
    <row r="19" spans="1:3" x14ac:dyDescent="0.2">
      <c r="A19" s="43" t="s">
        <v>110</v>
      </c>
      <c r="B19" s="42" t="s">
        <v>88</v>
      </c>
      <c r="C19" s="45" t="str">
        <f t="shared" ref="C19:C21" si="3">CONCATENATE("CNIMO-",B19)</f>
        <v>CNIMO-Division Manager's Office</v>
      </c>
    </row>
    <row r="20" spans="1:3" x14ac:dyDescent="0.2">
      <c r="A20" s="43" t="s">
        <v>111</v>
      </c>
      <c r="B20" s="42" t="s">
        <v>92</v>
      </c>
      <c r="C20" s="45" t="str">
        <f t="shared" si="3"/>
        <v>CNIMO-Engineering &amp; Operations Section</v>
      </c>
    </row>
    <row r="21" spans="1:3" x14ac:dyDescent="0.2">
      <c r="A21" s="43" t="s">
        <v>112</v>
      </c>
      <c r="B21" s="42" t="s">
        <v>96</v>
      </c>
      <c r="C21" s="45" t="str">
        <f t="shared" si="3"/>
        <v>CNIMO-Admin &amp; Finance Section</v>
      </c>
    </row>
    <row r="22" spans="1:3" x14ac:dyDescent="0.2">
      <c r="A22" s="43" t="s">
        <v>113</v>
      </c>
      <c r="B22" s="42" t="s">
        <v>88</v>
      </c>
      <c r="C22" s="45" t="str">
        <f t="shared" ref="C22:C24" si="4">CONCATENATE("CSIMO-HO ",B22)</f>
        <v>CSIMO-HO Division Manager's Office</v>
      </c>
    </row>
    <row r="23" spans="1:3" x14ac:dyDescent="0.2">
      <c r="A23" s="43" t="s">
        <v>114</v>
      </c>
      <c r="B23" s="42" t="s">
        <v>92</v>
      </c>
      <c r="C23" s="45" t="str">
        <f t="shared" si="4"/>
        <v>CSIMO-HO Engineering &amp; Operations Section</v>
      </c>
    </row>
    <row r="24" spans="1:3" x14ac:dyDescent="0.2">
      <c r="A24" s="43" t="s">
        <v>115</v>
      </c>
      <c r="B24" s="42" t="s">
        <v>96</v>
      </c>
      <c r="C24" s="45" t="str">
        <f t="shared" si="4"/>
        <v>CSIMO-HO Admin &amp; Finance Section</v>
      </c>
    </row>
    <row r="25" spans="1:3" x14ac:dyDescent="0.2">
      <c r="A25" s="43" t="s">
        <v>116</v>
      </c>
      <c r="B25" s="42" t="s">
        <v>117</v>
      </c>
      <c r="C25" s="45" t="str">
        <f t="shared" ref="C25:C28" si="5">CONCATENATE("CSIMO-",B25)</f>
        <v>CSIMO-RIIS District Office</v>
      </c>
    </row>
    <row r="26" spans="1:3" x14ac:dyDescent="0.2">
      <c r="A26" s="43" t="s">
        <v>118</v>
      </c>
      <c r="B26" s="42" t="s">
        <v>119</v>
      </c>
      <c r="C26" s="45" t="str">
        <f t="shared" si="5"/>
        <v>CSIMO-CRIS District Office</v>
      </c>
    </row>
    <row r="27" spans="1:3" x14ac:dyDescent="0.2">
      <c r="A27" s="43" t="s">
        <v>120</v>
      </c>
      <c r="B27" s="42" t="s">
        <v>121</v>
      </c>
      <c r="C27" s="45" t="str">
        <f t="shared" si="5"/>
        <v>CSIMO-THIRIS District Office</v>
      </c>
    </row>
    <row r="28" spans="1:3" x14ac:dyDescent="0.2">
      <c r="A28" s="43" t="s">
        <v>122</v>
      </c>
      <c r="B28" s="42" t="s">
        <v>123</v>
      </c>
      <c r="C28" s="45" t="str">
        <f t="shared" si="5"/>
        <v>CSIMO-LCPIS District Office</v>
      </c>
    </row>
    <row r="29" spans="1:3" x14ac:dyDescent="0.2">
      <c r="A29" s="43" t="s">
        <v>124</v>
      </c>
      <c r="B29" s="42" t="s">
        <v>125</v>
      </c>
    </row>
    <row r="30" spans="1:3" x14ac:dyDescent="0.2">
      <c r="A30" s="45" t="s">
        <v>126</v>
      </c>
      <c r="B30" s="42" t="s">
        <v>127</v>
      </c>
    </row>
    <row r="31" spans="1:3" x14ac:dyDescent="0.2">
      <c r="A31" s="45" t="s">
        <v>128</v>
      </c>
      <c r="B31" s="42" t="s">
        <v>129</v>
      </c>
    </row>
    <row r="32" spans="1:3" x14ac:dyDescent="0.2">
      <c r="A32" s="45" t="s">
        <v>130</v>
      </c>
      <c r="B32" s="42" t="s">
        <v>131</v>
      </c>
    </row>
    <row r="33" spans="1:2" x14ac:dyDescent="0.2">
      <c r="A33" s="45" t="s">
        <v>132</v>
      </c>
      <c r="B33" s="42" t="s">
        <v>133</v>
      </c>
    </row>
    <row r="34" spans="1:2" x14ac:dyDescent="0.2">
      <c r="A34" s="45" t="s">
        <v>134</v>
      </c>
      <c r="B34" s="42" t="s">
        <v>135</v>
      </c>
    </row>
    <row r="35" spans="1:2" x14ac:dyDescent="0.2">
      <c r="A35" s="45" t="s">
        <v>136</v>
      </c>
      <c r="B35" s="42" t="s">
        <v>137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E31E-A41A-42DC-A6B9-88E63D4E8DA1}">
  <dimension ref="A1:C8"/>
  <sheetViews>
    <sheetView workbookViewId="0">
      <selection activeCell="C4" sqref="C4"/>
    </sheetView>
  </sheetViews>
  <sheetFormatPr defaultRowHeight="15" x14ac:dyDescent="0.25"/>
  <cols>
    <col min="1" max="3" width="17.5703125" style="47" customWidth="1"/>
  </cols>
  <sheetData>
    <row r="1" spans="1:3" x14ac:dyDescent="0.25">
      <c r="A1" s="48" t="s">
        <v>138</v>
      </c>
      <c r="B1" s="48" t="s">
        <v>139</v>
      </c>
      <c r="C1" s="48" t="s">
        <v>140</v>
      </c>
    </row>
    <row r="2" spans="1:3" x14ac:dyDescent="0.25">
      <c r="A2" s="49" t="s">
        <v>141</v>
      </c>
      <c r="B2" s="49" t="s">
        <v>146</v>
      </c>
      <c r="C2" s="47" t="s">
        <v>152</v>
      </c>
    </row>
    <row r="3" spans="1:3" x14ac:dyDescent="0.25">
      <c r="A3" s="49" t="s">
        <v>142</v>
      </c>
      <c r="B3" s="49" t="s">
        <v>147</v>
      </c>
      <c r="C3" s="47" t="s">
        <v>153</v>
      </c>
    </row>
    <row r="4" spans="1:3" x14ac:dyDescent="0.25">
      <c r="A4" s="49" t="s">
        <v>143</v>
      </c>
      <c r="B4" s="49" t="s">
        <v>142</v>
      </c>
      <c r="C4" s="47" t="s">
        <v>150</v>
      </c>
    </row>
    <row r="5" spans="1:3" x14ac:dyDescent="0.25">
      <c r="A5" s="49" t="s">
        <v>144</v>
      </c>
      <c r="B5" s="49" t="s">
        <v>97</v>
      </c>
      <c r="C5" s="47" t="s">
        <v>151</v>
      </c>
    </row>
    <row r="6" spans="1:3" x14ac:dyDescent="0.25">
      <c r="A6" s="49" t="s">
        <v>145</v>
      </c>
      <c r="B6" s="49" t="s">
        <v>148</v>
      </c>
      <c r="C6" s="47" t="s">
        <v>149</v>
      </c>
    </row>
    <row r="7" spans="1:3" x14ac:dyDescent="0.25">
      <c r="A7" s="49"/>
      <c r="B7" s="49"/>
    </row>
    <row r="8" spans="1:3" x14ac:dyDescent="0.25">
      <c r="A8" s="49"/>
      <c r="B8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PAR (2)</vt:lpstr>
      <vt:lpstr>Property Number Format</vt:lpstr>
      <vt:lpstr>Location No.</vt:lpstr>
      <vt:lpstr>Threshold</vt:lpstr>
      <vt:lpstr>'PAR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KishaPPD</dc:creator>
  <cp:lastModifiedBy>Marc David Orogo</cp:lastModifiedBy>
  <cp:lastPrinted>2026-10-07T02:31:54Z</cp:lastPrinted>
  <dcterms:created xsi:type="dcterms:W3CDTF">2019-07-29T07:38:23Z</dcterms:created>
  <dcterms:modified xsi:type="dcterms:W3CDTF">2026-10-07T02:32:00Z</dcterms:modified>
</cp:coreProperties>
</file>