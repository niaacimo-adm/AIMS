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01\Downloads\"/>
    </mc:Choice>
  </mc:AlternateContent>
  <xr:revisionPtr revIDLastSave="0" documentId="13_ncr:1_{31D27D8C-6A17-49B0-BE62-004447D5E7EF}" xr6:coauthVersionLast="47" xr6:coauthVersionMax="47" xr10:uidLastSave="{00000000-0000-0000-0000-000000000000}"/>
  <bookViews>
    <workbookView xWindow="-120" yWindow="-120" windowWidth="29040" windowHeight="15720" firstSheet="1" activeTab="1" xr2:uid="{AEE1C5A1-EEF0-4F0C-95D6-875CCC977730}"/>
  </bookViews>
  <sheets>
    <sheet name="total number as of 15Feb2025" sheetId="25" r:id="rId1"/>
    <sheet name="Masterlist as of 15Feb2026" sheetId="14" r:id="rId2"/>
    <sheet name="Masterlist for 201files (15Feb)" sheetId="24" r:id="rId3"/>
    <sheet name="TShirt Zize" sheetId="28" r:id="rId4"/>
    <sheet name="Sheet1" sheetId="29" r:id="rId5"/>
  </sheets>
  <definedNames>
    <definedName name="_xlnm._FilterDatabase" localSheetId="1" hidden="1">'Masterlist as of 15Feb2026'!$A$16:$F$37</definedName>
    <definedName name="_xlnm._FilterDatabase" localSheetId="3" hidden="1">'TShirt Zize'!$D$10:$D$178</definedName>
    <definedName name="_xlnm.Print_Area" localSheetId="1">'Masterlist as of 15Feb2026'!$A$1:$G$209</definedName>
    <definedName name="_xlnm.Print_Area" localSheetId="2">'Masterlist for 201files (15Feb)'!$A$1:$E$180</definedName>
    <definedName name="_xlnm.Print_Area" localSheetId="3">'TShirt Zize'!$A$1:$F$205</definedName>
    <definedName name="_xlnm.Print_Titles" localSheetId="1">'Masterlist as of 15Feb2026'!$1:$9</definedName>
    <definedName name="_xlnm.Print_Titles" localSheetId="2">'Masterlist for 201files (15Feb)'!$1:$8</definedName>
    <definedName name="_xlnm.Print_Titles" localSheetId="3">'TShirt Zize'!$1:$9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28" l="1"/>
  <c r="J2" i="29"/>
  <c r="A164" i="28"/>
  <c r="A165" i="28" s="1"/>
  <c r="A166" i="28" s="1"/>
  <c r="A168" i="28" s="1"/>
  <c r="A170" i="28" s="1"/>
  <c r="A171" i="28" s="1"/>
  <c r="A172" i="28" s="1"/>
  <c r="A174" i="28" s="1"/>
  <c r="A175" i="28" s="1"/>
  <c r="A176" i="28" s="1"/>
  <c r="A178" i="28" s="1"/>
  <c r="A114" i="28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64" i="28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45" i="28"/>
  <c r="A47" i="28" s="1"/>
  <c r="A48" i="28" s="1"/>
  <c r="A50" i="28" s="1"/>
  <c r="A51" i="28" s="1"/>
  <c r="A52" i="28" s="1"/>
  <c r="A54" i="28" s="1"/>
  <c r="A55" i="28" s="1"/>
  <c r="A56" i="28" s="1"/>
  <c r="A18" i="28"/>
  <c r="A20" i="28" s="1"/>
  <c r="A21" i="28" s="1"/>
  <c r="A22" i="28" s="1"/>
  <c r="A23" i="28" s="1"/>
  <c r="A24" i="28" s="1"/>
  <c r="A25" i="28" s="1"/>
  <c r="A28" i="28" s="1"/>
  <c r="A29" i="28" s="1"/>
  <c r="A30" i="28" s="1"/>
  <c r="A31" i="28" s="1"/>
  <c r="A33" i="28" s="1"/>
  <c r="A34" i="28" s="1"/>
  <c r="A36" i="28" s="1"/>
  <c r="A37" i="28" s="1"/>
  <c r="A39" i="28" s="1"/>
  <c r="A40" i="28" s="1"/>
  <c r="A41" i="28" s="1"/>
  <c r="A12" i="28"/>
  <c r="A13" i="28" s="1"/>
  <c r="A14" i="28" s="1"/>
  <c r="A80" i="28" l="1"/>
  <c r="A81" i="28" s="1"/>
  <c r="A82" i="28" s="1"/>
  <c r="A83" i="28" s="1"/>
  <c r="A84" i="28" s="1"/>
  <c r="A85" i="28" s="1"/>
  <c r="A86" i="28" s="1"/>
  <c r="A88" i="28" s="1"/>
  <c r="A89" i="28" s="1"/>
  <c r="A90" i="28" s="1"/>
  <c r="A91" i="28" s="1"/>
  <c r="A92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B32" i="25"/>
  <c r="M27" i="25"/>
  <c r="L27" i="25"/>
  <c r="K27" i="25"/>
  <c r="J27" i="25"/>
  <c r="I27" i="25"/>
  <c r="H27" i="25"/>
  <c r="G27" i="25"/>
  <c r="F27" i="25"/>
  <c r="B34" i="25" s="1"/>
  <c r="E27" i="25"/>
  <c r="B33" i="25" s="1"/>
  <c r="D27" i="25"/>
  <c r="C27" i="25"/>
  <c r="B30" i="25" s="1"/>
  <c r="B27" i="25"/>
  <c r="B31" i="25" s="1"/>
  <c r="M28" i="25" l="1"/>
  <c r="B35" i="25"/>
  <c r="G28" i="25"/>
  <c r="B36" i="25"/>
  <c r="A47" i="14" l="1"/>
  <c r="A18" i="14"/>
  <c r="A12" i="14"/>
  <c r="A13" i="14" s="1"/>
  <c r="A14" i="14" s="1"/>
  <c r="B179" i="24" l="1"/>
  <c r="C178" i="24"/>
  <c r="B178" i="24"/>
  <c r="C177" i="24"/>
  <c r="B177" i="24"/>
  <c r="G176" i="24"/>
  <c r="G177" i="24" s="1"/>
  <c r="B176" i="24"/>
  <c r="G175" i="24"/>
  <c r="A81" i="24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72" i="24" s="1"/>
  <c r="A173" i="24" s="1"/>
  <c r="C179" i="24" s="1"/>
  <c r="A13" i="24"/>
  <c r="A14" i="24" s="1"/>
  <c r="A15" i="24" s="1"/>
  <c r="A16" i="24" s="1"/>
  <c r="A17" i="24" s="1"/>
  <c r="A18" i="24" l="1"/>
  <c r="A19" i="24" s="1"/>
  <c r="A20" i="24" s="1"/>
  <c r="A21" i="24" s="1"/>
  <c r="A22" i="24" s="1"/>
  <c r="A23" i="24" s="1"/>
  <c r="C176" i="24" s="1"/>
  <c r="C180" i="24" s="1"/>
  <c r="A66" i="14" l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l="1"/>
  <c r="A85" i="14" s="1"/>
  <c r="A86" i="14" s="1"/>
  <c r="A87" i="14" s="1"/>
  <c r="A88" i="14" s="1"/>
  <c r="A89" i="14" s="1"/>
  <c r="A168" i="14" l="1"/>
  <c r="A169" i="14" s="1"/>
  <c r="A170" i="14" s="1"/>
  <c r="A172" i="14" s="1"/>
  <c r="A174" i="14" s="1"/>
  <c r="A175" i="14" s="1"/>
  <c r="A176" i="14" s="1"/>
  <c r="A178" i="14" s="1"/>
  <c r="A179" i="14" s="1"/>
  <c r="A180" i="14" s="1"/>
  <c r="A182" i="14" s="1"/>
  <c r="A118" i="14"/>
  <c r="A119" i="14" s="1"/>
  <c r="A120" i="14" s="1"/>
  <c r="A121" i="14" s="1"/>
  <c r="A122" i="14" s="1"/>
  <c r="A91" i="14"/>
  <c r="A92" i="14" s="1"/>
  <c r="A93" i="14" s="1"/>
  <c r="A94" i="14" s="1"/>
  <c r="A95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49" i="14"/>
  <c r="A50" i="14" s="1"/>
  <c r="A52" i="14" s="1"/>
  <c r="A20" i="14"/>
  <c r="A21" i="14" s="1"/>
  <c r="A22" i="14" s="1"/>
  <c r="A23" i="14" s="1"/>
  <c r="A24" i="14" s="1"/>
  <c r="A25" i="14" s="1"/>
  <c r="A28" i="14" s="1"/>
  <c r="A123" i="14" l="1"/>
  <c r="A107" i="14"/>
  <c r="A108" i="14" s="1"/>
  <c r="A53" i="14"/>
  <c r="A29" i="14"/>
  <c r="A30" i="14" s="1"/>
  <c r="A31" i="14" s="1"/>
  <c r="A33" i="14" s="1"/>
  <c r="A34" i="14" s="1"/>
  <c r="A36" i="14" s="1"/>
  <c r="A37" i="14" s="1"/>
  <c r="A39" i="14" s="1"/>
  <c r="A40" i="14" s="1"/>
  <c r="A41" i="14" s="1"/>
  <c r="A43" i="14" s="1"/>
  <c r="A124" i="14" l="1"/>
  <c r="A125" i="14" s="1"/>
  <c r="A126" i="14" s="1"/>
  <c r="A109" i="14"/>
  <c r="A110" i="14" s="1"/>
  <c r="A111" i="14" s="1"/>
  <c r="A112" i="14" s="1"/>
  <c r="A54" i="14"/>
  <c r="A56" i="14" s="1"/>
  <c r="A57" i="14" s="1"/>
  <c r="A127" i="14" l="1"/>
  <c r="A128" i="14" s="1"/>
  <c r="A129" i="14" s="1"/>
  <c r="A130" i="14" s="1"/>
  <c r="A131" i="14" s="1"/>
  <c r="A132" i="14" s="1"/>
  <c r="A134" i="14" s="1"/>
  <c r="A135" i="14" s="1"/>
  <c r="A58" i="14"/>
  <c r="A136" i="14" l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9" i="14" s="1"/>
  <c r="A150" i="14" s="1"/>
  <c r="A151" i="14" s="1"/>
  <c r="A152" i="14" l="1"/>
  <c r="A153" i="14" s="1"/>
  <c r="A154" i="14" s="1"/>
  <c r="A155" i="14" s="1"/>
  <c r="A156" i="14" s="1"/>
  <c r="A157" i="14" s="1"/>
  <c r="A158" i="14" s="1"/>
  <c r="A159" i="14" s="1"/>
  <c r="A160" i="14" s="1"/>
  <c r="A161" i="14" s="1"/>
  <c r="C185" i="14" l="1"/>
  <c r="F161" i="14"/>
  <c r="F14" i="14" l="1"/>
  <c r="F182" i="14"/>
  <c r="F58" i="14"/>
  <c r="F43" i="14"/>
  <c r="F112" i="14"/>
  <c r="F185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</author>
  </authors>
  <commentList>
    <comment ref="B34" authorId="0" shapeId="0" xr:uid="{7A68599E-9975-4612-86C8-19577831FF89}">
      <text>
        <r>
          <rPr>
            <b/>
            <sz val="9"/>
            <color indexed="81"/>
            <rFont val="Tahoma"/>
            <family val="2"/>
          </rPr>
          <t>MyPC:</t>
        </r>
        <r>
          <rPr>
            <sz val="9"/>
            <color indexed="81"/>
            <rFont val="Tahoma"/>
            <family val="2"/>
          </rPr>
          <t xml:space="preserve">
JO LFP: 71
JO COB: 6
JO CARP: 7</t>
        </r>
      </text>
    </comment>
  </commentList>
</comments>
</file>

<file path=xl/sharedStrings.xml><?xml version="1.0" encoding="utf-8"?>
<sst xmlns="http://schemas.openxmlformats.org/spreadsheetml/2006/main" count="1594" uniqueCount="582">
  <si>
    <t>Republic of the Philippines</t>
  </si>
  <si>
    <t>Office of the President</t>
  </si>
  <si>
    <t>national irrigation administration</t>
  </si>
  <si>
    <t>Albay-Catanduanes Irrigation Management Office</t>
  </si>
  <si>
    <t>EMPLOYEES MASTERLIST -- WARM BODIES</t>
  </si>
  <si>
    <t>.</t>
  </si>
  <si>
    <t>%</t>
  </si>
  <si>
    <t>ACTING DIVISION MANAGER'S OFFICE</t>
  </si>
  <si>
    <t>STATUS</t>
  </si>
  <si>
    <t>596165</t>
  </si>
  <si>
    <t>SO, Mark Cloyd G.</t>
  </si>
  <si>
    <t>Acting Division Manager/Supervising Engineer A | JG 11-1</t>
  </si>
  <si>
    <t>Permanent</t>
  </si>
  <si>
    <t>104282</t>
  </si>
  <si>
    <t>SALEM, Mark L.</t>
  </si>
  <si>
    <t>Driver Mechanic B | JG 05-2</t>
  </si>
  <si>
    <t>Casual - COB</t>
  </si>
  <si>
    <t>692846</t>
  </si>
  <si>
    <t>CREDO, Patricia Gillyn L.</t>
  </si>
  <si>
    <t>Engineering Assistant A | SG 10</t>
  </si>
  <si>
    <t>JO</t>
  </si>
  <si>
    <t>921488</t>
  </si>
  <si>
    <t>RINGAD, Ella N.</t>
  </si>
  <si>
    <t>785273</t>
  </si>
  <si>
    <t>PEÑAFLOR, Jessica V.</t>
  </si>
  <si>
    <t>ADMINISTRATIVE SECTION</t>
  </si>
  <si>
    <t>406321</t>
  </si>
  <si>
    <t xml:space="preserve">ETCOBANEZ, Myra M. </t>
  </si>
  <si>
    <t>HR/ADMINISTRATIVE UNIT</t>
  </si>
  <si>
    <t>705491</t>
  </si>
  <si>
    <t>CALPE, Amy B.</t>
  </si>
  <si>
    <t>Data Encoder | JG 05-2</t>
  </si>
  <si>
    <t>970465</t>
  </si>
  <si>
    <t>NACARIO, Richard S.</t>
  </si>
  <si>
    <t>Clerk Processor A | SG 08</t>
  </si>
  <si>
    <t>Casual - LFP</t>
  </si>
  <si>
    <t>677630</t>
  </si>
  <si>
    <t>BONAPOS, Reese P.</t>
  </si>
  <si>
    <t>616630</t>
  </si>
  <si>
    <t>OROGO, Marc David O.</t>
  </si>
  <si>
    <t>Data Encoder I | SG 06</t>
  </si>
  <si>
    <t>847101</t>
  </si>
  <si>
    <t>PAGAL, Diane Rose P.</t>
  </si>
  <si>
    <t>Clerk Processor B | SG 06</t>
  </si>
  <si>
    <t>GENERAL SERVICES UNIT</t>
  </si>
  <si>
    <t>SECURITY SERVICES</t>
  </si>
  <si>
    <t>472890</t>
  </si>
  <si>
    <t>BALONDO, Senen A.</t>
  </si>
  <si>
    <t>Industrial Security Guard A | JG 06-1</t>
  </si>
  <si>
    <t>578550</t>
  </si>
  <si>
    <t>PAJE, Jojo O.</t>
  </si>
  <si>
    <t>706109</t>
  </si>
  <si>
    <t>BALITA, Marcos B.</t>
  </si>
  <si>
    <t>413637</t>
  </si>
  <si>
    <t>SAN BUENAVENTURA, Dante A.</t>
  </si>
  <si>
    <t>JANITORIAL SERVICES</t>
  </si>
  <si>
    <t>196770</t>
  </si>
  <si>
    <t>CULLAT, Isagani C.</t>
  </si>
  <si>
    <t>892078</t>
  </si>
  <si>
    <t>DINGLASAN, Bryann Frederick R.</t>
  </si>
  <si>
    <t>Utility Worker A | SG 03</t>
  </si>
  <si>
    <t>BUILDING MAINTENANCE SERVICES</t>
  </si>
  <si>
    <t>853739</t>
  </si>
  <si>
    <t>LONTAC, Christian Levy Jr. B.</t>
  </si>
  <si>
    <t>NAYVE, Nando M.</t>
  </si>
  <si>
    <t>Welder A | SG 04</t>
  </si>
  <si>
    <t>PROPERTY/PROCUREMENT UNIT</t>
  </si>
  <si>
    <t>411215</t>
  </si>
  <si>
    <t xml:space="preserve">DEDASE, Luisito O. </t>
  </si>
  <si>
    <t>Unit Head / Property Officer B | JG 08-1</t>
  </si>
  <si>
    <t>990269</t>
  </si>
  <si>
    <t>ABILA, Ela Mae S.</t>
  </si>
  <si>
    <t>Procurement Analyst B | JG 08-1</t>
  </si>
  <si>
    <t>515714</t>
  </si>
  <si>
    <t>AZUTEA, Mark Charl's N.</t>
  </si>
  <si>
    <t>FINANCE SECTION</t>
  </si>
  <si>
    <t>489240</t>
  </si>
  <si>
    <t>DELGADO, Alexandra Joy M.</t>
  </si>
  <si>
    <t>199052</t>
  </si>
  <si>
    <t>ALVAREZ, Ma. Cristina R.</t>
  </si>
  <si>
    <t>Clerk Processor B | SG 6</t>
  </si>
  <si>
    <t>416828</t>
  </si>
  <si>
    <t>MAYOR, Darlene Mae C.</t>
  </si>
  <si>
    <t>862342</t>
  </si>
  <si>
    <t>PAPA, John Paul R.</t>
  </si>
  <si>
    <t>Clerk Processor C | SG 4</t>
  </si>
  <si>
    <t>ROBAS, Maria Beatrice</t>
  </si>
  <si>
    <t>282537</t>
  </si>
  <si>
    <t>RODA, April Jane B.</t>
  </si>
  <si>
    <t>CASHIER</t>
  </si>
  <si>
    <t>929272</t>
  </si>
  <si>
    <t>MANLANGIT, Vilma M.</t>
  </si>
  <si>
    <t>Sr. Accounting Processor B | JG 7-1</t>
  </si>
  <si>
    <t xml:space="preserve">243192 </t>
  </si>
  <si>
    <t>MARIÑAS, Rejean L.</t>
  </si>
  <si>
    <t>ENGINEERING SECTION</t>
  </si>
  <si>
    <t>164959</t>
  </si>
  <si>
    <t xml:space="preserve">PANTE, Lech Fidel C. </t>
  </si>
  <si>
    <t>Section Head / Engineer A | JG 9-1</t>
  </si>
  <si>
    <t>JUAREZ, Julie Anne D.</t>
  </si>
  <si>
    <t>PLANNING AND DESIGN UNIT</t>
  </si>
  <si>
    <t>488433</t>
  </si>
  <si>
    <t xml:space="preserve">COMPLETO, Jessica B. </t>
  </si>
  <si>
    <t>Unit Head / Senior Engineer A | JG 10</t>
  </si>
  <si>
    <t>PLANNING TEAM</t>
  </si>
  <si>
    <t>568533</t>
  </si>
  <si>
    <t xml:space="preserve">SARION, Jane Amy R. </t>
  </si>
  <si>
    <t>505503</t>
  </si>
  <si>
    <t>CLARIÑO, Roland O.</t>
  </si>
  <si>
    <t>Survey Aide A | JG 05-1</t>
  </si>
  <si>
    <t>655711</t>
  </si>
  <si>
    <t>EUSEBIO, Walter P.</t>
  </si>
  <si>
    <t>331046</t>
  </si>
  <si>
    <t>OLAVIAGA, Joel O.</t>
  </si>
  <si>
    <t xml:space="preserve">300179 </t>
  </si>
  <si>
    <t>RESENTES, Richard R.</t>
  </si>
  <si>
    <t>Utility Worker A | 04-1</t>
  </si>
  <si>
    <t>983758</t>
  </si>
  <si>
    <t>AYCARDO, Raymond Gil C.</t>
  </si>
  <si>
    <t>Survey Aide A | SG 6</t>
  </si>
  <si>
    <t>453727</t>
  </si>
  <si>
    <t>BANGA, Arnulfo Natividad B.</t>
  </si>
  <si>
    <t>864981</t>
  </si>
  <si>
    <t>CABILES, John Patrick B.</t>
  </si>
  <si>
    <t>298598</t>
  </si>
  <si>
    <t>CAPINO, Hendryx D.</t>
  </si>
  <si>
    <t>778342</t>
  </si>
  <si>
    <t>CONCEPCION, Don R.</t>
  </si>
  <si>
    <t>Utility Worker B | SG 1</t>
  </si>
  <si>
    <t>398357</t>
  </si>
  <si>
    <t>DAGUMBOY, Frederick V.</t>
  </si>
  <si>
    <t>556790</t>
  </si>
  <si>
    <t>GESTIADA, Froilan S.</t>
  </si>
  <si>
    <t>Environmental Analyst | SG 12</t>
  </si>
  <si>
    <t>466181</t>
  </si>
  <si>
    <t>LLEVA, Ronald A.</t>
  </si>
  <si>
    <t>746795</t>
  </si>
  <si>
    <t>MORAL, Joseph</t>
  </si>
  <si>
    <t>522191</t>
  </si>
  <si>
    <t>NAVARRO, Mark Renen Q.</t>
  </si>
  <si>
    <t>587562</t>
  </si>
  <si>
    <t>OCAMPO, Gregory Mark</t>
  </si>
  <si>
    <t>719165</t>
  </si>
  <si>
    <t>PELIGAN, Eduardo J.</t>
  </si>
  <si>
    <t>Survey Aide B | SG 4</t>
  </si>
  <si>
    <t>177646</t>
  </si>
  <si>
    <t>PELIGAN, Sammy P.</t>
  </si>
  <si>
    <t>382370</t>
  </si>
  <si>
    <t>PEPAÑO, Raymond B.</t>
  </si>
  <si>
    <t>570364</t>
  </si>
  <si>
    <t>POLIDARIO, Haji P.</t>
  </si>
  <si>
    <t>570984</t>
  </si>
  <si>
    <t>POLIDARIO, Rizaldy P.</t>
  </si>
  <si>
    <t>Utility Worker A | SG 3</t>
  </si>
  <si>
    <t>200580</t>
  </si>
  <si>
    <t>PROPOGO, Luisito P.</t>
  </si>
  <si>
    <t>Engineer A | SG 14</t>
  </si>
  <si>
    <t>705059</t>
  </si>
  <si>
    <t>VIBAR, Donel P.</t>
  </si>
  <si>
    <t>Engineer B | SG 12</t>
  </si>
  <si>
    <t>DESIGN TEAM</t>
  </si>
  <si>
    <t>740531</t>
  </si>
  <si>
    <t xml:space="preserve">RONCESVALLES, Jordan P. </t>
  </si>
  <si>
    <t>Team Leader / Engineer A | JG 9</t>
  </si>
  <si>
    <t>429389</t>
  </si>
  <si>
    <t>RENON, Regine C.</t>
  </si>
  <si>
    <t>Senior Draftsman | JG 8</t>
  </si>
  <si>
    <t>905404</t>
  </si>
  <si>
    <t>DELA CRUZ, Alexandra Mae L.</t>
  </si>
  <si>
    <t>Engineering Assistant A | JG 7</t>
  </si>
  <si>
    <t>134245</t>
  </si>
  <si>
    <t>DOLZ, Jevielyn A.</t>
  </si>
  <si>
    <t>318147</t>
  </si>
  <si>
    <t>MATOCINOS, Harrish O.</t>
  </si>
  <si>
    <t>CONSTRUCTION/CONTRACT MANAGEMENT UNIT</t>
  </si>
  <si>
    <t>938818</t>
  </si>
  <si>
    <t xml:space="preserve">PARAISO, Rosemarie A.  </t>
  </si>
  <si>
    <t>135180</t>
  </si>
  <si>
    <t>ARABACA, Gilbert S.</t>
  </si>
  <si>
    <t>Senior Engineer A | JG 10</t>
  </si>
  <si>
    <t>250817</t>
  </si>
  <si>
    <t>LANUZO, Rey B.</t>
  </si>
  <si>
    <t xml:space="preserve">935951 </t>
  </si>
  <si>
    <t>NASH, Noel B.</t>
  </si>
  <si>
    <t>648335</t>
  </si>
  <si>
    <t>RASTRULLO, Coleen M.</t>
  </si>
  <si>
    <t>956528</t>
  </si>
  <si>
    <t>REBADAJO, Don A.</t>
  </si>
  <si>
    <t>Engineer A | JG 9</t>
  </si>
  <si>
    <t>CALABINES, Lyle Kenneth A.</t>
  </si>
  <si>
    <t>Engineering Assistant B | SG 8</t>
  </si>
  <si>
    <t>660100</t>
  </si>
  <si>
    <t>DAYUPAY, Jennimel R.</t>
  </si>
  <si>
    <t xml:space="preserve">136841 </t>
  </si>
  <si>
    <t>JUAREZ, Francisco Jr. B.</t>
  </si>
  <si>
    <t>MANLANGIT, Gio Dominick M.</t>
  </si>
  <si>
    <t>MARBELLA, Mark Christian R.</t>
  </si>
  <si>
    <t>255154</t>
  </si>
  <si>
    <t>OLIVERA, Loewe Mae B.</t>
  </si>
  <si>
    <t>435914</t>
  </si>
  <si>
    <t>ORAYE, Noel Jr. B.</t>
  </si>
  <si>
    <t>587844</t>
  </si>
  <si>
    <t>PETILLA, Crisna</t>
  </si>
  <si>
    <t>PORTUGUEZ, Armando S.</t>
  </si>
  <si>
    <t>710547</t>
  </si>
  <si>
    <t>SIGUENZA, Jewel A.</t>
  </si>
  <si>
    <t>OPERATIONS &amp; MAINTENANCE SECTION</t>
  </si>
  <si>
    <t>OPERATIONS UNIT</t>
  </si>
  <si>
    <t>287556</t>
  </si>
  <si>
    <t>Unit Head / Supervising Engineer A | JG 11</t>
  </si>
  <si>
    <t>587812</t>
  </si>
  <si>
    <t>BERDIN, Ian Feliciano III P.</t>
  </si>
  <si>
    <t>Regular</t>
  </si>
  <si>
    <t>817959</t>
  </si>
  <si>
    <t>NACARIO, John  Bernard S.</t>
  </si>
  <si>
    <t>WRFO | JG 5-1</t>
  </si>
  <si>
    <t xml:space="preserve">669920 </t>
  </si>
  <si>
    <t>DETERA, Dale Derick L.</t>
  </si>
  <si>
    <t>620998</t>
  </si>
  <si>
    <t>AYDALLA, Ramon Jr. C.</t>
  </si>
  <si>
    <t>659463</t>
  </si>
  <si>
    <t>MESTIOLA, Marvin A.</t>
  </si>
  <si>
    <t>NAVARRO, Gerald M.</t>
  </si>
  <si>
    <t>Research Assistant B | SG 8</t>
  </si>
  <si>
    <t>534860</t>
  </si>
  <si>
    <t>PERALTA, Von Jayvee A.</t>
  </si>
  <si>
    <t>983424</t>
  </si>
  <si>
    <t>ATANANTE, Jay Ar P.</t>
  </si>
  <si>
    <t>837811</t>
  </si>
  <si>
    <t>BOMBITA, Jerwin P.</t>
  </si>
  <si>
    <t>595261</t>
  </si>
  <si>
    <t xml:space="preserve">GUADALUPE, Ulysses </t>
  </si>
  <si>
    <t>323604</t>
  </si>
  <si>
    <t>RAMOS, Ramon A.</t>
  </si>
  <si>
    <t>793242</t>
  </si>
  <si>
    <t>REORA, Cesar M.</t>
  </si>
  <si>
    <t>INSTITUTIONAL &amp; DEVELOPMENT UNIT</t>
  </si>
  <si>
    <t>740109</t>
  </si>
  <si>
    <t>REYES, Conchita R.</t>
  </si>
  <si>
    <t>Irrigator's Development Officer A | JG 8</t>
  </si>
  <si>
    <t>232531</t>
  </si>
  <si>
    <t>NATE, Modesto Harley S.</t>
  </si>
  <si>
    <t>447264</t>
  </si>
  <si>
    <t>DACILLO, Milany B.</t>
  </si>
  <si>
    <t>Senior Water Resources Facilities Technician | SG 12</t>
  </si>
  <si>
    <t>478643</t>
  </si>
  <si>
    <t>JACOB, Elizabeth J.</t>
  </si>
  <si>
    <t>Sr. Irrigator's Development Officer A | SG 15</t>
  </si>
  <si>
    <t>429064</t>
  </si>
  <si>
    <t>PEÑAFLOR, Jemar B.</t>
  </si>
  <si>
    <t>Irrigator's Development Officer A | SG 12</t>
  </si>
  <si>
    <t xml:space="preserve">432411 </t>
  </si>
  <si>
    <t>PONGPONG, Carlito C.</t>
  </si>
  <si>
    <t>168325</t>
  </si>
  <si>
    <t>PONTILLAS, Segfrido A.</t>
  </si>
  <si>
    <t>187727</t>
  </si>
  <si>
    <t>ROBLEDO, Marilou A.</t>
  </si>
  <si>
    <t>983454</t>
  </si>
  <si>
    <t>BALINGASA, Aliza May D.</t>
  </si>
  <si>
    <t>CELLANO, Jhedson S.</t>
  </si>
  <si>
    <t>208506</t>
  </si>
  <si>
    <t>JACOB, Gail Nicole J.</t>
  </si>
  <si>
    <t>569250</t>
  </si>
  <si>
    <t>PEÑAFIEL, Jun Shane M.</t>
  </si>
  <si>
    <t>EQUIPMENT UNIT</t>
  </si>
  <si>
    <t>751102</t>
  </si>
  <si>
    <t xml:space="preserve">FRANCIA, Aldrin P. </t>
  </si>
  <si>
    <t>Unit Head / Engineer A | JG 9</t>
  </si>
  <si>
    <t>722450</t>
  </si>
  <si>
    <t>REODIQUE, Nestor S.</t>
  </si>
  <si>
    <t>348180</t>
  </si>
  <si>
    <t>RULL, Alexander E.</t>
  </si>
  <si>
    <t>625407</t>
  </si>
  <si>
    <t>LONTAC, Carl Louie B.</t>
  </si>
  <si>
    <t>Driver Mechanic B | SG 7</t>
  </si>
  <si>
    <t>254906</t>
  </si>
  <si>
    <t>AGRIPA, John Lloyd M.</t>
  </si>
  <si>
    <t>503396</t>
  </si>
  <si>
    <t>AMADOS, Jeric A.</t>
  </si>
  <si>
    <t>799103</t>
  </si>
  <si>
    <t>BERZUELA, Jose Domingo C.</t>
  </si>
  <si>
    <t>405192</t>
  </si>
  <si>
    <t>PAJE, John Kenneth P.</t>
  </si>
  <si>
    <t>556604</t>
  </si>
  <si>
    <t>POLIDARIO, Mark Angelo P.</t>
  </si>
  <si>
    <t>614317</t>
  </si>
  <si>
    <t>RAPOSA, Albert S.</t>
  </si>
  <si>
    <t>979595</t>
  </si>
  <si>
    <t>VIÑAS, Raymond R.</t>
  </si>
  <si>
    <t>CATANDUANES SUB-OFFICE</t>
  </si>
  <si>
    <t>723219</t>
  </si>
  <si>
    <t>Acting Head of Office / Sr. Engineer A | JG 10-1</t>
  </si>
  <si>
    <t>ADMINISTRATIVE UNIT</t>
  </si>
  <si>
    <t>599880</t>
  </si>
  <si>
    <t>ADELANTE, Isagani Jr. P.</t>
  </si>
  <si>
    <t>910354</t>
  </si>
  <si>
    <t>TENDENILLA, Elmerio B.</t>
  </si>
  <si>
    <t>879431</t>
  </si>
  <si>
    <t>BRIOSO, John Learry A.</t>
  </si>
  <si>
    <t>578474</t>
  </si>
  <si>
    <t>TORIO, Jomel M.</t>
  </si>
  <si>
    <t>Admin. Services Asst. B | SG 10</t>
  </si>
  <si>
    <t>PLANNING &amp; DESIGN UNIT</t>
  </si>
  <si>
    <t>135884</t>
  </si>
  <si>
    <t>LUMBAO, Joshua A.</t>
  </si>
  <si>
    <t>545194</t>
  </si>
  <si>
    <t>ALNAS, Mark Anjo T.</t>
  </si>
  <si>
    <t>553783</t>
  </si>
  <si>
    <t>MASAGCA, Richiel A.</t>
  </si>
  <si>
    <t>Engineering Assistant B | JG 06-1</t>
  </si>
  <si>
    <t>298653</t>
  </si>
  <si>
    <t>TAPIA, Kayceelyn M.</t>
  </si>
  <si>
    <t>INSTITUTIONAL DEVELOPMENT UNIT</t>
  </si>
  <si>
    <t>299888</t>
  </si>
  <si>
    <t>BEO, Edilberto Jr. R.</t>
  </si>
  <si>
    <t>653144</t>
  </si>
  <si>
    <t>MANLANGIT, Dindo Z.</t>
  </si>
  <si>
    <t>877653</t>
  </si>
  <si>
    <t>MELGAR, Frederick T.</t>
  </si>
  <si>
    <t>608312</t>
  </si>
  <si>
    <t>LLAVE, Rodolfo Jr. G.</t>
  </si>
  <si>
    <t>GUARIN, Amielle</t>
  </si>
  <si>
    <t>JO - COA</t>
  </si>
  <si>
    <t>TOTAL</t>
  </si>
  <si>
    <t>EMPLOYEE MASTERLIST -- PAYROLL IN ACIMO</t>
  </si>
  <si>
    <t>as of May 20, 2024</t>
  </si>
  <si>
    <t>BRAGAIS, Luis C.</t>
  </si>
  <si>
    <t>Division Manager A</t>
  </si>
  <si>
    <t>GORGONIA, Hilario P.</t>
  </si>
  <si>
    <t>Senior Engineer A</t>
  </si>
  <si>
    <t>OATEMAR, Marilou O.</t>
  </si>
  <si>
    <t>Supervising IDO</t>
  </si>
  <si>
    <t>VILLALUZ, Edmundo T.</t>
  </si>
  <si>
    <t>Principal Engineer C</t>
  </si>
  <si>
    <t>Prepared by:</t>
  </si>
  <si>
    <t>MYRA M. ETCOBANEZ</t>
  </si>
  <si>
    <t>Admin. Services Officer B</t>
  </si>
  <si>
    <t>TOTAL NUMBER OF PERSONNEL -- WARM BODIES</t>
  </si>
  <si>
    <t>Units</t>
  </si>
  <si>
    <t>Albay</t>
  </si>
  <si>
    <t>Catanduanes</t>
  </si>
  <si>
    <t>CARP</t>
  </si>
  <si>
    <t>CASUAL-SP</t>
  </si>
  <si>
    <t>CASUAL-PC</t>
  </si>
  <si>
    <t>Acting IMO Manager/Acting Head/Staff</t>
  </si>
  <si>
    <t>Enggineering Section Head/Staff</t>
  </si>
  <si>
    <t>Planning &amp; Design Unit</t>
  </si>
  <si>
    <t>Construction/Contract Management Unit</t>
  </si>
  <si>
    <t>Institutional Development Unit</t>
  </si>
  <si>
    <t>Equipment Unit</t>
  </si>
  <si>
    <t>NIA-COA</t>
  </si>
  <si>
    <t>Administrative Unit</t>
  </si>
  <si>
    <t>Property/Procurement Unit</t>
  </si>
  <si>
    <t>861143</t>
  </si>
  <si>
    <t>500213</t>
  </si>
  <si>
    <t>194697</t>
  </si>
  <si>
    <t>333794</t>
  </si>
  <si>
    <t>107996</t>
  </si>
  <si>
    <t>524286</t>
  </si>
  <si>
    <t xml:space="preserve">Heavy Equipment Operator | JG 9-1 </t>
  </si>
  <si>
    <t xml:space="preserve">Driver Mechanic B | SG 7 </t>
  </si>
  <si>
    <t>Foreman A | SG 10</t>
  </si>
  <si>
    <t>PERM</t>
  </si>
  <si>
    <t>TOTAL FOR PERMANENT (COB):</t>
  </si>
  <si>
    <t>TOTAL CASUAL - Standard Position (COB)</t>
  </si>
  <si>
    <t>TOTAL CASUAL - Project Charged (LFP)</t>
  </si>
  <si>
    <t>JO LFP</t>
  </si>
  <si>
    <t>JO COB</t>
  </si>
  <si>
    <t>JO CARP</t>
  </si>
  <si>
    <t>Engineering Assistant B  | SG 8</t>
  </si>
  <si>
    <t>Corporate Budget Assistant | SG 8</t>
  </si>
  <si>
    <t>Research Assistant A | SG 10</t>
  </si>
  <si>
    <t>Administrative Services Officer II | SG 13</t>
  </si>
  <si>
    <t>Sr. Data Encoder | SG 9</t>
  </si>
  <si>
    <t>Sr. Accounting Processor A | SG 12</t>
  </si>
  <si>
    <t>Information Officer B | SG 13</t>
  </si>
  <si>
    <t>Data Analyst - Controller| SG 13</t>
  </si>
  <si>
    <t>Sr. Bookkeeper | SG 9</t>
  </si>
  <si>
    <t>Unit Head/Administrative Services Officer B | JG 09-1</t>
  </si>
  <si>
    <t>Section Head | Senior Water Resources Facilities Technician | JG 8-1</t>
  </si>
  <si>
    <t>OLAGUER, Francis B.</t>
  </si>
  <si>
    <t>Clerk Processor C | SG 04</t>
  </si>
  <si>
    <t>TURREDA, Diane V</t>
  </si>
  <si>
    <t>ARCILLA, Ma. Elaine E.</t>
  </si>
  <si>
    <t>RAFOLS, Clarisse B.</t>
  </si>
  <si>
    <t>Foreman C | SG 6</t>
  </si>
  <si>
    <t>Finance Section</t>
  </si>
  <si>
    <t>Co-Term</t>
  </si>
  <si>
    <t>Operations &amp; Maintenance Unit</t>
  </si>
  <si>
    <t>National Irrigation Administration</t>
  </si>
  <si>
    <t>WARM BODIES</t>
  </si>
  <si>
    <t>PERMANENT/CO-TERMINUS</t>
  </si>
  <si>
    <t>No.</t>
  </si>
  <si>
    <t>Name</t>
  </si>
  <si>
    <t>Designation / Position</t>
  </si>
  <si>
    <t>JG</t>
  </si>
  <si>
    <t>REMARKS</t>
  </si>
  <si>
    <t>Acting Division Manager/Supervising Engineer A</t>
  </si>
  <si>
    <t>Industrial Security Guard A</t>
  </si>
  <si>
    <t>Acting Section Chief - Administrative/OIC - Operations Section/Sr. Water Resources Facilities Technician</t>
  </si>
  <si>
    <t>Engineer A</t>
  </si>
  <si>
    <t>Sr. Accounting Processor B</t>
  </si>
  <si>
    <t>MARQUEZ, Angelo V.</t>
  </si>
  <si>
    <t>Acting Head - Catanduanes Sub-Office/Sr. Engineer A</t>
  </si>
  <si>
    <t>NACARIO, John Bernard S.</t>
  </si>
  <si>
    <t>Water Resources Facilities Officer</t>
  </si>
  <si>
    <t>PANTE, Lech Fidel C.</t>
  </si>
  <si>
    <t>Acting Section Chief - Engineering/Engineer A</t>
  </si>
  <si>
    <t>Heavy Equipment Operator</t>
  </si>
  <si>
    <t>Institutional Development Officer A</t>
  </si>
  <si>
    <t>CASUAL (COB)</t>
  </si>
  <si>
    <t>Procurement Analyst B</t>
  </si>
  <si>
    <t>Sr. Engineer A</t>
  </si>
  <si>
    <t>BELGADO, Ma. Dolores S.</t>
  </si>
  <si>
    <t>Unit Head - O&amp;M/Supervising Engineer A</t>
  </si>
  <si>
    <t>Data Encoder</t>
  </si>
  <si>
    <t>Survey Aide A</t>
  </si>
  <si>
    <t>Unit Head - Planning &amp; Design/Sr. Engineer A</t>
  </si>
  <si>
    <t>DEDASE, Luisito O.</t>
  </si>
  <si>
    <t>Unit Head - Property-Procurement/Property Officer B</t>
  </si>
  <si>
    <t>Engineering Assistant A</t>
  </si>
  <si>
    <t>ETCOBANEZ, Myra M.</t>
  </si>
  <si>
    <t>Unit Head - Admin/Administrative Services Officer B</t>
  </si>
  <si>
    <t>FRANCIA, Aldrin P.</t>
  </si>
  <si>
    <t>Unit Head - Equipment/Engineer A</t>
  </si>
  <si>
    <t>Engineering Assistant B</t>
  </si>
  <si>
    <t>Unit Head - Institutional Development/Supervising Irrigators Development Officer</t>
  </si>
  <si>
    <t>PARAISO, Rosemarie A.</t>
  </si>
  <si>
    <t>Unit Head - Construction/Sr. Engineer A</t>
  </si>
  <si>
    <t>Sr. Draftsman</t>
  </si>
  <si>
    <t>Utility Worker A</t>
  </si>
  <si>
    <t>RONCESVALLES, Jordan P.</t>
  </si>
  <si>
    <t>Driver-Mechanic B</t>
  </si>
  <si>
    <t>SARION, Jane Amy R.</t>
  </si>
  <si>
    <t>CASUAL(Project-Charged)</t>
  </si>
  <si>
    <t>Sr. Water Resources Facilitaties Technician</t>
  </si>
  <si>
    <t xml:space="preserve">Sr. Irrigators Development Officer </t>
  </si>
  <si>
    <t>Administrative Services Assistant B</t>
  </si>
  <si>
    <t>Foreman A</t>
  </si>
  <si>
    <t>Irrigators Development Officer A</t>
  </si>
  <si>
    <t>JOB ORDER</t>
  </si>
  <si>
    <t>Corporate Budget Assistant</t>
  </si>
  <si>
    <t>Utility Worker B</t>
  </si>
  <si>
    <t>Clerk Processor B</t>
  </si>
  <si>
    <t>Research Assistant A</t>
  </si>
  <si>
    <t>Clerk Processor A</t>
  </si>
  <si>
    <t>Engineer B</t>
  </si>
  <si>
    <t>Research Assistant B</t>
  </si>
  <si>
    <t>Administrative Services Officer II</t>
  </si>
  <si>
    <t>Administrative Services Aide</t>
  </si>
  <si>
    <t>Environmental Analyst</t>
  </si>
  <si>
    <t>GUADALUPE, Ulysses</t>
  </si>
  <si>
    <t>Sr. Data Encoder</t>
  </si>
  <si>
    <t>Sr. Accounting Processor A</t>
  </si>
  <si>
    <t>Sr. Irrigators Development Officer</t>
  </si>
  <si>
    <t>Welder A</t>
  </si>
  <si>
    <t>Clerk Processor C</t>
  </si>
  <si>
    <t xml:space="preserve">Data Encoder </t>
  </si>
  <si>
    <t>Information Officer B</t>
  </si>
  <si>
    <t>Survey Aide B</t>
  </si>
  <si>
    <t>Foreman C</t>
  </si>
  <si>
    <t>Data Analyst-Encoder</t>
  </si>
  <si>
    <t>Sr. Bookkeeper</t>
  </si>
  <si>
    <t>JUNESSA M. LUNETA</t>
  </si>
  <si>
    <t>IRM Officer A</t>
  </si>
  <si>
    <t>Employment Status</t>
  </si>
  <si>
    <t>Total</t>
  </si>
  <si>
    <t>RENEGADO, Christian P.</t>
  </si>
  <si>
    <t>MONILLA, Christian Joshua T.</t>
  </si>
  <si>
    <t>VIÑAS, Noel Z.</t>
  </si>
  <si>
    <t>ESTRADA, Sheena Mae N.</t>
  </si>
  <si>
    <t>PHOTOCOPIES</t>
  </si>
  <si>
    <t>SG 9 and above</t>
  </si>
  <si>
    <t>SG 8 and below</t>
  </si>
  <si>
    <t>OFFICE OF THE PRESIDENT</t>
  </si>
  <si>
    <t>Administrative Services Assistant B | SG-10</t>
  </si>
  <si>
    <t>06/16/2025 original casualCOB appointment</t>
  </si>
  <si>
    <t>Supervising Irrigators Development Officer | JG 10</t>
  </si>
  <si>
    <t>01Oct2025 new appointment for new position</t>
  </si>
  <si>
    <t>03Nov2025 original casualCOB appointment</t>
  </si>
  <si>
    <t>02Sep2024 original casualLFP appointment but acted only 03Jan2025</t>
  </si>
  <si>
    <t>25Nov2025 new appointment from UWA to DMB</t>
  </si>
  <si>
    <t>18Nov2025 1st JO appointment</t>
  </si>
  <si>
    <t>25Nov2025 1st JO appointment</t>
  </si>
  <si>
    <t xml:space="preserve">17Nov2025 1st JO appointment </t>
  </si>
  <si>
    <t>17Nov2025 1st JO appointment</t>
  </si>
  <si>
    <t>01Aug2025 1st JO appointment</t>
  </si>
  <si>
    <t>BUDGET UNIT</t>
  </si>
  <si>
    <t>BOOKKEEPING</t>
  </si>
  <si>
    <t>07Jul2025 1st JO appointment</t>
  </si>
  <si>
    <t>01Jul2025 1st JO appointment</t>
  </si>
  <si>
    <t>m</t>
  </si>
  <si>
    <t>f</t>
  </si>
  <si>
    <t>female</t>
  </si>
  <si>
    <t>male</t>
  </si>
  <si>
    <t>REGALARIO, Norberto R.</t>
  </si>
  <si>
    <t>JO-SQ DAM</t>
  </si>
  <si>
    <t>FUND CHARGE</t>
  </si>
  <si>
    <t>CARP-IC</t>
  </si>
  <si>
    <t>COB</t>
  </si>
  <si>
    <t>PUTIAN, Benjamin B.</t>
  </si>
  <si>
    <t>DINERO, Pedrito B.</t>
  </si>
  <si>
    <t>LIST OF EMPLOYEES AS OF FEBRUARY 15, 2026</t>
  </si>
  <si>
    <t>DURAN, Maureen R.</t>
  </si>
  <si>
    <t>Corporate Accounts Analyst</t>
  </si>
  <si>
    <t>mon-wed at ACIMO; thu-fri at SMIMO</t>
  </si>
  <si>
    <t>Number of Employees as of 15Feb2026 (WARM BODIES)</t>
  </si>
  <si>
    <t>HEO</t>
  </si>
  <si>
    <t>As of February 15, 2026</t>
  </si>
  <si>
    <t>COS</t>
  </si>
  <si>
    <t>as of February 15, 2026</t>
  </si>
  <si>
    <t>607452</t>
  </si>
  <si>
    <t>157931</t>
  </si>
  <si>
    <t>332514</t>
  </si>
  <si>
    <t>141832</t>
  </si>
  <si>
    <t>265370</t>
  </si>
  <si>
    <t>398513</t>
  </si>
  <si>
    <t>557838</t>
  </si>
  <si>
    <t>441058</t>
  </si>
  <si>
    <t>466455</t>
  </si>
  <si>
    <t>Feb2026: expressed resignation -- last day on Mach 15</t>
  </si>
  <si>
    <t>Feb2026: expressed resignation -- last day on Feb20</t>
  </si>
  <si>
    <t>01Jan2026 to 30Jun2026 appointment</t>
  </si>
  <si>
    <t>17Mar2025 original casualLFP appointment; 01Jan2026 to 30Jun2026 appointment</t>
  </si>
  <si>
    <t>DINERO, Pedrito Bigayan</t>
  </si>
  <si>
    <t>194240</t>
  </si>
  <si>
    <t>PUTIAN, Benjamin Beato</t>
  </si>
  <si>
    <t>648385</t>
  </si>
  <si>
    <t>14Jan2026 1st JO appointment; replacement of ranola (deceased)</t>
  </si>
  <si>
    <t>17Jan2026 1st JO appointment (replacement of arcilla (resigned))</t>
  </si>
  <si>
    <t>20Jan2026 1st JO appointment (new)</t>
  </si>
  <si>
    <t>JO-CSJ DAM</t>
  </si>
  <si>
    <t>583972</t>
  </si>
  <si>
    <t>Corporate Accounts Analyst | JG 09</t>
  </si>
  <si>
    <t>VIAJEDOR, Jujie L.</t>
  </si>
  <si>
    <t>02-28Feb2026 appointment only as replacement of Portuguez</t>
  </si>
  <si>
    <t>09Feb2026: designated as Finance Head (Mon-Wed at ACIMO; Thu-Fri at SMIMO)</t>
  </si>
  <si>
    <t xml:space="preserve"> 01Jan2026 to 30Jun2026 appointment</t>
  </si>
  <si>
    <t xml:space="preserve"> 05Jan2026 to 30Jun2026 contract</t>
  </si>
  <si>
    <t>BANTOG, Marie Angeli D.</t>
  </si>
  <si>
    <t>06Feb2026 1st JO appointment</t>
  </si>
  <si>
    <t>JO-ASC CIS DAM</t>
  </si>
  <si>
    <r>
      <t>BELGADO, Ma. Dolores S.</t>
    </r>
    <r>
      <rPr>
        <i/>
        <sz val="11"/>
        <color theme="1"/>
        <rFont val="Cambria"/>
        <family val="1"/>
      </rPr>
      <t xml:space="preserve"> </t>
    </r>
  </si>
  <si>
    <r>
      <t>MARQUEZ, Angelo V.</t>
    </r>
    <r>
      <rPr>
        <i/>
        <sz val="11"/>
        <color theme="1"/>
        <rFont val="Cambria"/>
        <family val="1"/>
      </rPr>
      <t xml:space="preserve"> </t>
    </r>
  </si>
  <si>
    <t>JOB POSITION</t>
  </si>
  <si>
    <t>APPOINTMENT STATUS</t>
  </si>
  <si>
    <t>OIC / Senior Water Resources Facilities Technician | JG 8-1</t>
  </si>
  <si>
    <t>additional HEO (reported since 2025)</t>
  </si>
  <si>
    <t>Noted by:</t>
  </si>
  <si>
    <t>IAN FELICIANO P. BERDIN III</t>
  </si>
  <si>
    <t>Acting Section Head -- Administrative Section</t>
  </si>
  <si>
    <t>Acting Unit Head -- Admin/HR Unit</t>
  </si>
  <si>
    <t>SWRFT</t>
  </si>
  <si>
    <t>Reviewed by</t>
  </si>
  <si>
    <t>Engr. MARK CLOYD G. SO</t>
  </si>
  <si>
    <t>Acting Division Manager</t>
  </si>
  <si>
    <t>Supervising Engineer A</t>
  </si>
  <si>
    <t>Operations Section OIC</t>
  </si>
  <si>
    <t>General Services Unit</t>
  </si>
  <si>
    <t>Bookkeeping</t>
  </si>
  <si>
    <t>Cash Unit</t>
  </si>
  <si>
    <t>Budget Unit</t>
  </si>
  <si>
    <t>TOTAL WARMBODIES FOR ACIMO</t>
  </si>
  <si>
    <t>TOTAL FOR CO-TERMINUS (CARP)</t>
  </si>
  <si>
    <t>TOTAL JOB ORDER (JO)</t>
  </si>
  <si>
    <t>TOTAL CONTRACT OF SERVICE (COS)</t>
  </si>
  <si>
    <t>OVERALL TOTAL</t>
  </si>
  <si>
    <t>REGALARIO, Norberto Reduta</t>
  </si>
  <si>
    <t>REYES, Azeille Joy</t>
  </si>
  <si>
    <t>03March2026 1st JO appointment</t>
  </si>
  <si>
    <t>POLO SHIRT SIZE</t>
  </si>
  <si>
    <t>SIGNATURE</t>
  </si>
  <si>
    <t>XL</t>
  </si>
  <si>
    <t>XS</t>
  </si>
  <si>
    <t>TEEN</t>
  </si>
  <si>
    <t>S</t>
  </si>
  <si>
    <t>M</t>
  </si>
  <si>
    <t>L</t>
  </si>
  <si>
    <t>2XL</t>
  </si>
  <si>
    <t>3XL</t>
  </si>
  <si>
    <t>Teen</t>
  </si>
  <si>
    <t>652524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</si>
</sst>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rajan Pro"/>
      <family val="1"/>
    </font>
    <font>
      <b/>
      <sz val="11"/>
      <color theme="1"/>
      <name val="Cambria"/>
      <family val="1"/>
    </font>
    <font>
      <sz val="10"/>
      <name val="Calibri Light"/>
      <family val="1"/>
      <scheme val="major"/>
    </font>
    <font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3"/>
      <color theme="1"/>
      <name val="Trajan Pro"/>
      <family val="1"/>
    </font>
    <font>
      <b/>
      <sz val="10"/>
      <name val="Trajan Pro"/>
      <family val="1"/>
    </font>
    <font>
      <b/>
      <sz val="10"/>
      <color theme="1"/>
      <name val="Trajan Pro"/>
      <family val="1"/>
    </font>
    <font>
      <b/>
      <sz val="14"/>
      <color theme="1"/>
      <name val="Bell MT"/>
      <family val="1"/>
    </font>
    <font>
      <b/>
      <sz val="11"/>
      <color theme="1"/>
      <name val="Bell MT"/>
      <family val="1"/>
    </font>
    <font>
      <b/>
      <sz val="11"/>
      <color theme="1"/>
      <name val="Agency FB"/>
      <family val="2"/>
    </font>
    <font>
      <b/>
      <sz val="11"/>
      <color rgb="FF167C27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Times New Roman"/>
      <family val="2"/>
    </font>
    <font>
      <sz val="12"/>
      <color theme="1"/>
      <name val="Cambria"/>
      <family val="2"/>
    </font>
    <font>
      <b/>
      <sz val="10"/>
      <color theme="1"/>
      <name val="Arial Black"/>
      <family val="2"/>
    </font>
    <font>
      <b/>
      <i/>
      <sz val="10"/>
      <color theme="1"/>
      <name val="Arial Rounded MT Bold"/>
      <family val="2"/>
    </font>
    <font>
      <b/>
      <sz val="14"/>
      <color theme="1"/>
      <name val="Agency FB"/>
      <family val="2"/>
    </font>
    <font>
      <sz val="9"/>
      <color theme="1"/>
      <name val="Trajan Pro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 Nova"/>
      <family val="2"/>
    </font>
    <font>
      <b/>
      <sz val="10"/>
      <color theme="1"/>
      <name val="Arial Nova"/>
      <family val="2"/>
    </font>
    <font>
      <sz val="11"/>
      <color theme="1"/>
      <name val="Quattrocento Sans"/>
    </font>
    <font>
      <sz val="11"/>
      <color rgb="FF000000"/>
      <name val="Trajan Pro"/>
      <family val="1"/>
    </font>
    <font>
      <b/>
      <sz val="13"/>
      <color rgb="FF000000"/>
      <name val="Trajan Pro"/>
      <family val="1"/>
    </font>
    <font>
      <b/>
      <sz val="13"/>
      <color theme="1"/>
      <name val="Quattrocento Sans"/>
    </font>
    <font>
      <b/>
      <sz val="13"/>
      <color rgb="FF2E75B5"/>
      <name val="Quattrocento Sans"/>
    </font>
    <font>
      <b/>
      <sz val="11"/>
      <color theme="1"/>
      <name val="Quattrocento Sans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i/>
      <sz val="10"/>
      <color theme="1"/>
      <name val="Quattrocento Sans"/>
    </font>
    <font>
      <i/>
      <sz val="10"/>
      <color theme="1"/>
      <name val="Cambria"/>
      <family val="1"/>
    </font>
    <font>
      <b/>
      <strike/>
      <sz val="11"/>
      <color rgb="FFFF0000"/>
      <name val="Agency FB"/>
      <family val="2"/>
    </font>
    <font>
      <b/>
      <sz val="11"/>
      <color rgb="FF000000"/>
      <name val="Cambria"/>
      <family val="1"/>
    </font>
    <font>
      <i/>
      <sz val="8"/>
      <color theme="1"/>
      <name val="Quattrocento Sans"/>
    </font>
    <font>
      <b/>
      <sz val="11"/>
      <color rgb="FFFF0000"/>
      <name val="Agency FB"/>
      <family val="2"/>
    </font>
    <font>
      <sz val="8"/>
      <color theme="1"/>
      <name val="Arial Narrow"/>
      <family val="2"/>
    </font>
    <font>
      <sz val="8"/>
      <color rgb="FF167C27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trike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0"/>
      <color theme="1"/>
      <name val="Cambria"/>
      <family val="1"/>
    </font>
    <font>
      <sz val="11"/>
      <color rgb="FFFF0000"/>
      <name val="Cambria"/>
      <family val="1"/>
    </font>
    <font>
      <strike/>
      <sz val="11"/>
      <color rgb="FFFF0000"/>
      <name val="Cambria"/>
      <family val="1"/>
    </font>
    <font>
      <i/>
      <sz val="11"/>
      <color theme="1"/>
      <name val="Cambria"/>
      <family val="1"/>
    </font>
    <font>
      <sz val="14"/>
      <color theme="1"/>
      <name val="Cambria"/>
      <family val="1"/>
    </font>
    <font>
      <i/>
      <sz val="9"/>
      <color theme="1"/>
      <name val="Cambria"/>
      <family val="1"/>
    </font>
    <font>
      <sz val="9"/>
      <color theme="1"/>
      <name val="Cambria"/>
      <family val="1"/>
    </font>
    <font>
      <i/>
      <strike/>
      <sz val="9"/>
      <color rgb="FFFF0000"/>
      <name val="Cambria"/>
      <family val="1"/>
    </font>
    <font>
      <i/>
      <sz val="9"/>
      <color rgb="FFFF0000"/>
      <name val="Cambria"/>
      <family val="1"/>
    </font>
    <font>
      <b/>
      <sz val="9"/>
      <color theme="1"/>
      <name val="Cambria"/>
      <family val="1"/>
    </font>
    <font>
      <b/>
      <sz val="9"/>
      <color rgb="FFFF0000"/>
      <name val="Cambria"/>
      <family val="1"/>
    </font>
    <font>
      <sz val="7"/>
      <color rgb="FFFF0000"/>
      <name val="Arial Narrow"/>
      <family val="2"/>
    </font>
    <font>
      <b/>
      <sz val="7"/>
      <color rgb="FFFF0000"/>
      <name val="Arial Narrow"/>
      <family val="2"/>
    </font>
    <font>
      <sz val="10"/>
      <color rgb="FFFF0000"/>
      <name val="Cambria"/>
      <family val="1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FF0000"/>
      <name val="Arial Narrow"/>
      <family val="2"/>
    </font>
    <font>
      <b/>
      <sz val="10"/>
      <name val="Arial Narrow"/>
      <family val="2"/>
    </font>
    <font>
      <sz val="11"/>
      <color theme="1"/>
      <name val="Arial Narrow"/>
      <family val="2"/>
    </font>
    <font>
      <b/>
      <sz val="10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b/>
      <sz val="11"/>
      <color rgb="FFC00000"/>
      <name val="Arial Narrow"/>
      <family val="2"/>
    </font>
    <font>
      <i/>
      <sz val="11"/>
      <color rgb="FFC00000"/>
      <name val="Arial Narrow"/>
      <family val="2"/>
    </font>
    <font>
      <sz val="11"/>
      <color rgb="FFC00000"/>
      <name val="Arial Narrow"/>
      <family val="2"/>
    </font>
    <font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27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indent="10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0"/>
    </xf>
    <xf numFmtId="0" fontId="8" fillId="0" borderId="0" xfId="0" applyFont="1"/>
    <xf numFmtId="0" fontId="9" fillId="0" borderId="0" xfId="0" applyFont="1" applyAlignment="1">
      <alignment horizontal="left" vertical="center" indent="10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indent="22"/>
    </xf>
    <xf numFmtId="0" fontId="5" fillId="0" borderId="0" xfId="0" applyFont="1" applyAlignment="1">
      <alignment horizontal="left" indent="22"/>
    </xf>
    <xf numFmtId="0" fontId="7" fillId="0" borderId="0" xfId="0" applyFont="1" applyAlignment="1">
      <alignment horizontal="left" vertical="center" indent="22"/>
    </xf>
    <xf numFmtId="0" fontId="9" fillId="0" borderId="0" xfId="0" applyFont="1" applyAlignment="1">
      <alignment horizontal="left" vertical="center" indent="22"/>
    </xf>
    <xf numFmtId="0" fontId="20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23" fillId="0" borderId="0" xfId="0" applyFont="1"/>
    <xf numFmtId="0" fontId="24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25" fillId="0" borderId="26" xfId="0" applyFont="1" applyBorder="1" applyAlignment="1">
      <alignment vertical="center"/>
    </xf>
    <xf numFmtId="0" fontId="31" fillId="2" borderId="26" xfId="0" applyFont="1" applyFill="1" applyBorder="1" applyAlignment="1">
      <alignment vertical="center"/>
    </xf>
    <xf numFmtId="0" fontId="32" fillId="2" borderId="25" xfId="0" applyFont="1" applyFill="1" applyBorder="1" applyAlignment="1">
      <alignment horizontal="left" vertical="center" wrapText="1"/>
    </xf>
    <xf numFmtId="0" fontId="25" fillId="2" borderId="25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1" fillId="0" borderId="26" xfId="0" applyFont="1" applyBorder="1" applyAlignment="1">
      <alignment vertical="center"/>
    </xf>
    <xf numFmtId="0" fontId="32" fillId="0" borderId="25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2" borderId="26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5" fillId="0" borderId="26" xfId="0" applyFont="1" applyBorder="1" applyAlignment="1">
      <alignment horizontal="right" vertical="center"/>
    </xf>
    <xf numFmtId="0" fontId="33" fillId="0" borderId="1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3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0" fillId="0" borderId="26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left" vertical="center"/>
    </xf>
    <xf numFmtId="0" fontId="25" fillId="0" borderId="28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30" fillId="0" borderId="25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0" borderId="25" xfId="0" applyFont="1" applyBorder="1" applyAlignment="1">
      <alignment vertical="center" wrapText="1"/>
    </xf>
    <xf numFmtId="0" fontId="5" fillId="0" borderId="25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0" fillId="0" borderId="29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/>
    </xf>
    <xf numFmtId="49" fontId="35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25" fillId="3" borderId="26" xfId="0" applyFont="1" applyFill="1" applyBorder="1" applyAlignment="1">
      <alignment horizontal="right" vertical="center"/>
    </xf>
    <xf numFmtId="0" fontId="5" fillId="3" borderId="26" xfId="0" applyFont="1" applyFill="1" applyBorder="1" applyAlignment="1">
      <alignment vertical="center"/>
    </xf>
    <xf numFmtId="0" fontId="32" fillId="3" borderId="25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39" fillId="0" borderId="0" xfId="0" applyFont="1"/>
    <xf numFmtId="0" fontId="39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3" fillId="13" borderId="1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/>
    <xf numFmtId="0" fontId="47" fillId="0" borderId="0" xfId="0" applyFont="1" applyAlignment="1">
      <alignment vertical="center"/>
    </xf>
    <xf numFmtId="0" fontId="48" fillId="0" borderId="0" xfId="0" applyFont="1"/>
    <xf numFmtId="0" fontId="41" fillId="0" borderId="0" xfId="0" applyFont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0" borderId="0" xfId="0" applyFont="1"/>
    <xf numFmtId="0" fontId="5" fillId="0" borderId="1" xfId="1" applyFont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vertical="center"/>
    </xf>
    <xf numFmtId="0" fontId="5" fillId="0" borderId="0" xfId="1" applyFont="1" applyAlignment="1" applyProtection="1">
      <alignment vertical="center" wrapText="1"/>
      <protection locked="0"/>
    </xf>
    <xf numFmtId="0" fontId="32" fillId="0" borderId="0" xfId="0" applyFont="1" applyAlignment="1">
      <alignment vertical="center"/>
    </xf>
    <xf numFmtId="0" fontId="50" fillId="0" borderId="1" xfId="1" applyFont="1" applyBorder="1" applyAlignment="1" applyProtection="1">
      <alignment vertical="center" wrapText="1"/>
      <protection locked="0"/>
    </xf>
    <xf numFmtId="0" fontId="51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0" fontId="5" fillId="0" borderId="1" xfId="1" applyFont="1" applyBorder="1" applyAlignment="1" applyProtection="1">
      <alignment horizontal="left" vertical="center" wrapText="1"/>
      <protection locked="0"/>
    </xf>
    <xf numFmtId="0" fontId="53" fillId="0" borderId="0" xfId="0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54" fillId="0" borderId="0" xfId="2" applyFont="1" applyAlignment="1">
      <alignment vertical="center" wrapText="1"/>
    </xf>
    <xf numFmtId="0" fontId="55" fillId="0" borderId="0" xfId="0" applyFont="1" applyAlignment="1">
      <alignment vertical="center"/>
    </xf>
    <xf numFmtId="0" fontId="55" fillId="0" borderId="0" xfId="0" applyFont="1"/>
    <xf numFmtId="0" fontId="54" fillId="0" borderId="1" xfId="2" applyFont="1" applyBorder="1" applyAlignment="1">
      <alignment vertical="center" wrapText="1"/>
    </xf>
    <xf numFmtId="0" fontId="56" fillId="0" borderId="1" xfId="2" applyFont="1" applyBorder="1" applyAlignment="1">
      <alignment vertical="center" wrapText="1"/>
    </xf>
    <xf numFmtId="0" fontId="57" fillId="0" borderId="1" xfId="2" applyFont="1" applyBorder="1" applyAlignment="1">
      <alignment vertical="center" wrapText="1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wrapText="1"/>
    </xf>
    <xf numFmtId="0" fontId="60" fillId="0" borderId="0" xfId="0" applyFont="1" applyAlignment="1">
      <alignment horizontal="left" vertical="center" wrapText="1"/>
    </xf>
    <xf numFmtId="0" fontId="61" fillId="0" borderId="0" xfId="0" applyFont="1" applyAlignment="1">
      <alignment horizontal="left" wrapText="1"/>
    </xf>
    <xf numFmtId="0" fontId="60" fillId="0" borderId="0" xfId="0" quotePrefix="1" applyFont="1" applyAlignment="1">
      <alignment horizontal="left" vertical="center" wrapText="1"/>
    </xf>
    <xf numFmtId="15" fontId="60" fillId="0" borderId="0" xfId="0" applyNumberFormat="1" applyFont="1" applyAlignment="1">
      <alignment horizontal="left" vertical="center" wrapText="1"/>
    </xf>
    <xf numFmtId="16" fontId="60" fillId="0" borderId="0" xfId="0" applyNumberFormat="1" applyFont="1" applyAlignment="1">
      <alignment horizontal="left" vertical="center" wrapText="1"/>
    </xf>
    <xf numFmtId="0" fontId="41" fillId="0" borderId="15" xfId="0" applyFont="1" applyBorder="1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5" fillId="0" borderId="15" xfId="2" applyFont="1" applyBorder="1" applyAlignment="1">
      <alignment vertical="center"/>
    </xf>
    <xf numFmtId="0" fontId="54" fillId="0" borderId="15" xfId="2" applyFont="1" applyBorder="1" applyAlignment="1">
      <alignment vertical="center" wrapText="1"/>
    </xf>
    <xf numFmtId="0" fontId="39" fillId="0" borderId="15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5" fillId="0" borderId="3" xfId="2" applyFont="1" applyBorder="1" applyAlignment="1">
      <alignment vertical="center"/>
    </xf>
    <xf numFmtId="0" fontId="54" fillId="0" borderId="3" xfId="2" applyFont="1" applyBorder="1" applyAlignment="1">
      <alignment vertical="center" wrapText="1"/>
    </xf>
    <xf numFmtId="0" fontId="39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62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63" fillId="4" borderId="12" xfId="0" applyFont="1" applyFill="1" applyBorder="1" applyAlignment="1">
      <alignment horizontal="left" vertical="center" wrapText="1"/>
    </xf>
    <xf numFmtId="0" fontId="64" fillId="0" borderId="10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3" fillId="10" borderId="12" xfId="0" applyFont="1" applyFill="1" applyBorder="1" applyAlignment="1">
      <alignment horizontal="left" vertical="center" wrapText="1"/>
    </xf>
    <xf numFmtId="0" fontId="65" fillId="0" borderId="2" xfId="0" applyFont="1" applyBorder="1" applyAlignment="1">
      <alignment horizontal="center" vertical="center"/>
    </xf>
    <xf numFmtId="0" fontId="64" fillId="0" borderId="0" xfId="0" applyFont="1"/>
    <xf numFmtId="0" fontId="63" fillId="11" borderId="12" xfId="0" applyFont="1" applyFill="1" applyBorder="1" applyAlignment="1">
      <alignment horizontal="left" vertical="center" wrapText="1"/>
    </xf>
    <xf numFmtId="0" fontId="63" fillId="15" borderId="12" xfId="0" applyFont="1" applyFill="1" applyBorder="1" applyAlignment="1">
      <alignment horizontal="left" vertical="center" wrapText="1"/>
    </xf>
    <xf numFmtId="0" fontId="63" fillId="16" borderId="12" xfId="0" applyFont="1" applyFill="1" applyBorder="1" applyAlignment="1">
      <alignment horizontal="left" vertical="center" wrapText="1"/>
    </xf>
    <xf numFmtId="0" fontId="63" fillId="6" borderId="12" xfId="0" applyFont="1" applyFill="1" applyBorder="1" applyAlignment="1">
      <alignment horizontal="left" vertical="center" wrapText="1"/>
    </xf>
    <xf numFmtId="0" fontId="63" fillId="8" borderId="12" xfId="0" applyFont="1" applyFill="1" applyBorder="1" applyAlignment="1">
      <alignment horizontal="left" vertical="center" wrapText="1"/>
    </xf>
    <xf numFmtId="0" fontId="63" fillId="9" borderId="13" xfId="0" applyFont="1" applyFill="1" applyBorder="1" applyAlignment="1">
      <alignment horizontal="left" vertical="center" wrapText="1"/>
    </xf>
    <xf numFmtId="0" fontId="64" fillId="0" borderId="14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0" fontId="64" fillId="0" borderId="3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3" fillId="9" borderId="17" xfId="0" applyFont="1" applyFill="1" applyBorder="1" applyAlignment="1">
      <alignment horizontal="left" vertical="center" wrapText="1"/>
    </xf>
    <xf numFmtId="0" fontId="64" fillId="0" borderId="18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63" fillId="0" borderId="21" xfId="0" applyFont="1" applyBorder="1" applyAlignment="1">
      <alignment vertical="center"/>
    </xf>
    <xf numFmtId="0" fontId="64" fillId="0" borderId="22" xfId="0" applyFont="1" applyBorder="1" applyAlignment="1">
      <alignment horizontal="center" vertical="center"/>
    </xf>
    <xf numFmtId="0" fontId="63" fillId="0" borderId="0" xfId="0" applyFont="1"/>
    <xf numFmtId="0" fontId="67" fillId="0" borderId="0" xfId="0" applyFont="1"/>
    <xf numFmtId="0" fontId="69" fillId="0" borderId="10" xfId="1" applyFont="1" applyBorder="1" applyAlignment="1" applyProtection="1">
      <alignment horizontal="left" vertical="center" wrapText="1"/>
      <protection locked="0"/>
    </xf>
    <xf numFmtId="0" fontId="70" fillId="0" borderId="11" xfId="0" applyFont="1" applyBorder="1" applyAlignment="1">
      <alignment horizontal="center"/>
    </xf>
    <xf numFmtId="0" fontId="71" fillId="0" borderId="0" xfId="0" applyFont="1" applyAlignment="1">
      <alignment horizontal="right" vertical="center"/>
    </xf>
    <xf numFmtId="0" fontId="72" fillId="0" borderId="0" xfId="0" applyFont="1" applyAlignment="1">
      <alignment horizontal="left" vertical="center"/>
    </xf>
    <xf numFmtId="0" fontId="67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4" fillId="0" borderId="0" xfId="0" applyFont="1" applyAlignment="1">
      <alignment horizontal="left" vertical="center"/>
    </xf>
    <xf numFmtId="0" fontId="75" fillId="0" borderId="0" xfId="0" applyFont="1" applyAlignment="1">
      <alignment horizontal="center" vertical="center"/>
    </xf>
    <xf numFmtId="0" fontId="67" fillId="0" borderId="0" xfId="0" applyFont="1" applyAlignment="1">
      <alignment horizontal="center"/>
    </xf>
    <xf numFmtId="0" fontId="70" fillId="0" borderId="16" xfId="0" applyFont="1" applyBorder="1" applyAlignment="1">
      <alignment horizontal="center"/>
    </xf>
    <xf numFmtId="0" fontId="69" fillId="0" borderId="10" xfId="1" applyFont="1" applyBorder="1" applyAlignment="1" applyProtection="1">
      <alignment horizontal="right" vertical="center" wrapText="1"/>
      <protection locked="0"/>
    </xf>
    <xf numFmtId="0" fontId="63" fillId="0" borderId="0" xfId="0" applyFont="1" applyAlignment="1">
      <alignment horizontal="center" vertical="center"/>
    </xf>
    <xf numFmtId="0" fontId="76" fillId="0" borderId="23" xfId="1" applyFont="1" applyBorder="1" applyAlignment="1" applyProtection="1">
      <alignment horizontal="right" vertical="center" wrapText="1"/>
      <protection locked="0"/>
    </xf>
    <xf numFmtId="0" fontId="77" fillId="0" borderId="24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17" fillId="9" borderId="1" xfId="0" applyFont="1" applyFill="1" applyBorder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5" fillId="0" borderId="1" xfId="2" applyFont="1" applyBorder="1" applyAlignment="1">
      <alignment horizontal="center" vertical="center" wrapText="1"/>
    </xf>
    <xf numFmtId="0" fontId="55" fillId="0" borderId="15" xfId="2" applyFont="1" applyBorder="1" applyAlignment="1">
      <alignment horizontal="center" vertical="center" wrapText="1"/>
    </xf>
    <xf numFmtId="0" fontId="55" fillId="0" borderId="0" xfId="2" applyFont="1" applyAlignment="1">
      <alignment horizontal="center" vertical="center" wrapText="1"/>
    </xf>
    <xf numFmtId="0" fontId="55" fillId="17" borderId="1" xfId="2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14" fillId="5" borderId="3" xfId="0" applyFont="1" applyFill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7" fillId="6" borderId="1" xfId="0" applyFont="1" applyFill="1" applyBorder="1" applyAlignment="1">
      <alignment vertical="center"/>
    </xf>
    <xf numFmtId="0" fontId="18" fillId="7" borderId="2" xfId="0" applyFont="1" applyFill="1" applyBorder="1" applyAlignment="1">
      <alignment vertical="center"/>
    </xf>
    <xf numFmtId="0" fontId="18" fillId="7" borderId="3" xfId="0" applyFont="1" applyFill="1" applyBorder="1" applyAlignment="1">
      <alignment vertical="center"/>
    </xf>
    <xf numFmtId="0" fontId="18" fillId="7" borderId="4" xfId="0" applyFont="1" applyFill="1" applyBorder="1" applyAlignment="1">
      <alignment vertical="center"/>
    </xf>
    <xf numFmtId="0" fontId="14" fillId="8" borderId="2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4" fillId="8" borderId="4" xfId="0" applyFont="1" applyFill="1" applyBorder="1" applyAlignment="1">
      <alignment vertical="center"/>
    </xf>
    <xf numFmtId="0" fontId="17" fillId="9" borderId="1" xfId="0" applyFont="1" applyFill="1" applyBorder="1" applyAlignment="1">
      <alignment vertical="center"/>
    </xf>
    <xf numFmtId="0" fontId="14" fillId="10" borderId="2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4" fillId="10" borderId="4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18" fillId="12" borderId="3" xfId="0" applyFont="1" applyFill="1" applyBorder="1" applyAlignment="1">
      <alignment vertical="center"/>
    </xf>
    <xf numFmtId="0" fontId="18" fillId="12" borderId="4" xfId="0" applyFont="1" applyFill="1" applyBorder="1" applyAlignment="1">
      <alignment vertical="center"/>
    </xf>
    <xf numFmtId="0" fontId="14" fillId="15" borderId="2" xfId="0" applyFont="1" applyFill="1" applyBorder="1" applyAlignment="1">
      <alignment vertical="center"/>
    </xf>
    <xf numFmtId="0" fontId="14" fillId="15" borderId="3" xfId="0" applyFont="1" applyFill="1" applyBorder="1" applyAlignment="1">
      <alignment vertical="center"/>
    </xf>
    <xf numFmtId="0" fontId="14" fillId="15" borderId="4" xfId="0" applyFont="1" applyFill="1" applyBorder="1" applyAlignment="1">
      <alignment vertical="center"/>
    </xf>
    <xf numFmtId="0" fontId="17" fillId="16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center"/>
    </xf>
    <xf numFmtId="0" fontId="17" fillId="14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78" fillId="0" borderId="1" xfId="0" applyFont="1" applyBorder="1" applyAlignment="1">
      <alignment horizontal="center"/>
    </xf>
    <xf numFmtId="0" fontId="78" fillId="0" borderId="1" xfId="0" applyFont="1" applyBorder="1" applyAlignment="1">
      <alignment vertical="center"/>
    </xf>
    <xf numFmtId="49" fontId="12" fillId="17" borderId="1" xfId="0" applyNumberFormat="1" applyFont="1" applyFill="1" applyBorder="1" applyAlignment="1">
      <alignment horizontal="center" vertical="center"/>
    </xf>
    <xf numFmtId="0" fontId="66" fillId="0" borderId="6" xfId="1" applyFont="1" applyBorder="1" applyAlignment="1" applyProtection="1">
      <alignment horizontal="center" vertical="center" wrapText="1"/>
      <protection locked="0"/>
    </xf>
    <xf numFmtId="0" fontId="66" fillId="0" borderId="8" xfId="1" applyFont="1" applyBorder="1" applyAlignment="1" applyProtection="1">
      <alignment horizontal="center" vertical="center" wrapText="1"/>
      <protection locked="0"/>
    </xf>
    <xf numFmtId="0" fontId="68" fillId="0" borderId="0" xfId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15" borderId="2" xfId="0" applyFont="1" applyFill="1" applyBorder="1" applyAlignment="1">
      <alignment horizontal="left" vertical="center"/>
    </xf>
    <xf numFmtId="0" fontId="14" fillId="15" borderId="3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18" fillId="12" borderId="3" xfId="0" applyFont="1" applyFill="1" applyBorder="1" applyAlignment="1">
      <alignment horizontal="left" vertical="center"/>
    </xf>
    <xf numFmtId="0" fontId="18" fillId="12" borderId="4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33722873-3552-4A55-B4B9-04962249BB25}"/>
    <cellStyle name="Normal 4" xfId="2" xr:uid="{E9CA2253-99F2-4603-990C-298727989C46}"/>
  </cellStyles>
  <dxfs count="0"/>
  <tableStyles count="0" defaultTableStyle="TableStyleMedium2" defaultPivotStyle="PivotStyleLight16"/>
  <colors>
    <mruColors>
      <color rgb="FFFF66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222251</xdr:colOff>
      <xdr:row>0</xdr:row>
      <xdr:rowOff>158750</xdr:rowOff>
    </xdr:from>
    <xdr:to>
      <xdr:col>0</xdr:col>
      <xdr:colOff>1657351</xdr:colOff>
      <xdr:row>3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B1C2F33-CF6D-40B2-816A-7086F20A797A}"/>
            </a:ext>
          </a:extLst>
        </xdr:cNvPr>
        <xdr:cNvGrpSpPr/>
      </xdr:nvGrpSpPr>
      <xdr:grpSpPr>
        <a:xfrm>
          <a:off x="222251" y="158750"/>
          <a:ext cx="1435100" cy="758825"/>
          <a:chOff x="0" y="0"/>
          <a:chExt cx="1061300" cy="51498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522FDD9-DE0F-495A-A706-2F60D7CCD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040BC0A-08EC-4097-BA4E-A720A58230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192942</xdr:colOff>
      <xdr:row>0</xdr:row>
      <xdr:rowOff>111125</xdr:rowOff>
    </xdr:from>
    <xdr:to>
      <xdr:col>12</xdr:col>
      <xdr:colOff>317500</xdr:colOff>
      <xdr:row>4</xdr:row>
      <xdr:rowOff>149224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E070B0-5CD7-4C16-A29A-17CC809D3246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9492" y="111125"/>
          <a:ext cx="896083" cy="971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118885</xdr:colOff>
      <xdr:row>0</xdr:row>
      <xdr:rowOff>254851</xdr:rowOff>
    </xdr:from>
    <xdr:to>
      <xdr:col>2</xdr:col>
      <xdr:colOff>786847</xdr:colOff>
      <xdr:row>3</xdr:row>
      <xdr:rowOff>159602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C575C7A-A698-4897-943A-17F6A3DE03C9}"/>
            </a:ext>
          </a:extLst>
        </xdr:cNvPr>
        <xdr:cNvGrpSpPr/>
      </xdr:nvGrpSpPr>
      <xdr:grpSpPr>
        <a:xfrm>
          <a:off x="118885" y="254851"/>
          <a:ext cx="1268037" cy="647701"/>
          <a:chOff x="0" y="0"/>
          <a:chExt cx="1061300" cy="51498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5FAE538-254D-4995-9CF4-BFC9D3FEF9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844420C-7522-4880-B6EF-6F3FEFE5D0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1289699</xdr:colOff>
      <xdr:row>0</xdr:row>
      <xdr:rowOff>117231</xdr:rowOff>
    </xdr:from>
    <xdr:to>
      <xdr:col>6</xdr:col>
      <xdr:colOff>2153479</xdr:colOff>
      <xdr:row>4</xdr:row>
      <xdr:rowOff>102577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16596B-1015-451C-B6B3-9AF43B6FF3D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8134" y="117231"/>
          <a:ext cx="863780" cy="9129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118885</xdr:colOff>
      <xdr:row>0</xdr:row>
      <xdr:rowOff>254851</xdr:rowOff>
    </xdr:from>
    <xdr:to>
      <xdr:col>2</xdr:col>
      <xdr:colOff>786847</xdr:colOff>
      <xdr:row>3</xdr:row>
      <xdr:rowOff>159602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C5E23B5-0FE8-422C-B0DB-04046BEF2664}"/>
            </a:ext>
          </a:extLst>
        </xdr:cNvPr>
        <xdr:cNvGrpSpPr/>
      </xdr:nvGrpSpPr>
      <xdr:grpSpPr>
        <a:xfrm>
          <a:off x="118885" y="254851"/>
          <a:ext cx="1268037" cy="647701"/>
          <a:chOff x="0" y="0"/>
          <a:chExt cx="1061300" cy="51498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0DAF070-C94B-306B-E7D6-B4779ACB15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C61F240-0A55-848F-0F57-7C0D73AC33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1356374</xdr:colOff>
      <xdr:row>0</xdr:row>
      <xdr:rowOff>145806</xdr:rowOff>
    </xdr:from>
    <xdr:to>
      <xdr:col>5</xdr:col>
      <xdr:colOff>105604</xdr:colOff>
      <xdr:row>4</xdr:row>
      <xdr:rowOff>131152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C872B4-BBD5-4F46-8B02-2767B6800629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4149" y="145806"/>
          <a:ext cx="863780" cy="918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0AD8-8143-43D6-92AE-C867E17694CE}">
  <dimension ref="A1:M38"/>
  <sheetViews>
    <sheetView showGridLines="0" view="pageBreakPreview" zoomScale="60" zoomScaleNormal="100" workbookViewId="0">
      <selection activeCell="T29" sqref="T29"/>
    </sheetView>
  </sheetViews>
  <sheetFormatPr defaultRowHeight="15" x14ac:dyDescent="0.25"/>
  <cols>
    <col min="1" max="1" width="41.7109375" customWidth="1"/>
    <col min="2" max="13" width="11.5703125" customWidth="1"/>
  </cols>
  <sheetData>
    <row r="1" spans="1:13" ht="27" customHeight="1" x14ac:dyDescent="0.25">
      <c r="A1" s="18" t="s">
        <v>0</v>
      </c>
      <c r="E1" s="4"/>
      <c r="H1" s="1"/>
      <c r="I1" s="1"/>
      <c r="J1" s="1"/>
      <c r="K1" s="1"/>
      <c r="L1" s="1"/>
      <c r="M1" s="1"/>
    </row>
    <row r="2" spans="1:13" s="7" customFormat="1" ht="14.25" customHeight="1" x14ac:dyDescent="0.2">
      <c r="A2" s="19" t="s">
        <v>1</v>
      </c>
      <c r="E2" s="8"/>
      <c r="H2" s="5"/>
      <c r="I2" s="5"/>
      <c r="J2" s="5"/>
      <c r="K2" s="5"/>
      <c r="L2" s="5"/>
      <c r="M2" s="5"/>
    </row>
    <row r="3" spans="1:13" ht="17.25" x14ac:dyDescent="0.25">
      <c r="A3" s="20" t="s">
        <v>2</v>
      </c>
      <c r="E3" s="4"/>
      <c r="H3" s="1"/>
      <c r="I3" s="1"/>
      <c r="J3" s="1"/>
      <c r="K3" s="1"/>
      <c r="L3" s="1"/>
      <c r="M3" s="1"/>
    </row>
    <row r="4" spans="1:13" x14ac:dyDescent="0.25">
      <c r="A4" s="21" t="s">
        <v>3</v>
      </c>
      <c r="E4" s="4"/>
      <c r="H4" s="10"/>
      <c r="I4" s="10"/>
      <c r="J4" s="10"/>
      <c r="K4" s="10"/>
      <c r="L4" s="10"/>
      <c r="M4" s="10"/>
    </row>
    <row r="5" spans="1:13" x14ac:dyDescent="0.25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</row>
    <row r="6" spans="1:13" ht="19.5" x14ac:dyDescent="0.35">
      <c r="A6" s="241" t="s">
        <v>337</v>
      </c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</row>
    <row r="7" spans="1:13" ht="15.75" x14ac:dyDescent="0.3">
      <c r="A7" s="242" t="s">
        <v>508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</row>
    <row r="8" spans="1:13" ht="6.75" customHeight="1" thickBot="1" x14ac:dyDescent="0.3">
      <c r="A8" s="22"/>
    </row>
    <row r="9" spans="1:13" s="25" customFormat="1" ht="12.75" x14ac:dyDescent="0.2">
      <c r="A9" s="243" t="s">
        <v>338</v>
      </c>
      <c r="B9" s="245" t="s">
        <v>339</v>
      </c>
      <c r="C9" s="246"/>
      <c r="D9" s="246"/>
      <c r="E9" s="246"/>
      <c r="F9" s="246"/>
      <c r="G9" s="152"/>
      <c r="H9" s="245" t="s">
        <v>340</v>
      </c>
      <c r="I9" s="246"/>
      <c r="J9" s="246"/>
      <c r="K9" s="246"/>
      <c r="L9" s="246"/>
      <c r="M9" s="247"/>
    </row>
    <row r="10" spans="1:13" s="25" customFormat="1" ht="12.75" x14ac:dyDescent="0.2">
      <c r="A10" s="244"/>
      <c r="B10" s="26" t="s">
        <v>362</v>
      </c>
      <c r="C10" s="27" t="s">
        <v>341</v>
      </c>
      <c r="D10" s="27" t="s">
        <v>342</v>
      </c>
      <c r="E10" s="27" t="s">
        <v>343</v>
      </c>
      <c r="F10" s="88" t="s">
        <v>20</v>
      </c>
      <c r="G10" s="28" t="s">
        <v>509</v>
      </c>
      <c r="H10" s="26" t="s">
        <v>362</v>
      </c>
      <c r="I10" s="27" t="s">
        <v>341</v>
      </c>
      <c r="J10" s="27" t="s">
        <v>342</v>
      </c>
      <c r="K10" s="27" t="s">
        <v>343</v>
      </c>
      <c r="L10" s="88" t="s">
        <v>20</v>
      </c>
      <c r="M10" s="28" t="s">
        <v>509</v>
      </c>
    </row>
    <row r="11" spans="1:13" s="25" customFormat="1" ht="21.75" customHeight="1" x14ac:dyDescent="0.2">
      <c r="A11" s="153" t="s">
        <v>344</v>
      </c>
      <c r="B11" s="154">
        <v>1</v>
      </c>
      <c r="C11" s="155"/>
      <c r="D11" s="155"/>
      <c r="E11" s="155"/>
      <c r="F11" s="156">
        <v>3</v>
      </c>
      <c r="G11" s="157"/>
      <c r="H11" s="154">
        <v>1</v>
      </c>
      <c r="I11" s="155"/>
      <c r="J11" s="155"/>
      <c r="K11" s="155"/>
      <c r="L11" s="156"/>
      <c r="M11" s="157"/>
    </row>
    <row r="12" spans="1:13" s="25" customFormat="1" ht="21.75" customHeight="1" x14ac:dyDescent="0.25">
      <c r="A12" s="158" t="s">
        <v>345</v>
      </c>
      <c r="B12" s="154">
        <v>1</v>
      </c>
      <c r="C12" s="155"/>
      <c r="D12" s="155"/>
      <c r="E12" s="155"/>
      <c r="F12" s="159">
        <v>1</v>
      </c>
      <c r="G12" s="157"/>
      <c r="H12" s="154"/>
      <c r="I12" s="160"/>
      <c r="J12" s="155"/>
      <c r="K12" s="155"/>
      <c r="L12" s="156"/>
      <c r="M12" s="157"/>
    </row>
    <row r="13" spans="1:13" s="25" customFormat="1" ht="21.75" customHeight="1" x14ac:dyDescent="0.2">
      <c r="A13" s="161" t="s">
        <v>346</v>
      </c>
      <c r="B13" s="154"/>
      <c r="C13" s="155"/>
      <c r="D13" s="155">
        <v>9</v>
      </c>
      <c r="E13" s="155"/>
      <c r="F13" s="156">
        <v>17</v>
      </c>
      <c r="G13" s="157">
        <v>4</v>
      </c>
      <c r="H13" s="154"/>
      <c r="I13" s="155"/>
      <c r="J13" s="155"/>
      <c r="K13" s="155"/>
      <c r="L13" s="156"/>
      <c r="M13" s="157">
        <v>1</v>
      </c>
    </row>
    <row r="14" spans="1:13" s="25" customFormat="1" ht="21.75" customHeight="1" x14ac:dyDescent="0.2">
      <c r="A14" s="161" t="s">
        <v>347</v>
      </c>
      <c r="B14" s="154"/>
      <c r="C14" s="155">
        <v>1</v>
      </c>
      <c r="D14" s="155">
        <v>6</v>
      </c>
      <c r="E14" s="155">
        <v>1</v>
      </c>
      <c r="F14" s="156">
        <v>7</v>
      </c>
      <c r="G14" s="157">
        <v>1</v>
      </c>
      <c r="H14" s="154"/>
      <c r="I14" s="155"/>
      <c r="J14" s="155">
        <v>2</v>
      </c>
      <c r="K14" s="155"/>
      <c r="L14" s="156"/>
      <c r="M14" s="157">
        <v>1</v>
      </c>
    </row>
    <row r="15" spans="1:13" s="25" customFormat="1" ht="21.75" customHeight="1" x14ac:dyDescent="0.2">
      <c r="A15" s="162" t="s">
        <v>557</v>
      </c>
      <c r="B15" s="154">
        <v>1</v>
      </c>
      <c r="C15" s="155"/>
      <c r="D15" s="155"/>
      <c r="E15" s="155"/>
      <c r="F15" s="156"/>
      <c r="G15" s="157"/>
      <c r="H15" s="154"/>
      <c r="I15" s="155"/>
      <c r="J15" s="155"/>
      <c r="K15" s="155"/>
      <c r="L15" s="156"/>
      <c r="M15" s="157"/>
    </row>
    <row r="16" spans="1:13" s="25" customFormat="1" ht="21.75" customHeight="1" x14ac:dyDescent="0.2">
      <c r="A16" s="163" t="s">
        <v>388</v>
      </c>
      <c r="B16" s="154">
        <v>1</v>
      </c>
      <c r="C16" s="155"/>
      <c r="D16" s="155">
        <v>1</v>
      </c>
      <c r="E16" s="155">
        <v>1</v>
      </c>
      <c r="F16" s="156">
        <v>11</v>
      </c>
      <c r="G16" s="157">
        <v>2</v>
      </c>
      <c r="H16" s="154"/>
      <c r="I16" s="155"/>
      <c r="J16" s="155"/>
      <c r="K16" s="155"/>
      <c r="L16" s="156"/>
      <c r="M16" s="157"/>
    </row>
    <row r="17" spans="1:13" s="25" customFormat="1" ht="21.75" customHeight="1" x14ac:dyDescent="0.2">
      <c r="A17" s="163" t="s">
        <v>348</v>
      </c>
      <c r="B17" s="154"/>
      <c r="C17" s="155">
        <v>1</v>
      </c>
      <c r="D17" s="155">
        <v>2</v>
      </c>
      <c r="E17" s="155">
        <v>6</v>
      </c>
      <c r="F17" s="156">
        <v>5</v>
      </c>
      <c r="G17" s="157"/>
      <c r="H17" s="154"/>
      <c r="I17" s="155"/>
      <c r="J17" s="155"/>
      <c r="K17" s="155"/>
      <c r="L17" s="156">
        <v>1</v>
      </c>
      <c r="M17" s="157">
        <v>2</v>
      </c>
    </row>
    <row r="18" spans="1:13" s="25" customFormat="1" ht="21.75" customHeight="1" x14ac:dyDescent="0.2">
      <c r="A18" s="163" t="s">
        <v>349</v>
      </c>
      <c r="B18" s="154">
        <v>1</v>
      </c>
      <c r="C18" s="155"/>
      <c r="D18" s="155">
        <v>3</v>
      </c>
      <c r="E18" s="155">
        <v>1</v>
      </c>
      <c r="F18" s="156">
        <v>8</v>
      </c>
      <c r="G18" s="157"/>
      <c r="H18" s="154"/>
      <c r="I18" s="155"/>
      <c r="J18" s="155"/>
      <c r="K18" s="155">
        <v>1</v>
      </c>
      <c r="L18" s="156"/>
      <c r="M18" s="157"/>
    </row>
    <row r="19" spans="1:13" s="25" customFormat="1" ht="21.75" customHeight="1" x14ac:dyDescent="0.2">
      <c r="A19" s="164" t="s">
        <v>350</v>
      </c>
      <c r="B19" s="154"/>
      <c r="C19" s="155"/>
      <c r="D19" s="155"/>
      <c r="E19" s="155"/>
      <c r="F19" s="156">
        <v>1</v>
      </c>
      <c r="G19" s="157"/>
      <c r="H19" s="154"/>
      <c r="I19" s="155"/>
      <c r="J19" s="155"/>
      <c r="K19" s="155"/>
      <c r="L19" s="156"/>
      <c r="M19" s="157"/>
    </row>
    <row r="20" spans="1:13" s="25" customFormat="1" ht="21.75" customHeight="1" x14ac:dyDescent="0.2">
      <c r="A20" s="164" t="s">
        <v>351</v>
      </c>
      <c r="B20" s="154"/>
      <c r="C20" s="155"/>
      <c r="D20" s="155">
        <v>2</v>
      </c>
      <c r="E20" s="155">
        <v>1</v>
      </c>
      <c r="F20" s="156">
        <v>4</v>
      </c>
      <c r="G20" s="157"/>
      <c r="H20" s="154"/>
      <c r="I20" s="155"/>
      <c r="J20" s="155">
        <v>2</v>
      </c>
      <c r="K20" s="155"/>
      <c r="L20" s="156">
        <v>3</v>
      </c>
      <c r="M20" s="157"/>
    </row>
    <row r="21" spans="1:13" s="25" customFormat="1" ht="21.75" customHeight="1" x14ac:dyDescent="0.2">
      <c r="A21" s="164" t="s">
        <v>558</v>
      </c>
      <c r="B21" s="154">
        <v>2</v>
      </c>
      <c r="C21" s="155"/>
      <c r="D21" s="155">
        <v>2</v>
      </c>
      <c r="E21" s="155"/>
      <c r="F21" s="156">
        <v>4</v>
      </c>
      <c r="G21" s="157"/>
      <c r="H21" s="154"/>
      <c r="I21" s="155"/>
      <c r="J21" s="155"/>
      <c r="K21" s="155"/>
      <c r="L21" s="156"/>
      <c r="M21" s="157"/>
    </row>
    <row r="22" spans="1:13" s="25" customFormat="1" ht="21.75" customHeight="1" x14ac:dyDescent="0.2">
      <c r="A22" s="164" t="s">
        <v>352</v>
      </c>
      <c r="B22" s="154"/>
      <c r="C22" s="155"/>
      <c r="D22" s="155">
        <v>2</v>
      </c>
      <c r="E22" s="155"/>
      <c r="F22" s="156">
        <v>1</v>
      </c>
      <c r="G22" s="157"/>
      <c r="H22" s="154"/>
      <c r="I22" s="155"/>
      <c r="J22" s="155"/>
      <c r="K22" s="155"/>
      <c r="L22" s="156"/>
      <c r="M22" s="157"/>
    </row>
    <row r="23" spans="1:13" s="25" customFormat="1" ht="21.75" customHeight="1" x14ac:dyDescent="0.2">
      <c r="A23" s="165" t="s">
        <v>386</v>
      </c>
      <c r="B23" s="154">
        <v>1</v>
      </c>
      <c r="C23" s="155"/>
      <c r="D23" s="155">
        <v>1</v>
      </c>
      <c r="E23" s="155"/>
      <c r="F23" s="156"/>
      <c r="G23" s="157"/>
      <c r="H23" s="154"/>
      <c r="I23" s="155"/>
      <c r="J23" s="155"/>
      <c r="K23" s="155"/>
      <c r="L23" s="156"/>
      <c r="M23" s="157"/>
    </row>
    <row r="24" spans="1:13" s="25" customFormat="1" ht="21.75" customHeight="1" x14ac:dyDescent="0.2">
      <c r="A24" s="166" t="s">
        <v>559</v>
      </c>
      <c r="B24" s="167"/>
      <c r="C24" s="168"/>
      <c r="D24" s="168"/>
      <c r="E24" s="168"/>
      <c r="F24" s="169">
        <v>3</v>
      </c>
      <c r="G24" s="170"/>
      <c r="H24" s="167"/>
      <c r="I24" s="168"/>
      <c r="J24" s="168"/>
      <c r="K24" s="168"/>
      <c r="L24" s="169"/>
      <c r="M24" s="170"/>
    </row>
    <row r="25" spans="1:13" s="25" customFormat="1" ht="21.75" customHeight="1" x14ac:dyDescent="0.2">
      <c r="A25" s="166" t="s">
        <v>560</v>
      </c>
      <c r="B25" s="167"/>
      <c r="C25" s="168">
        <v>1</v>
      </c>
      <c r="D25" s="168"/>
      <c r="E25" s="168"/>
      <c r="F25" s="169">
        <v>2</v>
      </c>
      <c r="G25" s="170"/>
      <c r="H25" s="167"/>
      <c r="I25" s="168"/>
      <c r="J25" s="168"/>
      <c r="K25" s="168"/>
      <c r="L25" s="169"/>
      <c r="M25" s="170"/>
    </row>
    <row r="26" spans="1:13" s="25" customFormat="1" ht="21.75" customHeight="1" thickBot="1" x14ac:dyDescent="0.25">
      <c r="A26" s="171" t="s">
        <v>561</v>
      </c>
      <c r="B26" s="172"/>
      <c r="C26" s="173"/>
      <c r="D26" s="173"/>
      <c r="E26" s="173"/>
      <c r="F26" s="174">
        <v>2</v>
      </c>
      <c r="G26" s="175"/>
      <c r="H26" s="172"/>
      <c r="I26" s="173"/>
      <c r="J26" s="173"/>
      <c r="K26" s="173"/>
      <c r="L26" s="174"/>
      <c r="M26" s="175"/>
    </row>
    <row r="27" spans="1:13" s="25" customFormat="1" ht="17.25" thickTop="1" thickBot="1" x14ac:dyDescent="0.25">
      <c r="A27" s="176"/>
      <c r="B27" s="177">
        <f t="shared" ref="B27:K27" si="0">SUM(B11:B26)</f>
        <v>8</v>
      </c>
      <c r="C27" s="177">
        <f t="shared" si="0"/>
        <v>3</v>
      </c>
      <c r="D27" s="177">
        <f t="shared" si="0"/>
        <v>28</v>
      </c>
      <c r="E27" s="177">
        <f t="shared" si="0"/>
        <v>10</v>
      </c>
      <c r="F27" s="177">
        <f t="shared" si="0"/>
        <v>69</v>
      </c>
      <c r="G27" s="177">
        <f>SUM(G11:G26)</f>
        <v>7</v>
      </c>
      <c r="H27" s="177">
        <f t="shared" si="0"/>
        <v>1</v>
      </c>
      <c r="I27" s="177">
        <f t="shared" si="0"/>
        <v>0</v>
      </c>
      <c r="J27" s="177">
        <f t="shared" si="0"/>
        <v>4</v>
      </c>
      <c r="K27" s="177">
        <f t="shared" si="0"/>
        <v>1</v>
      </c>
      <c r="L27" s="177">
        <f>SUM(L11:L26)</f>
        <v>4</v>
      </c>
      <c r="M27" s="177">
        <f>SUM(M11:M26)</f>
        <v>4</v>
      </c>
    </row>
    <row r="28" spans="1:13" s="25" customFormat="1" ht="16.5" thickBot="1" x14ac:dyDescent="0.3">
      <c r="A28" s="178"/>
      <c r="B28" s="160"/>
      <c r="C28" s="160"/>
      <c r="D28" s="160"/>
      <c r="E28" s="160"/>
      <c r="F28" s="178"/>
      <c r="G28" s="160">
        <f>SUM(B27:G27)</f>
        <v>125</v>
      </c>
      <c r="H28" s="160"/>
      <c r="I28" s="160"/>
      <c r="J28" s="160"/>
      <c r="K28" s="160"/>
      <c r="L28" s="160"/>
      <c r="M28" s="160">
        <f>SUM(H27:M27)</f>
        <v>14</v>
      </c>
    </row>
    <row r="29" spans="1:13" ht="15" customHeight="1" x14ac:dyDescent="0.3">
      <c r="A29" s="237" t="s">
        <v>562</v>
      </c>
      <c r="B29" s="238"/>
      <c r="C29" s="179"/>
      <c r="D29" s="239"/>
      <c r="E29" s="239"/>
      <c r="F29" s="239"/>
      <c r="G29" s="239"/>
      <c r="H29" s="239"/>
      <c r="I29" s="239"/>
      <c r="J29" s="179"/>
      <c r="K29" s="179"/>
      <c r="L29" s="179"/>
      <c r="M29" s="179"/>
    </row>
    <row r="30" spans="1:13" ht="19.5" customHeight="1" x14ac:dyDescent="0.3">
      <c r="A30" s="180" t="s">
        <v>563</v>
      </c>
      <c r="B30" s="181">
        <f>C27+I27</f>
        <v>3</v>
      </c>
      <c r="C30" s="179"/>
      <c r="D30" s="182"/>
      <c r="E30" s="183"/>
      <c r="F30" s="184"/>
      <c r="G30" s="184"/>
      <c r="H30" s="184"/>
      <c r="I30" s="179"/>
      <c r="J30" s="179"/>
      <c r="K30" s="179"/>
      <c r="L30" s="179"/>
      <c r="M30" s="179"/>
    </row>
    <row r="31" spans="1:13" ht="19.5" customHeight="1" x14ac:dyDescent="0.3">
      <c r="A31" s="180" t="s">
        <v>363</v>
      </c>
      <c r="B31" s="181">
        <f>B27+H27</f>
        <v>9</v>
      </c>
      <c r="C31" s="179"/>
      <c r="D31" s="185"/>
      <c r="E31" s="186"/>
      <c r="F31" s="184"/>
      <c r="G31" s="184"/>
      <c r="H31" s="184"/>
      <c r="I31" s="184"/>
      <c r="J31" s="179"/>
      <c r="K31" s="179"/>
      <c r="L31" s="179"/>
      <c r="M31" s="179"/>
    </row>
    <row r="32" spans="1:13" ht="19.5" customHeight="1" x14ac:dyDescent="0.3">
      <c r="A32" s="180" t="s">
        <v>364</v>
      </c>
      <c r="B32" s="181">
        <f>D27+J27</f>
        <v>32</v>
      </c>
      <c r="C32" s="179"/>
      <c r="D32" s="185"/>
      <c r="E32" s="183"/>
      <c r="F32" s="184"/>
      <c r="G32" s="184"/>
      <c r="H32" s="187"/>
      <c r="I32" s="184"/>
      <c r="J32" s="179"/>
      <c r="K32" s="179"/>
      <c r="L32" s="179"/>
      <c r="M32" s="179"/>
    </row>
    <row r="33" spans="1:13" ht="19.5" customHeight="1" x14ac:dyDescent="0.3">
      <c r="A33" s="180" t="s">
        <v>365</v>
      </c>
      <c r="B33" s="181">
        <f>E27+K27</f>
        <v>11</v>
      </c>
      <c r="C33" s="179"/>
      <c r="D33" s="179"/>
      <c r="E33" s="183"/>
      <c r="F33" s="179"/>
      <c r="G33" s="179"/>
      <c r="H33" s="179"/>
      <c r="I33" s="179"/>
      <c r="J33" s="179"/>
      <c r="K33" s="179"/>
      <c r="L33" s="179"/>
      <c r="M33" s="179"/>
    </row>
    <row r="34" spans="1:13" ht="19.5" customHeight="1" x14ac:dyDescent="0.3">
      <c r="A34" s="180" t="s">
        <v>564</v>
      </c>
      <c r="B34" s="181">
        <f>F27+L27</f>
        <v>73</v>
      </c>
      <c r="C34" s="179"/>
      <c r="D34" s="184"/>
      <c r="E34" s="188"/>
      <c r="F34" s="184"/>
      <c r="G34" s="184"/>
      <c r="H34" s="188"/>
      <c r="I34" s="189"/>
      <c r="J34" s="189"/>
      <c r="K34" s="189"/>
      <c r="L34" s="189"/>
      <c r="M34" s="189"/>
    </row>
    <row r="35" spans="1:13" ht="19.5" customHeight="1" x14ac:dyDescent="0.3">
      <c r="A35" s="180" t="s">
        <v>565</v>
      </c>
      <c r="B35" s="190">
        <f>G27+M27</f>
        <v>11</v>
      </c>
      <c r="C35" s="191" t="s">
        <v>366</v>
      </c>
      <c r="D35" s="192">
        <v>61</v>
      </c>
      <c r="E35" s="188"/>
      <c r="F35" s="184"/>
      <c r="G35" s="184"/>
      <c r="H35" s="188"/>
      <c r="I35" s="189"/>
      <c r="J35" s="189"/>
      <c r="K35" s="189"/>
      <c r="L35" s="189"/>
      <c r="M35" s="189"/>
    </row>
    <row r="36" spans="1:13" ht="19.5" customHeight="1" thickBot="1" x14ac:dyDescent="0.35">
      <c r="A36" s="193" t="s">
        <v>566</v>
      </c>
      <c r="B36" s="194">
        <f>SUM(B30:B35)</f>
        <v>139</v>
      </c>
      <c r="C36" s="191" t="s">
        <v>367</v>
      </c>
      <c r="D36" s="195">
        <v>8</v>
      </c>
      <c r="E36" s="189"/>
      <c r="F36" s="184"/>
      <c r="G36" s="184"/>
      <c r="H36" s="188"/>
      <c r="I36" s="189"/>
      <c r="J36" s="189"/>
      <c r="K36" s="189"/>
      <c r="L36" s="189"/>
      <c r="M36" s="189"/>
    </row>
    <row r="37" spans="1:13" ht="16.5" x14ac:dyDescent="0.3">
      <c r="A37" s="179"/>
      <c r="B37" s="179"/>
      <c r="C37" s="191" t="s">
        <v>368</v>
      </c>
      <c r="D37" s="195">
        <v>4</v>
      </c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13" x14ac:dyDescent="0.25">
      <c r="D38" s="23"/>
    </row>
  </sheetData>
  <mergeCells count="8">
    <mergeCell ref="A29:B29"/>
    <mergeCell ref="D29:I29"/>
    <mergeCell ref="A5:M5"/>
    <mergeCell ref="A6:M6"/>
    <mergeCell ref="A7:M7"/>
    <mergeCell ref="A9:A10"/>
    <mergeCell ref="B9:F9"/>
    <mergeCell ref="H9:M9"/>
  </mergeCells>
  <printOptions horizontalCentered="1"/>
  <pageMargins left="0.11811023622047245" right="0.11811023622047245" top="0.15748031496062992" bottom="0.19685039370078741" header="0.31496062992125984" footer="0.31496062992125984"/>
  <pageSetup paperSize="14" scale="8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1D37-924D-4533-B36A-53C54B315DD4}">
  <dimension ref="A1:G212"/>
  <sheetViews>
    <sheetView tabSelected="1" view="pageBreakPreview" topLeftCell="A34" zoomScaleNormal="100" zoomScaleSheetLayoutView="100" workbookViewId="0">
      <selection activeCell="D54" sqref="D54"/>
    </sheetView>
  </sheetViews>
  <sheetFormatPr defaultRowHeight="15" x14ac:dyDescent="0.25"/>
  <cols>
    <col min="1" max="1" width="2.85546875" style="106" customWidth="1"/>
    <col min="2" max="2" width="6.140625" style="12" customWidth="1"/>
    <col min="3" max="3" width="32.5703125" style="56" customWidth="1"/>
    <col min="4" max="4" width="29.85546875" style="124" customWidth="1"/>
    <col min="5" max="5" width="10.28515625" style="94" customWidth="1"/>
    <col min="6" max="6" width="3.85546875" style="92" customWidth="1"/>
    <col min="7" max="7" width="36.85546875" style="133" customWidth="1"/>
    <col min="8" max="16384" width="9.140625" style="3"/>
  </cols>
  <sheetData>
    <row r="1" spans="1:7" customFormat="1" ht="27" customHeight="1" x14ac:dyDescent="0.25">
      <c r="A1" s="103"/>
      <c r="B1" s="1"/>
      <c r="C1" s="2" t="s">
        <v>0</v>
      </c>
      <c r="D1" s="124"/>
      <c r="E1" s="94"/>
      <c r="F1" s="90"/>
      <c r="G1" s="132"/>
    </row>
    <row r="2" spans="1:7" s="7" customFormat="1" ht="14.25" customHeight="1" x14ac:dyDescent="0.2">
      <c r="A2" s="104"/>
      <c r="B2" s="5"/>
      <c r="C2" s="6" t="s">
        <v>474</v>
      </c>
      <c r="D2" s="124"/>
      <c r="E2" s="94"/>
      <c r="F2" s="91"/>
      <c r="G2" s="133"/>
    </row>
    <row r="3" spans="1:7" customFormat="1" ht="17.25" x14ac:dyDescent="0.25">
      <c r="A3" s="103"/>
      <c r="B3" s="1"/>
      <c r="C3" s="9" t="s">
        <v>2</v>
      </c>
      <c r="D3" s="124"/>
      <c r="E3" s="94"/>
      <c r="F3" s="90"/>
      <c r="G3" s="132"/>
    </row>
    <row r="4" spans="1:7" customFormat="1" x14ac:dyDescent="0.25">
      <c r="A4" s="105"/>
      <c r="B4" s="10"/>
      <c r="C4" s="11" t="s">
        <v>3</v>
      </c>
      <c r="D4" s="124"/>
      <c r="E4" s="94"/>
      <c r="F4" s="90"/>
      <c r="G4" s="134"/>
    </row>
    <row r="5" spans="1:7" customFormat="1" x14ac:dyDescent="0.25">
      <c r="A5" s="95"/>
      <c r="C5" s="110"/>
      <c r="D5" s="125"/>
      <c r="E5" s="90"/>
      <c r="F5" s="90"/>
      <c r="G5" s="132"/>
    </row>
    <row r="6" spans="1:7" ht="19.5" x14ac:dyDescent="0.25">
      <c r="A6" s="252" t="s">
        <v>4</v>
      </c>
      <c r="B6" s="252"/>
      <c r="C6" s="252"/>
      <c r="D6" s="252"/>
      <c r="E6" s="252"/>
      <c r="F6" s="252"/>
    </row>
    <row r="7" spans="1:7" ht="15.75" x14ac:dyDescent="0.25">
      <c r="A7" s="248" t="s">
        <v>510</v>
      </c>
      <c r="B7" s="248"/>
      <c r="C7" s="248"/>
      <c r="D7" s="248"/>
      <c r="E7" s="248"/>
      <c r="F7" s="248"/>
    </row>
    <row r="8" spans="1:7" ht="7.5" customHeight="1" x14ac:dyDescent="0.25">
      <c r="A8" s="106" t="s">
        <v>5</v>
      </c>
      <c r="D8" s="3"/>
      <c r="E8" s="3"/>
      <c r="F8" s="92" t="s">
        <v>6</v>
      </c>
    </row>
    <row r="9" spans="1:7" ht="7.5" customHeight="1" x14ac:dyDescent="0.25">
      <c r="D9" s="101" t="s">
        <v>544</v>
      </c>
      <c r="E9" s="131" t="s">
        <v>545</v>
      </c>
    </row>
    <row r="10" spans="1:7" ht="19.5" x14ac:dyDescent="0.25">
      <c r="A10" s="271" t="s">
        <v>7</v>
      </c>
      <c r="B10" s="272"/>
      <c r="C10" s="272"/>
      <c r="D10" s="272"/>
      <c r="E10" s="273"/>
    </row>
    <row r="11" spans="1:7" ht="22.5" customHeight="1" x14ac:dyDescent="0.25">
      <c r="A11" s="107">
        <v>1</v>
      </c>
      <c r="B11" s="14" t="s">
        <v>9</v>
      </c>
      <c r="C11" s="111" t="s">
        <v>10</v>
      </c>
      <c r="D11" s="126" t="s">
        <v>11</v>
      </c>
      <c r="E11" s="97" t="s">
        <v>12</v>
      </c>
      <c r="F11" s="91"/>
    </row>
    <row r="12" spans="1:7" ht="22.5" customHeight="1" x14ac:dyDescent="0.25">
      <c r="A12" s="107">
        <f>A11+1</f>
        <v>2</v>
      </c>
      <c r="B12" s="14" t="s">
        <v>17</v>
      </c>
      <c r="C12" s="109" t="s">
        <v>18</v>
      </c>
      <c r="D12" s="126" t="s">
        <v>372</v>
      </c>
      <c r="E12" s="97" t="s">
        <v>20</v>
      </c>
      <c r="F12" s="93"/>
    </row>
    <row r="13" spans="1:7" ht="22.5" customHeight="1" x14ac:dyDescent="0.25">
      <c r="A13" s="107">
        <f>A12+1</f>
        <v>3</v>
      </c>
      <c r="B13" s="14" t="s">
        <v>21</v>
      </c>
      <c r="C13" s="111" t="s">
        <v>22</v>
      </c>
      <c r="D13" s="126" t="s">
        <v>376</v>
      </c>
      <c r="E13" s="97" t="s">
        <v>20</v>
      </c>
      <c r="F13" s="93"/>
    </row>
    <row r="14" spans="1:7" ht="22.5" customHeight="1" x14ac:dyDescent="0.25">
      <c r="A14" s="107">
        <f>A13+1</f>
        <v>4</v>
      </c>
      <c r="B14" s="14" t="s">
        <v>23</v>
      </c>
      <c r="C14" s="111" t="s">
        <v>24</v>
      </c>
      <c r="D14" s="126" t="s">
        <v>375</v>
      </c>
      <c r="E14" s="97" t="s">
        <v>20</v>
      </c>
      <c r="F14" s="93">
        <f>+A14/C185</f>
        <v>2.8776978417266189E-2</v>
      </c>
    </row>
    <row r="15" spans="1:7" x14ac:dyDescent="0.25">
      <c r="F15" s="93"/>
    </row>
    <row r="16" spans="1:7" ht="19.5" x14ac:dyDescent="0.25">
      <c r="A16" s="274" t="s">
        <v>25</v>
      </c>
      <c r="B16" s="275"/>
      <c r="C16" s="275"/>
      <c r="D16" s="275"/>
      <c r="E16" s="276"/>
    </row>
    <row r="17" spans="1:7" ht="22.5" customHeight="1" x14ac:dyDescent="0.25">
      <c r="A17" s="107">
        <v>1</v>
      </c>
      <c r="B17" s="14" t="s">
        <v>210</v>
      </c>
      <c r="C17" s="109" t="s">
        <v>211</v>
      </c>
      <c r="D17" s="126" t="s">
        <v>379</v>
      </c>
      <c r="E17" s="97" t="s">
        <v>12</v>
      </c>
    </row>
    <row r="18" spans="1:7" ht="22.5" customHeight="1" x14ac:dyDescent="0.25">
      <c r="A18" s="107">
        <f>A17+1</f>
        <v>2</v>
      </c>
      <c r="B18" s="14" t="s">
        <v>26</v>
      </c>
      <c r="C18" s="109" t="s">
        <v>27</v>
      </c>
      <c r="D18" s="126" t="s">
        <v>378</v>
      </c>
      <c r="E18" s="97" t="s">
        <v>16</v>
      </c>
    </row>
    <row r="19" spans="1:7" x14ac:dyDescent="0.25">
      <c r="A19" s="260" t="s">
        <v>28</v>
      </c>
      <c r="B19" s="260"/>
      <c r="C19" s="260"/>
      <c r="D19" s="260"/>
      <c r="E19" s="260"/>
    </row>
    <row r="20" spans="1:7" ht="22.5" customHeight="1" x14ac:dyDescent="0.25">
      <c r="A20" s="107">
        <f>A18+1</f>
        <v>3</v>
      </c>
      <c r="B20" s="14" t="s">
        <v>29</v>
      </c>
      <c r="C20" s="109" t="s">
        <v>30</v>
      </c>
      <c r="D20" s="126" t="s">
        <v>31</v>
      </c>
      <c r="E20" s="97" t="s">
        <v>16</v>
      </c>
    </row>
    <row r="21" spans="1:7" ht="22.5" customHeight="1" x14ac:dyDescent="0.25">
      <c r="A21" s="107">
        <f>A20+1</f>
        <v>4</v>
      </c>
      <c r="B21" s="14" t="s">
        <v>32</v>
      </c>
      <c r="C21" s="111" t="s">
        <v>33</v>
      </c>
      <c r="D21" s="126" t="s">
        <v>475</v>
      </c>
      <c r="E21" s="97" t="s">
        <v>35</v>
      </c>
    </row>
    <row r="22" spans="1:7" ht="22.5" customHeight="1" x14ac:dyDescent="0.25">
      <c r="A22" s="107">
        <f>A21+1</f>
        <v>5</v>
      </c>
      <c r="B22" s="14" t="s">
        <v>36</v>
      </c>
      <c r="C22" s="112" t="s">
        <v>37</v>
      </c>
      <c r="D22" s="126" t="s">
        <v>34</v>
      </c>
      <c r="E22" s="97" t="s">
        <v>20</v>
      </c>
      <c r="F22" s="93"/>
    </row>
    <row r="23" spans="1:7" ht="22.5" customHeight="1" x14ac:dyDescent="0.25">
      <c r="A23" s="107">
        <f>A22+1</f>
        <v>6</v>
      </c>
      <c r="B23" s="14" t="s">
        <v>511</v>
      </c>
      <c r="C23" s="112" t="s">
        <v>380</v>
      </c>
      <c r="D23" s="126" t="s">
        <v>381</v>
      </c>
      <c r="E23" s="97" t="s">
        <v>20</v>
      </c>
      <c r="F23" s="93"/>
      <c r="G23" s="133" t="s">
        <v>490</v>
      </c>
    </row>
    <row r="24" spans="1:7" ht="22.5" customHeight="1" x14ac:dyDescent="0.25">
      <c r="A24" s="107">
        <f>A23+1</f>
        <v>7</v>
      </c>
      <c r="B24" s="14" t="s">
        <v>38</v>
      </c>
      <c r="C24" s="112" t="s">
        <v>39</v>
      </c>
      <c r="D24" s="126" t="s">
        <v>40</v>
      </c>
      <c r="E24" s="97" t="s">
        <v>20</v>
      </c>
      <c r="F24" s="93"/>
    </row>
    <row r="25" spans="1:7" ht="22.5" customHeight="1" x14ac:dyDescent="0.25">
      <c r="A25" s="107">
        <f>A24+1</f>
        <v>8</v>
      </c>
      <c r="B25" s="14" t="s">
        <v>41</v>
      </c>
      <c r="C25" s="112" t="s">
        <v>42</v>
      </c>
      <c r="D25" s="126" t="s">
        <v>43</v>
      </c>
      <c r="E25" s="97" t="s">
        <v>20</v>
      </c>
      <c r="F25" s="93"/>
    </row>
    <row r="26" spans="1:7" x14ac:dyDescent="0.25">
      <c r="A26" s="260" t="s">
        <v>44</v>
      </c>
      <c r="B26" s="260"/>
      <c r="C26" s="260"/>
      <c r="D26" s="260"/>
      <c r="E26" s="260"/>
    </row>
    <row r="27" spans="1:7" x14ac:dyDescent="0.25">
      <c r="A27" s="257" t="s">
        <v>45</v>
      </c>
      <c r="B27" s="258"/>
      <c r="C27" s="258"/>
      <c r="D27" s="258"/>
      <c r="E27" s="259"/>
    </row>
    <row r="28" spans="1:7" ht="22.5" customHeight="1" x14ac:dyDescent="0.25">
      <c r="A28" s="107">
        <f>A25+1</f>
        <v>9</v>
      </c>
      <c r="B28" s="14" t="s">
        <v>46</v>
      </c>
      <c r="C28" s="112" t="s">
        <v>47</v>
      </c>
      <c r="D28" s="126" t="s">
        <v>48</v>
      </c>
      <c r="E28" s="97" t="s">
        <v>12</v>
      </c>
    </row>
    <row r="29" spans="1:7" ht="22.5" customHeight="1" x14ac:dyDescent="0.25">
      <c r="A29" s="107">
        <f>A28+1</f>
        <v>10</v>
      </c>
      <c r="B29" s="14" t="s">
        <v>49</v>
      </c>
      <c r="C29" s="109" t="s">
        <v>50</v>
      </c>
      <c r="D29" s="126" t="s">
        <v>48</v>
      </c>
      <c r="E29" s="97" t="s">
        <v>12</v>
      </c>
    </row>
    <row r="30" spans="1:7" ht="22.5" customHeight="1" x14ac:dyDescent="0.25">
      <c r="A30" s="107">
        <f>A29+1</f>
        <v>11</v>
      </c>
      <c r="B30" s="14" t="s">
        <v>51</v>
      </c>
      <c r="C30" s="111" t="s">
        <v>52</v>
      </c>
      <c r="D30" s="126" t="s">
        <v>48</v>
      </c>
      <c r="E30" s="97" t="s">
        <v>16</v>
      </c>
    </row>
    <row r="31" spans="1:7" ht="22.5" customHeight="1" x14ac:dyDescent="0.25">
      <c r="A31" s="107">
        <f>A30+1</f>
        <v>12</v>
      </c>
      <c r="B31" s="14" t="s">
        <v>53</v>
      </c>
      <c r="C31" s="109" t="s">
        <v>54</v>
      </c>
      <c r="D31" s="126" t="s">
        <v>48</v>
      </c>
      <c r="E31" s="97" t="s">
        <v>16</v>
      </c>
    </row>
    <row r="32" spans="1:7" x14ac:dyDescent="0.25">
      <c r="A32" s="257" t="s">
        <v>55</v>
      </c>
      <c r="B32" s="258"/>
      <c r="C32" s="258"/>
      <c r="D32" s="258"/>
      <c r="E32" s="259"/>
    </row>
    <row r="33" spans="1:7" ht="22.5" customHeight="1" x14ac:dyDescent="0.25">
      <c r="A33" s="107">
        <f>A31+1</f>
        <v>13</v>
      </c>
      <c r="B33" s="14" t="s">
        <v>56</v>
      </c>
      <c r="C33" s="111" t="s">
        <v>57</v>
      </c>
      <c r="D33" s="126" t="s">
        <v>34</v>
      </c>
      <c r="E33" s="97" t="s">
        <v>20</v>
      </c>
    </row>
    <row r="34" spans="1:7" ht="22.5" customHeight="1" x14ac:dyDescent="0.25">
      <c r="A34" s="107">
        <f>A33+1</f>
        <v>14</v>
      </c>
      <c r="B34" s="14" t="s">
        <v>58</v>
      </c>
      <c r="C34" s="112" t="s">
        <v>59</v>
      </c>
      <c r="D34" s="126" t="s">
        <v>60</v>
      </c>
      <c r="E34" s="97" t="s">
        <v>20</v>
      </c>
      <c r="F34" s="93"/>
    </row>
    <row r="35" spans="1:7" x14ac:dyDescent="0.25">
      <c r="A35" s="257" t="s">
        <v>61</v>
      </c>
      <c r="B35" s="258"/>
      <c r="C35" s="258"/>
      <c r="D35" s="258"/>
      <c r="E35" s="259"/>
    </row>
    <row r="36" spans="1:7" ht="22.5" customHeight="1" x14ac:dyDescent="0.25">
      <c r="A36" s="107">
        <f>A34+1</f>
        <v>15</v>
      </c>
      <c r="B36" s="14" t="s">
        <v>62</v>
      </c>
      <c r="C36" s="112" t="s">
        <v>63</v>
      </c>
      <c r="D36" s="126" t="s">
        <v>60</v>
      </c>
      <c r="E36" s="97" t="s">
        <v>20</v>
      </c>
      <c r="F36" s="93"/>
    </row>
    <row r="37" spans="1:7" ht="22.5" customHeight="1" x14ac:dyDescent="0.25">
      <c r="A37" s="107">
        <f>A36+1</f>
        <v>16</v>
      </c>
      <c r="B37" s="14">
        <v>529551</v>
      </c>
      <c r="C37" s="112" t="s">
        <v>64</v>
      </c>
      <c r="D37" s="126" t="s">
        <v>65</v>
      </c>
      <c r="E37" s="97" t="s">
        <v>20</v>
      </c>
      <c r="F37" s="93"/>
    </row>
    <row r="38" spans="1:7" x14ac:dyDescent="0.25">
      <c r="A38" s="260" t="s">
        <v>66</v>
      </c>
      <c r="B38" s="260"/>
      <c r="C38" s="260"/>
      <c r="D38" s="260"/>
      <c r="E38" s="260"/>
    </row>
    <row r="39" spans="1:7" ht="22.5" customHeight="1" x14ac:dyDescent="0.25">
      <c r="A39" s="107">
        <f>A37+1</f>
        <v>17</v>
      </c>
      <c r="B39" s="14" t="s">
        <v>67</v>
      </c>
      <c r="C39" s="109" t="s">
        <v>68</v>
      </c>
      <c r="D39" s="126" t="s">
        <v>69</v>
      </c>
      <c r="E39" s="97" t="s">
        <v>16</v>
      </c>
    </row>
    <row r="40" spans="1:7" ht="22.5" customHeight="1" x14ac:dyDescent="0.25">
      <c r="A40" s="107">
        <f>A39+1</f>
        <v>18</v>
      </c>
      <c r="B40" s="14" t="s">
        <v>70</v>
      </c>
      <c r="C40" s="109" t="s">
        <v>71</v>
      </c>
      <c r="D40" s="126" t="s">
        <v>72</v>
      </c>
      <c r="E40" s="97" t="s">
        <v>16</v>
      </c>
    </row>
    <row r="41" spans="1:7" ht="22.5" customHeight="1" x14ac:dyDescent="0.25">
      <c r="A41" s="138">
        <f>A40+1</f>
        <v>19</v>
      </c>
      <c r="B41" s="139" t="s">
        <v>73</v>
      </c>
      <c r="C41" s="140" t="s">
        <v>74</v>
      </c>
      <c r="D41" s="141" t="s">
        <v>43</v>
      </c>
      <c r="E41" s="142" t="s">
        <v>20</v>
      </c>
      <c r="F41" s="93"/>
    </row>
    <row r="42" spans="1:7" ht="15.75" customHeight="1" x14ac:dyDescent="0.25">
      <c r="A42" s="147" t="s">
        <v>350</v>
      </c>
      <c r="B42" s="143"/>
      <c r="C42" s="144"/>
      <c r="D42" s="145"/>
      <c r="E42" s="146"/>
      <c r="F42" s="93"/>
    </row>
    <row r="43" spans="1:7" ht="22.5" customHeight="1" x14ac:dyDescent="0.25">
      <c r="A43" s="107">
        <f>A41+1</f>
        <v>20</v>
      </c>
      <c r="B43" s="236" t="s">
        <v>581</v>
      </c>
      <c r="C43" s="109" t="s">
        <v>539</v>
      </c>
      <c r="D43" s="126" t="s">
        <v>80</v>
      </c>
      <c r="E43" s="97" t="s">
        <v>322</v>
      </c>
      <c r="F43" s="93">
        <f>+A43/C185</f>
        <v>0.14388489208633093</v>
      </c>
      <c r="G43" s="133" t="s">
        <v>540</v>
      </c>
    </row>
    <row r="44" spans="1:7" x14ac:dyDescent="0.25">
      <c r="B44" s="15"/>
      <c r="C44" s="113"/>
      <c r="D44" s="123"/>
      <c r="F44" s="93"/>
    </row>
    <row r="45" spans="1:7" ht="19.5" x14ac:dyDescent="0.25">
      <c r="A45" s="268" t="s">
        <v>75</v>
      </c>
      <c r="B45" s="269"/>
      <c r="C45" s="269"/>
      <c r="D45" s="269"/>
      <c r="E45" s="270"/>
    </row>
    <row r="46" spans="1:7" ht="22.5" customHeight="1" x14ac:dyDescent="0.25">
      <c r="A46" s="107">
        <v>1</v>
      </c>
      <c r="B46" s="14" t="s">
        <v>532</v>
      </c>
      <c r="C46" s="109" t="s">
        <v>503</v>
      </c>
      <c r="D46" s="126" t="s">
        <v>533</v>
      </c>
      <c r="E46" s="97" t="s">
        <v>12</v>
      </c>
      <c r="F46" s="93"/>
      <c r="G46" s="133" t="s">
        <v>536</v>
      </c>
    </row>
    <row r="47" spans="1:7" ht="22.5" customHeight="1" x14ac:dyDescent="0.25">
      <c r="A47" s="107">
        <f>A46+1</f>
        <v>2</v>
      </c>
      <c r="B47" s="14" t="s">
        <v>76</v>
      </c>
      <c r="C47" s="109" t="s">
        <v>77</v>
      </c>
      <c r="D47" s="126" t="s">
        <v>31</v>
      </c>
      <c r="E47" s="97" t="s">
        <v>16</v>
      </c>
      <c r="F47" s="93"/>
    </row>
    <row r="48" spans="1:7" x14ac:dyDescent="0.25">
      <c r="A48" s="261" t="s">
        <v>487</v>
      </c>
      <c r="B48" s="261"/>
      <c r="C48" s="261"/>
      <c r="D48" s="261"/>
      <c r="E48" s="261" t="s">
        <v>8</v>
      </c>
    </row>
    <row r="49" spans="1:7" ht="22.5" customHeight="1" x14ac:dyDescent="0.25">
      <c r="A49" s="107">
        <f>A47+1</f>
        <v>3</v>
      </c>
      <c r="B49" s="14" t="s">
        <v>78</v>
      </c>
      <c r="C49" s="111" t="s">
        <v>79</v>
      </c>
      <c r="D49" s="126" t="s">
        <v>370</v>
      </c>
      <c r="E49" s="97" t="s">
        <v>20</v>
      </c>
      <c r="F49" s="93"/>
    </row>
    <row r="50" spans="1:7" ht="22.5" customHeight="1" x14ac:dyDescent="0.25">
      <c r="A50" s="107">
        <f>A49+1</f>
        <v>4</v>
      </c>
      <c r="B50" s="14" t="s">
        <v>81</v>
      </c>
      <c r="C50" s="111" t="s">
        <v>82</v>
      </c>
      <c r="D50" s="126" t="s">
        <v>374</v>
      </c>
      <c r="E50" s="97" t="s">
        <v>20</v>
      </c>
      <c r="F50" s="93"/>
    </row>
    <row r="51" spans="1:7" x14ac:dyDescent="0.25">
      <c r="A51" s="261" t="s">
        <v>488</v>
      </c>
      <c r="B51" s="261"/>
      <c r="C51" s="261"/>
      <c r="D51" s="261"/>
      <c r="E51" s="261" t="s">
        <v>8</v>
      </c>
    </row>
    <row r="52" spans="1:7" ht="22.5" customHeight="1" x14ac:dyDescent="0.25">
      <c r="A52" s="107">
        <f>A50+1</f>
        <v>5</v>
      </c>
      <c r="B52" s="14" t="s">
        <v>353</v>
      </c>
      <c r="C52" s="111" t="s">
        <v>86</v>
      </c>
      <c r="D52" s="126" t="s">
        <v>374</v>
      </c>
      <c r="E52" s="97" t="s">
        <v>20</v>
      </c>
      <c r="F52" s="93"/>
    </row>
    <row r="53" spans="1:7" ht="22.5" customHeight="1" x14ac:dyDescent="0.25">
      <c r="A53" s="107">
        <f>A52+1</f>
        <v>6</v>
      </c>
      <c r="B53" s="14" t="s">
        <v>87</v>
      </c>
      <c r="C53" s="111" t="s">
        <v>88</v>
      </c>
      <c r="D53" s="126" t="s">
        <v>377</v>
      </c>
      <c r="E53" s="97" t="s">
        <v>20</v>
      </c>
      <c r="F53" s="93"/>
    </row>
    <row r="54" spans="1:7" ht="22.5" customHeight="1" x14ac:dyDescent="0.25">
      <c r="A54" s="107">
        <f>A53+1</f>
        <v>7</v>
      </c>
      <c r="B54" s="14" t="s">
        <v>512</v>
      </c>
      <c r="C54" s="112" t="s">
        <v>382</v>
      </c>
      <c r="D54" s="126" t="s">
        <v>381</v>
      </c>
      <c r="E54" s="97" t="s">
        <v>20</v>
      </c>
      <c r="F54" s="93"/>
      <c r="G54" s="133" t="s">
        <v>489</v>
      </c>
    </row>
    <row r="55" spans="1:7" x14ac:dyDescent="0.25">
      <c r="A55" s="261" t="s">
        <v>89</v>
      </c>
      <c r="B55" s="261"/>
      <c r="C55" s="261"/>
      <c r="D55" s="261"/>
      <c r="E55" s="261"/>
    </row>
    <row r="56" spans="1:7" ht="22.5" customHeight="1" x14ac:dyDescent="0.25">
      <c r="A56" s="107">
        <f>A54+1</f>
        <v>8</v>
      </c>
      <c r="B56" s="15" t="s">
        <v>90</v>
      </c>
      <c r="C56" s="109" t="s">
        <v>91</v>
      </c>
      <c r="D56" s="126" t="s">
        <v>92</v>
      </c>
      <c r="E56" s="97" t="s">
        <v>387</v>
      </c>
    </row>
    <row r="57" spans="1:7" ht="22.5" customHeight="1" x14ac:dyDescent="0.25">
      <c r="A57" s="107">
        <f>A56+1</f>
        <v>9</v>
      </c>
      <c r="B57" s="14" t="s">
        <v>93</v>
      </c>
      <c r="C57" s="109" t="s">
        <v>94</v>
      </c>
      <c r="D57" s="126" t="s">
        <v>373</v>
      </c>
      <c r="E57" s="97" t="s">
        <v>20</v>
      </c>
      <c r="F57" s="91"/>
    </row>
    <row r="58" spans="1:7" ht="22.5" customHeight="1" x14ac:dyDescent="0.25">
      <c r="A58" s="107">
        <f>A57+1</f>
        <v>10</v>
      </c>
      <c r="B58" s="14" t="s">
        <v>83</v>
      </c>
      <c r="C58" s="111" t="s">
        <v>84</v>
      </c>
      <c r="D58" s="126" t="s">
        <v>80</v>
      </c>
      <c r="E58" s="97" t="s">
        <v>20</v>
      </c>
      <c r="F58" s="93">
        <f>+A58/C185</f>
        <v>7.1942446043165464E-2</v>
      </c>
    </row>
    <row r="59" spans="1:7" x14ac:dyDescent="0.25">
      <c r="B59" s="15"/>
      <c r="C59" s="114"/>
      <c r="D59" s="123"/>
    </row>
    <row r="60" spans="1:7" ht="19.5" x14ac:dyDescent="0.25">
      <c r="A60" s="265" t="s">
        <v>95</v>
      </c>
      <c r="B60" s="266"/>
      <c r="C60" s="266"/>
      <c r="D60" s="266"/>
      <c r="E60" s="267"/>
    </row>
    <row r="61" spans="1:7" ht="23.25" customHeight="1" x14ac:dyDescent="0.25">
      <c r="A61" s="107">
        <v>1</v>
      </c>
      <c r="B61" s="14" t="s">
        <v>96</v>
      </c>
      <c r="C61" s="111" t="s">
        <v>97</v>
      </c>
      <c r="D61" s="126" t="s">
        <v>98</v>
      </c>
      <c r="E61" s="97" t="s">
        <v>12</v>
      </c>
      <c r="F61" s="93"/>
    </row>
    <row r="62" spans="1:7" ht="23.25" customHeight="1" x14ac:dyDescent="0.25">
      <c r="A62" s="107">
        <v>2</v>
      </c>
      <c r="B62" s="14"/>
      <c r="C62" s="111" t="s">
        <v>568</v>
      </c>
      <c r="D62" s="126" t="s">
        <v>80</v>
      </c>
      <c r="E62" s="97" t="s">
        <v>20</v>
      </c>
      <c r="F62" s="93"/>
      <c r="G62" s="133" t="s">
        <v>569</v>
      </c>
    </row>
    <row r="63" spans="1:7" x14ac:dyDescent="0.25">
      <c r="A63" s="256" t="s">
        <v>100</v>
      </c>
      <c r="B63" s="256"/>
      <c r="C63" s="256"/>
      <c r="D63" s="256"/>
      <c r="E63" s="256"/>
    </row>
    <row r="64" spans="1:7" ht="23.25" customHeight="1" x14ac:dyDescent="0.25">
      <c r="A64" s="107">
        <v>3</v>
      </c>
      <c r="B64" s="14" t="s">
        <v>101</v>
      </c>
      <c r="C64" s="109" t="s">
        <v>102</v>
      </c>
      <c r="D64" s="126" t="s">
        <v>103</v>
      </c>
      <c r="E64" s="97" t="s">
        <v>16</v>
      </c>
      <c r="F64" s="93"/>
    </row>
    <row r="65" spans="1:7" x14ac:dyDescent="0.25">
      <c r="A65" s="262" t="s">
        <v>104</v>
      </c>
      <c r="B65" s="263"/>
      <c r="C65" s="263"/>
      <c r="D65" s="263"/>
      <c r="E65" s="264"/>
    </row>
    <row r="66" spans="1:7" ht="22.5" customHeight="1" x14ac:dyDescent="0.25">
      <c r="A66" s="107">
        <f>A64+1</f>
        <v>4</v>
      </c>
      <c r="B66" s="14" t="s">
        <v>105</v>
      </c>
      <c r="C66" s="109" t="s">
        <v>106</v>
      </c>
      <c r="D66" s="126" t="s">
        <v>163</v>
      </c>
      <c r="E66" s="97" t="s">
        <v>16</v>
      </c>
      <c r="G66" s="135" t="s">
        <v>476</v>
      </c>
    </row>
    <row r="67" spans="1:7" ht="22.5" customHeight="1" x14ac:dyDescent="0.25">
      <c r="A67" s="107">
        <f>A66+1</f>
        <v>5</v>
      </c>
      <c r="B67" s="14" t="s">
        <v>107</v>
      </c>
      <c r="C67" s="109" t="s">
        <v>108</v>
      </c>
      <c r="D67" s="126" t="s">
        <v>109</v>
      </c>
      <c r="E67" s="97" t="s">
        <v>16</v>
      </c>
    </row>
    <row r="68" spans="1:7" ht="22.5" customHeight="1" x14ac:dyDescent="0.25">
      <c r="A68" s="107">
        <f>A67+1</f>
        <v>6</v>
      </c>
      <c r="B68" s="14" t="s">
        <v>110</v>
      </c>
      <c r="C68" s="109" t="s">
        <v>111</v>
      </c>
      <c r="D68" s="126" t="s">
        <v>109</v>
      </c>
      <c r="E68" s="97" t="s">
        <v>16</v>
      </c>
    </row>
    <row r="69" spans="1:7" ht="22.5" customHeight="1" x14ac:dyDescent="0.25">
      <c r="A69" s="107">
        <f>A68+1</f>
        <v>7</v>
      </c>
      <c r="B69" s="14" t="s">
        <v>112</v>
      </c>
      <c r="C69" s="109" t="s">
        <v>113</v>
      </c>
      <c r="D69" s="126" t="s">
        <v>109</v>
      </c>
      <c r="E69" s="97" t="s">
        <v>16</v>
      </c>
    </row>
    <row r="70" spans="1:7" ht="22.5" customHeight="1" x14ac:dyDescent="0.25">
      <c r="A70" s="107">
        <f t="shared" ref="A70:A89" si="0">A69+1</f>
        <v>8</v>
      </c>
      <c r="B70" s="14" t="s">
        <v>114</v>
      </c>
      <c r="C70" s="109" t="s">
        <v>115</v>
      </c>
      <c r="D70" s="126" t="s">
        <v>116</v>
      </c>
      <c r="E70" s="97" t="s">
        <v>16</v>
      </c>
    </row>
    <row r="71" spans="1:7" ht="22.5" customHeight="1" x14ac:dyDescent="0.25">
      <c r="A71" s="107">
        <f t="shared" si="0"/>
        <v>9</v>
      </c>
      <c r="B71" s="14" t="s">
        <v>117</v>
      </c>
      <c r="C71" s="109" t="s">
        <v>118</v>
      </c>
      <c r="D71" s="126" t="s">
        <v>119</v>
      </c>
      <c r="E71" s="97" t="s">
        <v>20</v>
      </c>
    </row>
    <row r="72" spans="1:7" ht="22.5" customHeight="1" x14ac:dyDescent="0.25">
      <c r="A72" s="107">
        <f t="shared" si="0"/>
        <v>10</v>
      </c>
      <c r="B72" s="14" t="s">
        <v>120</v>
      </c>
      <c r="C72" s="109" t="s">
        <v>121</v>
      </c>
      <c r="D72" s="126" t="s">
        <v>369</v>
      </c>
      <c r="E72" s="97" t="s">
        <v>20</v>
      </c>
    </row>
    <row r="73" spans="1:7" s="13" customFormat="1" ht="22.5" customHeight="1" x14ac:dyDescent="0.25">
      <c r="A73" s="107">
        <f t="shared" si="0"/>
        <v>11</v>
      </c>
      <c r="B73" s="14" t="s">
        <v>122</v>
      </c>
      <c r="C73" s="109" t="s">
        <v>123</v>
      </c>
      <c r="D73" s="126" t="s">
        <v>119</v>
      </c>
      <c r="E73" s="97" t="s">
        <v>20</v>
      </c>
      <c r="F73" s="92"/>
      <c r="G73" s="133"/>
    </row>
    <row r="74" spans="1:7" s="13" customFormat="1" ht="22.5" customHeight="1" x14ac:dyDescent="0.25">
      <c r="A74" s="107">
        <f t="shared" si="0"/>
        <v>12</v>
      </c>
      <c r="B74" s="14" t="s">
        <v>124</v>
      </c>
      <c r="C74" s="109" t="s">
        <v>125</v>
      </c>
      <c r="D74" s="126" t="s">
        <v>159</v>
      </c>
      <c r="E74" s="97" t="s">
        <v>509</v>
      </c>
      <c r="F74" s="92"/>
      <c r="G74" s="133" t="s">
        <v>538</v>
      </c>
    </row>
    <row r="75" spans="1:7" s="13" customFormat="1" ht="22.5" customHeight="1" x14ac:dyDescent="0.25">
      <c r="A75" s="107">
        <f t="shared" si="0"/>
        <v>13</v>
      </c>
      <c r="B75" s="14" t="s">
        <v>126</v>
      </c>
      <c r="C75" s="109" t="s">
        <v>127</v>
      </c>
      <c r="D75" s="126" t="s">
        <v>153</v>
      </c>
      <c r="E75" s="97" t="s">
        <v>20</v>
      </c>
      <c r="F75" s="92"/>
      <c r="G75" s="133"/>
    </row>
    <row r="76" spans="1:7" s="13" customFormat="1" ht="22.5" customHeight="1" x14ac:dyDescent="0.25">
      <c r="A76" s="107">
        <f t="shared" si="0"/>
        <v>14</v>
      </c>
      <c r="B76" s="14" t="s">
        <v>129</v>
      </c>
      <c r="C76" s="109" t="s">
        <v>130</v>
      </c>
      <c r="D76" s="126" t="s">
        <v>153</v>
      </c>
      <c r="E76" s="97" t="s">
        <v>20</v>
      </c>
      <c r="F76" s="92"/>
      <c r="G76" s="133"/>
    </row>
    <row r="77" spans="1:7" s="13" customFormat="1" ht="22.5" customHeight="1" x14ac:dyDescent="0.25">
      <c r="A77" s="107">
        <f t="shared" si="0"/>
        <v>15</v>
      </c>
      <c r="B77" s="14" t="s">
        <v>131</v>
      </c>
      <c r="C77" s="109" t="s">
        <v>132</v>
      </c>
      <c r="D77" s="126" t="s">
        <v>133</v>
      </c>
      <c r="E77" s="97" t="s">
        <v>509</v>
      </c>
      <c r="F77" s="92"/>
      <c r="G77" s="133" t="s">
        <v>538</v>
      </c>
    </row>
    <row r="78" spans="1:7" s="13" customFormat="1" ht="22.5" customHeight="1" x14ac:dyDescent="0.25">
      <c r="A78" s="107">
        <f t="shared" si="0"/>
        <v>16</v>
      </c>
      <c r="B78" s="14" t="s">
        <v>134</v>
      </c>
      <c r="C78" s="109" t="s">
        <v>135</v>
      </c>
      <c r="D78" s="126" t="s">
        <v>119</v>
      </c>
      <c r="E78" s="97" t="s">
        <v>20</v>
      </c>
      <c r="F78" s="92"/>
      <c r="G78" s="133"/>
    </row>
    <row r="79" spans="1:7" s="13" customFormat="1" ht="22.5" customHeight="1" x14ac:dyDescent="0.25">
      <c r="A79" s="107">
        <f t="shared" si="0"/>
        <v>17</v>
      </c>
      <c r="B79" s="14" t="s">
        <v>513</v>
      </c>
      <c r="C79" s="109" t="s">
        <v>468</v>
      </c>
      <c r="D79" s="126" t="s">
        <v>369</v>
      </c>
      <c r="E79" s="97" t="s">
        <v>20</v>
      </c>
      <c r="F79" s="92"/>
      <c r="G79" s="133" t="s">
        <v>485</v>
      </c>
    </row>
    <row r="80" spans="1:7" s="13" customFormat="1" ht="22.5" customHeight="1" x14ac:dyDescent="0.25">
      <c r="A80" s="107">
        <f t="shared" si="0"/>
        <v>18</v>
      </c>
      <c r="B80" s="14" t="s">
        <v>136</v>
      </c>
      <c r="C80" s="109" t="s">
        <v>137</v>
      </c>
      <c r="D80" s="126" t="s">
        <v>119</v>
      </c>
      <c r="E80" s="97" t="s">
        <v>20</v>
      </c>
      <c r="F80" s="92"/>
      <c r="G80" s="133"/>
    </row>
    <row r="81" spans="1:7" s="13" customFormat="1" ht="22.5" customHeight="1" x14ac:dyDescent="0.25">
      <c r="A81" s="107">
        <f t="shared" si="0"/>
        <v>19</v>
      </c>
      <c r="B81" s="14" t="s">
        <v>138</v>
      </c>
      <c r="C81" s="109" t="s">
        <v>139</v>
      </c>
      <c r="D81" s="126" t="s">
        <v>153</v>
      </c>
      <c r="E81" s="97" t="s">
        <v>20</v>
      </c>
      <c r="F81" s="92"/>
      <c r="G81" s="133"/>
    </row>
    <row r="82" spans="1:7" s="13" customFormat="1" ht="22.5" customHeight="1" x14ac:dyDescent="0.25">
      <c r="A82" s="107">
        <f>A81+1</f>
        <v>20</v>
      </c>
      <c r="B82" s="80" t="s">
        <v>140</v>
      </c>
      <c r="C82" s="116" t="s">
        <v>141</v>
      </c>
      <c r="D82" s="127" t="s">
        <v>369</v>
      </c>
      <c r="E82" s="98" t="s">
        <v>20</v>
      </c>
      <c r="F82" s="92"/>
      <c r="G82" s="133" t="s">
        <v>521</v>
      </c>
    </row>
    <row r="83" spans="1:7" s="13" customFormat="1" ht="22.5" customHeight="1" x14ac:dyDescent="0.25">
      <c r="A83" s="107">
        <f>A82+1</f>
        <v>21</v>
      </c>
      <c r="B83" s="14" t="s">
        <v>142</v>
      </c>
      <c r="C83" s="111" t="s">
        <v>143</v>
      </c>
      <c r="D83" s="126" t="s">
        <v>119</v>
      </c>
      <c r="E83" s="97" t="s">
        <v>20</v>
      </c>
      <c r="F83" s="92"/>
      <c r="G83" s="133"/>
    </row>
    <row r="84" spans="1:7" s="13" customFormat="1" ht="22.5" customHeight="1" x14ac:dyDescent="0.25">
      <c r="A84" s="107">
        <f t="shared" si="0"/>
        <v>22</v>
      </c>
      <c r="B84" s="14" t="s">
        <v>145</v>
      </c>
      <c r="C84" s="109" t="s">
        <v>146</v>
      </c>
      <c r="D84" s="126" t="s">
        <v>153</v>
      </c>
      <c r="E84" s="97" t="s">
        <v>20</v>
      </c>
      <c r="F84" s="92"/>
      <c r="G84" s="133"/>
    </row>
    <row r="85" spans="1:7" s="13" customFormat="1" ht="22.5" customHeight="1" x14ac:dyDescent="0.25">
      <c r="A85" s="107">
        <f t="shared" si="0"/>
        <v>23</v>
      </c>
      <c r="B85" s="14" t="s">
        <v>147</v>
      </c>
      <c r="C85" s="111" t="s">
        <v>148</v>
      </c>
      <c r="D85" s="126" t="s">
        <v>119</v>
      </c>
      <c r="E85" s="97" t="s">
        <v>20</v>
      </c>
      <c r="F85" s="92"/>
      <c r="G85" s="133"/>
    </row>
    <row r="86" spans="1:7" s="13" customFormat="1" ht="22.5" customHeight="1" x14ac:dyDescent="0.25">
      <c r="A86" s="107">
        <f t="shared" si="0"/>
        <v>24</v>
      </c>
      <c r="B86" s="14" t="s">
        <v>149</v>
      </c>
      <c r="C86" s="111" t="s">
        <v>150</v>
      </c>
      <c r="D86" s="126" t="s">
        <v>153</v>
      </c>
      <c r="E86" s="97" t="s">
        <v>20</v>
      </c>
      <c r="F86" s="92"/>
      <c r="G86" s="133"/>
    </row>
    <row r="87" spans="1:7" s="13" customFormat="1" ht="22.5" customHeight="1" x14ac:dyDescent="0.25">
      <c r="A87" s="107">
        <f t="shared" si="0"/>
        <v>25</v>
      </c>
      <c r="B87" s="89" t="s">
        <v>151</v>
      </c>
      <c r="C87" s="115" t="s">
        <v>152</v>
      </c>
      <c r="D87" s="128" t="s">
        <v>144</v>
      </c>
      <c r="E87" s="99" t="s">
        <v>20</v>
      </c>
      <c r="F87" s="92"/>
      <c r="G87" s="133" t="s">
        <v>520</v>
      </c>
    </row>
    <row r="88" spans="1:7" s="13" customFormat="1" ht="22.5" customHeight="1" x14ac:dyDescent="0.25">
      <c r="A88" s="107">
        <f t="shared" si="0"/>
        <v>26</v>
      </c>
      <c r="B88" s="14" t="s">
        <v>154</v>
      </c>
      <c r="C88" s="111" t="s">
        <v>155</v>
      </c>
      <c r="D88" s="126" t="s">
        <v>144</v>
      </c>
      <c r="E88" s="97" t="s">
        <v>20</v>
      </c>
      <c r="F88" s="92"/>
      <c r="G88" s="133"/>
    </row>
    <row r="89" spans="1:7" ht="22.5" customHeight="1" x14ac:dyDescent="0.25">
      <c r="A89" s="107">
        <f t="shared" si="0"/>
        <v>27</v>
      </c>
      <c r="B89" s="14" t="s">
        <v>157</v>
      </c>
      <c r="C89" s="109" t="s">
        <v>158</v>
      </c>
      <c r="D89" s="126" t="s">
        <v>156</v>
      </c>
      <c r="E89" s="97" t="s">
        <v>509</v>
      </c>
      <c r="F89" s="93"/>
      <c r="G89" s="133" t="s">
        <v>538</v>
      </c>
    </row>
    <row r="90" spans="1:7" x14ac:dyDescent="0.25">
      <c r="A90" s="262" t="s">
        <v>160</v>
      </c>
      <c r="B90" s="263"/>
      <c r="C90" s="263"/>
      <c r="D90" s="263"/>
      <c r="E90" s="264"/>
    </row>
    <row r="91" spans="1:7" s="13" customFormat="1" ht="21.75" customHeight="1" x14ac:dyDescent="0.25">
      <c r="A91" s="107">
        <f>A89+1</f>
        <v>28</v>
      </c>
      <c r="B91" s="14" t="s">
        <v>161</v>
      </c>
      <c r="C91" s="117" t="s">
        <v>162</v>
      </c>
      <c r="D91" s="126" t="s">
        <v>163</v>
      </c>
      <c r="E91" s="97" t="s">
        <v>16</v>
      </c>
      <c r="F91" s="92"/>
      <c r="G91" s="133"/>
    </row>
    <row r="92" spans="1:7" ht="21.75" customHeight="1" x14ac:dyDescent="0.25">
      <c r="A92" s="107">
        <f>A91+1</f>
        <v>29</v>
      </c>
      <c r="B92" s="14" t="s">
        <v>164</v>
      </c>
      <c r="C92" s="109" t="s">
        <v>165</v>
      </c>
      <c r="D92" s="126" t="s">
        <v>166</v>
      </c>
      <c r="E92" s="97" t="s">
        <v>16</v>
      </c>
    </row>
    <row r="93" spans="1:7" ht="21.75" customHeight="1" x14ac:dyDescent="0.25">
      <c r="A93" s="107">
        <f>A92+1</f>
        <v>30</v>
      </c>
      <c r="B93" s="14" t="s">
        <v>167</v>
      </c>
      <c r="C93" s="111" t="s">
        <v>168</v>
      </c>
      <c r="D93" s="126" t="s">
        <v>169</v>
      </c>
      <c r="E93" s="97" t="s">
        <v>16</v>
      </c>
      <c r="F93" s="93"/>
    </row>
    <row r="94" spans="1:7" s="13" customFormat="1" ht="21.75" customHeight="1" x14ac:dyDescent="0.25">
      <c r="A94" s="107">
        <f>A93+1</f>
        <v>31</v>
      </c>
      <c r="B94" s="14" t="s">
        <v>170</v>
      </c>
      <c r="C94" s="111" t="s">
        <v>171</v>
      </c>
      <c r="D94" s="126" t="s">
        <v>156</v>
      </c>
      <c r="E94" s="97" t="s">
        <v>509</v>
      </c>
      <c r="F94" s="92"/>
      <c r="G94" s="133" t="s">
        <v>538</v>
      </c>
    </row>
    <row r="95" spans="1:7" s="13" customFormat="1" ht="21.75" customHeight="1" x14ac:dyDescent="0.25">
      <c r="A95" s="107">
        <f>A94+1</f>
        <v>32</v>
      </c>
      <c r="B95" s="14" t="s">
        <v>172</v>
      </c>
      <c r="C95" s="111" t="s">
        <v>173</v>
      </c>
      <c r="D95" s="126" t="s">
        <v>190</v>
      </c>
      <c r="E95" s="97" t="s">
        <v>20</v>
      </c>
      <c r="F95" s="92"/>
      <c r="G95" s="133"/>
    </row>
    <row r="96" spans="1:7" x14ac:dyDescent="0.25">
      <c r="A96" s="256" t="s">
        <v>174</v>
      </c>
      <c r="B96" s="256"/>
      <c r="C96" s="256"/>
      <c r="D96" s="256"/>
      <c r="E96" s="256"/>
    </row>
    <row r="97" spans="1:7" s="13" customFormat="1" ht="22.5" customHeight="1" x14ac:dyDescent="0.25">
      <c r="A97" s="107">
        <f>A95+1</f>
        <v>33</v>
      </c>
      <c r="B97" s="14" t="s">
        <v>175</v>
      </c>
      <c r="C97" s="117" t="s">
        <v>176</v>
      </c>
      <c r="D97" s="126" t="s">
        <v>103</v>
      </c>
      <c r="E97" s="97" t="s">
        <v>16</v>
      </c>
      <c r="F97" s="92"/>
      <c r="G97" s="133"/>
    </row>
    <row r="98" spans="1:7" s="13" customFormat="1" ht="22.5" customHeight="1" x14ac:dyDescent="0.25">
      <c r="A98" s="107">
        <f>A97+1</f>
        <v>34</v>
      </c>
      <c r="B98" s="14" t="s">
        <v>177</v>
      </c>
      <c r="C98" s="117" t="s">
        <v>178</v>
      </c>
      <c r="D98" s="126" t="s">
        <v>179</v>
      </c>
      <c r="E98" s="97" t="s">
        <v>16</v>
      </c>
      <c r="F98" s="92"/>
      <c r="G98" s="133" t="s">
        <v>522</v>
      </c>
    </row>
    <row r="99" spans="1:7" s="13" customFormat="1" ht="22.5" customHeight="1" x14ac:dyDescent="0.25">
      <c r="A99" s="107">
        <f t="shared" ref="A99:A110" si="1">A98+1</f>
        <v>35</v>
      </c>
      <c r="B99" s="14" t="s">
        <v>180</v>
      </c>
      <c r="C99" s="117" t="s">
        <v>181</v>
      </c>
      <c r="D99" s="126" t="s">
        <v>169</v>
      </c>
      <c r="E99" s="97" t="s">
        <v>16</v>
      </c>
      <c r="F99" s="92"/>
      <c r="G99" s="133" t="s">
        <v>522</v>
      </c>
    </row>
    <row r="100" spans="1:7" s="13" customFormat="1" ht="22.5" customHeight="1" x14ac:dyDescent="0.25">
      <c r="A100" s="107">
        <f t="shared" si="1"/>
        <v>36</v>
      </c>
      <c r="B100" s="14" t="s">
        <v>182</v>
      </c>
      <c r="C100" s="117" t="s">
        <v>183</v>
      </c>
      <c r="D100" s="126" t="s">
        <v>179</v>
      </c>
      <c r="E100" s="97" t="s">
        <v>16</v>
      </c>
      <c r="F100" s="92"/>
      <c r="G100" s="133" t="s">
        <v>522</v>
      </c>
    </row>
    <row r="101" spans="1:7" s="13" customFormat="1" ht="22.5" customHeight="1" x14ac:dyDescent="0.25">
      <c r="A101" s="107">
        <f t="shared" si="1"/>
        <v>37</v>
      </c>
      <c r="B101" s="14" t="s">
        <v>184</v>
      </c>
      <c r="C101" s="117" t="s">
        <v>185</v>
      </c>
      <c r="D101" s="126" t="s">
        <v>169</v>
      </c>
      <c r="E101" s="97" t="s">
        <v>16</v>
      </c>
      <c r="F101" s="92"/>
      <c r="G101" s="133"/>
    </row>
    <row r="102" spans="1:7" s="13" customFormat="1" ht="22.5" customHeight="1" x14ac:dyDescent="0.25">
      <c r="A102" s="107">
        <f t="shared" si="1"/>
        <v>38</v>
      </c>
      <c r="B102" s="14" t="s">
        <v>186</v>
      </c>
      <c r="C102" s="117" t="s">
        <v>187</v>
      </c>
      <c r="D102" s="126" t="s">
        <v>188</v>
      </c>
      <c r="E102" s="97" t="s">
        <v>16</v>
      </c>
      <c r="F102" s="92"/>
      <c r="G102" s="133" t="s">
        <v>522</v>
      </c>
    </row>
    <row r="103" spans="1:7" s="13" customFormat="1" ht="22.5" customHeight="1" x14ac:dyDescent="0.25">
      <c r="A103" s="107">
        <f>A102+1</f>
        <v>39</v>
      </c>
      <c r="B103" s="14" t="s">
        <v>191</v>
      </c>
      <c r="C103" s="111" t="s">
        <v>192</v>
      </c>
      <c r="D103" s="126" t="s">
        <v>188</v>
      </c>
      <c r="E103" s="97" t="s">
        <v>387</v>
      </c>
      <c r="F103" s="92"/>
      <c r="G103" s="133" t="s">
        <v>523</v>
      </c>
    </row>
    <row r="104" spans="1:7" s="13" customFormat="1" ht="22.5" customHeight="1" x14ac:dyDescent="0.25">
      <c r="A104" s="107">
        <f>A103+1</f>
        <v>40</v>
      </c>
      <c r="B104" s="14" t="s">
        <v>199</v>
      </c>
      <c r="C104" s="111" t="s">
        <v>200</v>
      </c>
      <c r="D104" s="126" t="s">
        <v>361</v>
      </c>
      <c r="E104" s="97" t="s">
        <v>35</v>
      </c>
      <c r="F104" s="92"/>
      <c r="G104" s="133" t="s">
        <v>523</v>
      </c>
    </row>
    <row r="105" spans="1:7" s="13" customFormat="1" ht="22.5" customHeight="1" x14ac:dyDescent="0.25">
      <c r="A105" s="107">
        <f>A104+1</f>
        <v>41</v>
      </c>
      <c r="B105" s="14" t="s">
        <v>354</v>
      </c>
      <c r="C105" s="117" t="s">
        <v>189</v>
      </c>
      <c r="D105" s="126" t="s">
        <v>190</v>
      </c>
      <c r="E105" s="97" t="s">
        <v>20</v>
      </c>
      <c r="F105" s="92"/>
      <c r="G105" s="133"/>
    </row>
    <row r="106" spans="1:7" s="13" customFormat="1" ht="22.5" customHeight="1" x14ac:dyDescent="0.25">
      <c r="A106" s="107">
        <f>A105+1</f>
        <v>42</v>
      </c>
      <c r="B106" s="14" t="s">
        <v>355</v>
      </c>
      <c r="C106" s="111" t="s">
        <v>195</v>
      </c>
      <c r="D106" s="126" t="s">
        <v>190</v>
      </c>
      <c r="E106" s="97" t="s">
        <v>20</v>
      </c>
      <c r="F106" s="92"/>
      <c r="G106" s="133"/>
    </row>
    <row r="107" spans="1:7" s="13" customFormat="1" ht="22.5" customHeight="1" x14ac:dyDescent="0.25">
      <c r="A107" s="107">
        <f t="shared" si="1"/>
        <v>43</v>
      </c>
      <c r="B107" s="14" t="s">
        <v>356</v>
      </c>
      <c r="C107" s="111" t="s">
        <v>196</v>
      </c>
      <c r="D107" s="126" t="s">
        <v>190</v>
      </c>
      <c r="E107" s="97" t="s">
        <v>20</v>
      </c>
      <c r="F107" s="92"/>
      <c r="G107" s="133"/>
    </row>
    <row r="108" spans="1:7" s="13" customFormat="1" ht="22.5" customHeight="1" x14ac:dyDescent="0.25">
      <c r="A108" s="107">
        <f t="shared" si="1"/>
        <v>44</v>
      </c>
      <c r="B108" s="14" t="s">
        <v>197</v>
      </c>
      <c r="C108" s="111" t="s">
        <v>198</v>
      </c>
      <c r="D108" s="126" t="s">
        <v>19</v>
      </c>
      <c r="E108" s="97" t="s">
        <v>20</v>
      </c>
      <c r="F108" s="92"/>
      <c r="G108" s="133"/>
    </row>
    <row r="109" spans="1:7" s="13" customFormat="1" ht="22.5" customHeight="1" x14ac:dyDescent="0.25">
      <c r="A109" s="107">
        <f>A108+1</f>
        <v>45</v>
      </c>
      <c r="B109" s="14" t="s">
        <v>201</v>
      </c>
      <c r="C109" s="111" t="s">
        <v>202</v>
      </c>
      <c r="D109" s="126" t="s">
        <v>19</v>
      </c>
      <c r="E109" s="97" t="s">
        <v>20</v>
      </c>
      <c r="F109" s="92"/>
      <c r="G109" s="133"/>
    </row>
    <row r="110" spans="1:7" s="13" customFormat="1" ht="22.5" customHeight="1" x14ac:dyDescent="0.25">
      <c r="A110" s="107">
        <f t="shared" si="1"/>
        <v>46</v>
      </c>
      <c r="B110" s="89"/>
      <c r="C110" s="115" t="s">
        <v>534</v>
      </c>
      <c r="D110" s="128" t="s">
        <v>385</v>
      </c>
      <c r="E110" s="99" t="s">
        <v>20</v>
      </c>
      <c r="F110" s="92"/>
      <c r="G110" s="133" t="s">
        <v>535</v>
      </c>
    </row>
    <row r="111" spans="1:7" s="13" customFormat="1" ht="22.5" customHeight="1" x14ac:dyDescent="0.25">
      <c r="A111" s="107">
        <f>A110+1</f>
        <v>47</v>
      </c>
      <c r="B111" s="14" t="s">
        <v>517</v>
      </c>
      <c r="C111" s="111" t="s">
        <v>384</v>
      </c>
      <c r="D111" s="126" t="s">
        <v>190</v>
      </c>
      <c r="E111" s="97" t="s">
        <v>20</v>
      </c>
      <c r="F111" s="92"/>
      <c r="G111" s="136" t="s">
        <v>486</v>
      </c>
    </row>
    <row r="112" spans="1:7" s="13" customFormat="1" ht="22.5" customHeight="1" x14ac:dyDescent="0.25">
      <c r="A112" s="107">
        <f>A111+1</f>
        <v>48</v>
      </c>
      <c r="B112" s="14" t="s">
        <v>204</v>
      </c>
      <c r="C112" s="111" t="s">
        <v>205</v>
      </c>
      <c r="D112" s="126" t="s">
        <v>156</v>
      </c>
      <c r="E112" s="97" t="s">
        <v>509</v>
      </c>
      <c r="F112" s="93">
        <f>+A112/C185</f>
        <v>0.34532374100719426</v>
      </c>
      <c r="G112" s="133" t="s">
        <v>538</v>
      </c>
    </row>
    <row r="114" spans="1:7" ht="19.5" x14ac:dyDescent="0.25">
      <c r="A114" s="253" t="s">
        <v>206</v>
      </c>
      <c r="B114" s="254"/>
      <c r="C114" s="254"/>
      <c r="D114" s="254"/>
      <c r="E114" s="255"/>
    </row>
    <row r="115" spans="1:7" ht="23.25" customHeight="1" x14ac:dyDescent="0.25">
      <c r="A115" s="107"/>
      <c r="B115" s="14" t="s">
        <v>210</v>
      </c>
      <c r="C115" s="109" t="s">
        <v>211</v>
      </c>
      <c r="D115" s="126" t="s">
        <v>546</v>
      </c>
      <c r="E115" s="97" t="s">
        <v>12</v>
      </c>
    </row>
    <row r="116" spans="1:7" x14ac:dyDescent="0.25">
      <c r="A116" s="249" t="s">
        <v>207</v>
      </c>
      <c r="B116" s="249"/>
      <c r="C116" s="249"/>
      <c r="D116" s="249"/>
      <c r="E116" s="249"/>
    </row>
    <row r="117" spans="1:7" ht="22.5" customHeight="1" x14ac:dyDescent="0.25">
      <c r="A117" s="107">
        <v>1</v>
      </c>
      <c r="B117" s="14" t="s">
        <v>208</v>
      </c>
      <c r="C117" s="109" t="s">
        <v>542</v>
      </c>
      <c r="D117" s="126" t="s">
        <v>209</v>
      </c>
      <c r="E117" s="97" t="s">
        <v>16</v>
      </c>
    </row>
    <row r="118" spans="1:7" ht="22.5" customHeight="1" x14ac:dyDescent="0.25">
      <c r="A118" s="107">
        <f>A117+1</f>
        <v>2</v>
      </c>
      <c r="B118" s="14" t="s">
        <v>213</v>
      </c>
      <c r="C118" s="109" t="s">
        <v>214</v>
      </c>
      <c r="D118" s="126" t="s">
        <v>215</v>
      </c>
      <c r="E118" s="97" t="s">
        <v>12</v>
      </c>
    </row>
    <row r="119" spans="1:7" ht="22.5" customHeight="1" x14ac:dyDescent="0.25">
      <c r="A119" s="107">
        <f>A118+1</f>
        <v>3</v>
      </c>
      <c r="B119" s="14" t="s">
        <v>216</v>
      </c>
      <c r="C119" s="111" t="s">
        <v>217</v>
      </c>
      <c r="D119" s="126" t="s">
        <v>119</v>
      </c>
      <c r="E119" s="97" t="s">
        <v>35</v>
      </c>
    </row>
    <row r="120" spans="1:7" ht="22.5" customHeight="1" x14ac:dyDescent="0.25">
      <c r="A120" s="107">
        <f t="shared" ref="A120:A126" si="2">A119+1</f>
        <v>4</v>
      </c>
      <c r="B120" s="14" t="s">
        <v>218</v>
      </c>
      <c r="C120" s="111" t="s">
        <v>219</v>
      </c>
      <c r="D120" s="126" t="s">
        <v>85</v>
      </c>
      <c r="E120" s="97" t="s">
        <v>20</v>
      </c>
    </row>
    <row r="121" spans="1:7" ht="22.5" customHeight="1" x14ac:dyDescent="0.25">
      <c r="A121" s="107">
        <f t="shared" si="2"/>
        <v>5</v>
      </c>
      <c r="B121" s="14" t="s">
        <v>220</v>
      </c>
      <c r="C121" s="118" t="s">
        <v>221</v>
      </c>
      <c r="D121" s="126" t="s">
        <v>156</v>
      </c>
      <c r="E121" s="97" t="s">
        <v>509</v>
      </c>
      <c r="G121" s="133" t="s">
        <v>538</v>
      </c>
    </row>
    <row r="122" spans="1:7" ht="22.5" customHeight="1" x14ac:dyDescent="0.25">
      <c r="A122" s="107">
        <f t="shared" si="2"/>
        <v>6</v>
      </c>
      <c r="B122" s="14" t="s">
        <v>358</v>
      </c>
      <c r="C122" s="118" t="s">
        <v>222</v>
      </c>
      <c r="D122" s="126" t="s">
        <v>223</v>
      </c>
      <c r="E122" s="97" t="s">
        <v>20</v>
      </c>
    </row>
    <row r="123" spans="1:7" ht="22.5" customHeight="1" x14ac:dyDescent="0.25">
      <c r="A123" s="107">
        <f>A122+1</f>
        <v>7</v>
      </c>
      <c r="B123" s="14" t="s">
        <v>224</v>
      </c>
      <c r="C123" s="111" t="s">
        <v>225</v>
      </c>
      <c r="D123" s="126" t="s">
        <v>156</v>
      </c>
      <c r="E123" s="97" t="s">
        <v>509</v>
      </c>
      <c r="G123" s="133" t="s">
        <v>538</v>
      </c>
    </row>
    <row r="124" spans="1:7" ht="22.5" customHeight="1" x14ac:dyDescent="0.25">
      <c r="A124" s="107">
        <f>A123+1</f>
        <v>8</v>
      </c>
      <c r="B124" s="14" t="s">
        <v>514</v>
      </c>
      <c r="C124" s="111" t="s">
        <v>467</v>
      </c>
      <c r="D124" s="126" t="s">
        <v>153</v>
      </c>
      <c r="E124" s="97" t="s">
        <v>20</v>
      </c>
      <c r="G124" s="133" t="s">
        <v>483</v>
      </c>
    </row>
    <row r="125" spans="1:7" ht="22.5" customHeight="1" x14ac:dyDescent="0.25">
      <c r="A125" s="107">
        <f>A124+1</f>
        <v>9</v>
      </c>
      <c r="B125" s="14" t="s">
        <v>226</v>
      </c>
      <c r="C125" s="111" t="s">
        <v>227</v>
      </c>
      <c r="D125" s="126" t="s">
        <v>128</v>
      </c>
      <c r="E125" s="97" t="s">
        <v>531</v>
      </c>
    </row>
    <row r="126" spans="1:7" ht="22.5" customHeight="1" x14ac:dyDescent="0.25">
      <c r="A126" s="107">
        <f t="shared" si="2"/>
        <v>10</v>
      </c>
      <c r="B126" s="14" t="s">
        <v>228</v>
      </c>
      <c r="C126" s="111" t="s">
        <v>229</v>
      </c>
      <c r="D126" s="126" t="s">
        <v>128</v>
      </c>
      <c r="E126" s="97" t="s">
        <v>496</v>
      </c>
    </row>
    <row r="127" spans="1:7" ht="22.5" customHeight="1" x14ac:dyDescent="0.25">
      <c r="A127" s="107">
        <f t="shared" ref="A127:A132" si="3">A126+1</f>
        <v>11</v>
      </c>
      <c r="B127" s="14" t="s">
        <v>525</v>
      </c>
      <c r="C127" s="111" t="s">
        <v>524</v>
      </c>
      <c r="D127" s="126" t="s">
        <v>128</v>
      </c>
      <c r="E127" s="97" t="s">
        <v>541</v>
      </c>
      <c r="G127" s="133" t="s">
        <v>529</v>
      </c>
    </row>
    <row r="128" spans="1:7" ht="22.5" customHeight="1" x14ac:dyDescent="0.25">
      <c r="A128" s="107">
        <f t="shared" si="3"/>
        <v>12</v>
      </c>
      <c r="B128" s="14" t="s">
        <v>230</v>
      </c>
      <c r="C128" s="111" t="s">
        <v>231</v>
      </c>
      <c r="D128" s="126" t="s">
        <v>128</v>
      </c>
      <c r="E128" s="97" t="s">
        <v>531</v>
      </c>
    </row>
    <row r="129" spans="1:7" ht="22.5" customHeight="1" x14ac:dyDescent="0.25">
      <c r="A129" s="107">
        <f t="shared" si="3"/>
        <v>13</v>
      </c>
      <c r="B129" s="14" t="s">
        <v>527</v>
      </c>
      <c r="C129" s="111" t="s">
        <v>526</v>
      </c>
      <c r="D129" s="126" t="s">
        <v>128</v>
      </c>
      <c r="E129" s="97" t="s">
        <v>541</v>
      </c>
      <c r="G129" s="133" t="s">
        <v>530</v>
      </c>
    </row>
    <row r="130" spans="1:7" ht="22.5" customHeight="1" x14ac:dyDescent="0.25">
      <c r="A130" s="107">
        <f t="shared" si="3"/>
        <v>14</v>
      </c>
      <c r="B130" s="14" t="s">
        <v>232</v>
      </c>
      <c r="C130" s="111" t="s">
        <v>233</v>
      </c>
      <c r="D130" s="126" t="s">
        <v>128</v>
      </c>
      <c r="E130" s="97" t="s">
        <v>541</v>
      </c>
    </row>
    <row r="131" spans="1:7" ht="22.5" customHeight="1" x14ac:dyDescent="0.25">
      <c r="A131" s="107">
        <f t="shared" si="3"/>
        <v>15</v>
      </c>
      <c r="B131" s="14" t="s">
        <v>519</v>
      </c>
      <c r="C131" s="111" t="s">
        <v>567</v>
      </c>
      <c r="D131" s="126" t="s">
        <v>128</v>
      </c>
      <c r="E131" s="97" t="s">
        <v>496</v>
      </c>
      <c r="F131" s="93"/>
      <c r="G131" s="133" t="s">
        <v>528</v>
      </c>
    </row>
    <row r="132" spans="1:7" ht="22.5" customHeight="1" x14ac:dyDescent="0.25">
      <c r="A132" s="107">
        <f t="shared" si="3"/>
        <v>16</v>
      </c>
      <c r="B132" s="14" t="s">
        <v>234</v>
      </c>
      <c r="C132" s="111" t="s">
        <v>235</v>
      </c>
      <c r="D132" s="126" t="s">
        <v>128</v>
      </c>
      <c r="E132" s="97" t="s">
        <v>496</v>
      </c>
      <c r="F132" s="93"/>
    </row>
    <row r="133" spans="1:7" s="13" customFormat="1" x14ac:dyDescent="0.25">
      <c r="A133" s="249" t="s">
        <v>236</v>
      </c>
      <c r="B133" s="249"/>
      <c r="C133" s="249"/>
      <c r="D133" s="249"/>
      <c r="E133" s="249"/>
      <c r="F133" s="92"/>
      <c r="G133" s="133"/>
    </row>
    <row r="134" spans="1:7" ht="22.5" customHeight="1" x14ac:dyDescent="0.25">
      <c r="A134" s="107">
        <f>A132+1</f>
        <v>17</v>
      </c>
      <c r="B134" s="14" t="s">
        <v>237</v>
      </c>
      <c r="C134" s="109" t="s">
        <v>238</v>
      </c>
      <c r="D134" s="126" t="s">
        <v>239</v>
      </c>
      <c r="E134" s="97" t="s">
        <v>387</v>
      </c>
    </row>
    <row r="135" spans="1:7" s="13" customFormat="1" ht="22.5" customHeight="1" x14ac:dyDescent="0.25">
      <c r="A135" s="107">
        <f>A134+1</f>
        <v>18</v>
      </c>
      <c r="B135" s="14" t="s">
        <v>240</v>
      </c>
      <c r="C135" s="118" t="s">
        <v>241</v>
      </c>
      <c r="D135" s="126" t="s">
        <v>477</v>
      </c>
      <c r="E135" s="97" t="s">
        <v>16</v>
      </c>
      <c r="F135" s="92"/>
      <c r="G135" s="133" t="s">
        <v>478</v>
      </c>
    </row>
    <row r="136" spans="1:7" s="13" customFormat="1" ht="22.5" customHeight="1" x14ac:dyDescent="0.25">
      <c r="A136" s="107">
        <f>A135+1</f>
        <v>19</v>
      </c>
      <c r="B136" s="14" t="s">
        <v>257</v>
      </c>
      <c r="C136" s="118" t="s">
        <v>258</v>
      </c>
      <c r="D136" s="126" t="s">
        <v>239</v>
      </c>
      <c r="E136" s="97" t="s">
        <v>16</v>
      </c>
      <c r="F136" s="92"/>
      <c r="G136" s="133" t="s">
        <v>479</v>
      </c>
    </row>
    <row r="137" spans="1:7" s="13" customFormat="1" ht="22.5" customHeight="1" x14ac:dyDescent="0.25">
      <c r="A137" s="107">
        <f>A136+1</f>
        <v>20</v>
      </c>
      <c r="B137" s="14" t="s">
        <v>242</v>
      </c>
      <c r="C137" s="109" t="s">
        <v>243</v>
      </c>
      <c r="D137" s="126" t="s">
        <v>244</v>
      </c>
      <c r="E137" s="97" t="s">
        <v>35</v>
      </c>
      <c r="F137" s="92"/>
      <c r="G137" s="133"/>
    </row>
    <row r="138" spans="1:7" s="13" customFormat="1" ht="22.5" customHeight="1" x14ac:dyDescent="0.25">
      <c r="A138" s="107">
        <f t="shared" ref="A138:A142" si="4">A137+1</f>
        <v>21</v>
      </c>
      <c r="B138" s="14" t="s">
        <v>245</v>
      </c>
      <c r="C138" s="118" t="s">
        <v>246</v>
      </c>
      <c r="D138" s="126" t="s">
        <v>247</v>
      </c>
      <c r="E138" s="97" t="s">
        <v>35</v>
      </c>
      <c r="F138" s="92"/>
      <c r="G138" s="133"/>
    </row>
    <row r="139" spans="1:7" s="13" customFormat="1" ht="22.5" customHeight="1" x14ac:dyDescent="0.25">
      <c r="A139" s="107">
        <f>A138+1</f>
        <v>22</v>
      </c>
      <c r="B139" s="14" t="s">
        <v>248</v>
      </c>
      <c r="C139" s="118" t="s">
        <v>249</v>
      </c>
      <c r="D139" s="126" t="s">
        <v>250</v>
      </c>
      <c r="E139" s="97" t="s">
        <v>35</v>
      </c>
      <c r="F139" s="92"/>
      <c r="G139" s="133"/>
    </row>
    <row r="140" spans="1:7" s="13" customFormat="1" ht="22.5" customHeight="1" x14ac:dyDescent="0.25">
      <c r="A140" s="107">
        <f t="shared" si="4"/>
        <v>23</v>
      </c>
      <c r="B140" s="14" t="s">
        <v>251</v>
      </c>
      <c r="C140" s="118" t="s">
        <v>252</v>
      </c>
      <c r="D140" s="126" t="s">
        <v>247</v>
      </c>
      <c r="E140" s="97" t="s">
        <v>35</v>
      </c>
      <c r="F140" s="92"/>
      <c r="G140" s="133"/>
    </row>
    <row r="141" spans="1:7" s="13" customFormat="1" ht="22.5" customHeight="1" x14ac:dyDescent="0.25">
      <c r="A141" s="107">
        <f t="shared" si="4"/>
        <v>24</v>
      </c>
      <c r="B141" s="14" t="s">
        <v>253</v>
      </c>
      <c r="C141" s="118" t="s">
        <v>254</v>
      </c>
      <c r="D141" s="126" t="s">
        <v>247</v>
      </c>
      <c r="E141" s="97" t="s">
        <v>35</v>
      </c>
      <c r="F141" s="92"/>
      <c r="G141" s="133"/>
    </row>
    <row r="142" spans="1:7" s="13" customFormat="1" ht="22.5" customHeight="1" x14ac:dyDescent="0.25">
      <c r="A142" s="107">
        <f t="shared" si="4"/>
        <v>25</v>
      </c>
      <c r="B142" s="14" t="s">
        <v>255</v>
      </c>
      <c r="C142" s="118" t="s">
        <v>256</v>
      </c>
      <c r="D142" s="126" t="s">
        <v>247</v>
      </c>
      <c r="E142" s="97" t="s">
        <v>35</v>
      </c>
      <c r="F142" s="92"/>
      <c r="G142" s="133"/>
    </row>
    <row r="143" spans="1:7" s="13" customFormat="1" ht="22.5" customHeight="1" x14ac:dyDescent="0.25">
      <c r="A143" s="107">
        <f>A142+1</f>
        <v>26</v>
      </c>
      <c r="B143" s="14" t="s">
        <v>357</v>
      </c>
      <c r="C143" s="118" t="s">
        <v>259</v>
      </c>
      <c r="D143" s="126" t="s">
        <v>223</v>
      </c>
      <c r="E143" s="97" t="s">
        <v>20</v>
      </c>
      <c r="F143" s="92"/>
      <c r="G143" s="133"/>
    </row>
    <row r="144" spans="1:7" s="13" customFormat="1" ht="22.5" customHeight="1" x14ac:dyDescent="0.25">
      <c r="A144" s="107">
        <f>A143+1</f>
        <v>27</v>
      </c>
      <c r="B144" s="14" t="s">
        <v>515</v>
      </c>
      <c r="C144" s="118" t="s">
        <v>470</v>
      </c>
      <c r="D144" s="126" t="s">
        <v>223</v>
      </c>
      <c r="E144" s="97" t="s">
        <v>20</v>
      </c>
      <c r="F144" s="92"/>
      <c r="G144" s="133" t="s">
        <v>484</v>
      </c>
    </row>
    <row r="145" spans="1:7" s="13" customFormat="1" ht="22.5" customHeight="1" x14ac:dyDescent="0.25">
      <c r="A145" s="107">
        <f>A144+1</f>
        <v>28</v>
      </c>
      <c r="B145" s="14" t="s">
        <v>260</v>
      </c>
      <c r="C145" s="118" t="s">
        <v>261</v>
      </c>
      <c r="D145" s="126" t="s">
        <v>371</v>
      </c>
      <c r="E145" s="97" t="s">
        <v>20</v>
      </c>
      <c r="F145" s="92"/>
      <c r="G145" s="133"/>
    </row>
    <row r="146" spans="1:7" s="13" customFormat="1" ht="22.5" customHeight="1" x14ac:dyDescent="0.25">
      <c r="A146" s="107">
        <f>A145+1</f>
        <v>29</v>
      </c>
      <c r="B146" s="14" t="s">
        <v>193</v>
      </c>
      <c r="C146" s="111" t="s">
        <v>194</v>
      </c>
      <c r="D146" s="126" t="s">
        <v>371</v>
      </c>
      <c r="E146" s="97" t="s">
        <v>20</v>
      </c>
      <c r="F146" s="92"/>
      <c r="G146" s="133"/>
    </row>
    <row r="147" spans="1:7" s="13" customFormat="1" ht="22.5" customHeight="1" x14ac:dyDescent="0.25">
      <c r="A147" s="107">
        <f>A146+1</f>
        <v>30</v>
      </c>
      <c r="B147" s="14" t="s">
        <v>262</v>
      </c>
      <c r="C147" s="118" t="s">
        <v>263</v>
      </c>
      <c r="D147" s="126" t="s">
        <v>371</v>
      </c>
      <c r="E147" s="97" t="s">
        <v>20</v>
      </c>
      <c r="F147" s="92"/>
      <c r="G147" s="133"/>
    </row>
    <row r="148" spans="1:7" s="13" customFormat="1" x14ac:dyDescent="0.25">
      <c r="A148" s="249" t="s">
        <v>264</v>
      </c>
      <c r="B148" s="249"/>
      <c r="C148" s="249"/>
      <c r="D148" s="249"/>
      <c r="E148" s="249"/>
      <c r="F148" s="92"/>
      <c r="G148" s="133"/>
    </row>
    <row r="149" spans="1:7" s="13" customFormat="1" ht="22.5" customHeight="1" x14ac:dyDescent="0.25">
      <c r="A149" s="107">
        <f>A147+1</f>
        <v>31</v>
      </c>
      <c r="B149" s="14" t="s">
        <v>265</v>
      </c>
      <c r="C149" s="109" t="s">
        <v>266</v>
      </c>
      <c r="D149" s="126" t="s">
        <v>267</v>
      </c>
      <c r="E149" s="97" t="s">
        <v>16</v>
      </c>
      <c r="F149" s="92"/>
      <c r="G149" s="133"/>
    </row>
    <row r="150" spans="1:7" s="13" customFormat="1" ht="22.5" customHeight="1" x14ac:dyDescent="0.25">
      <c r="A150" s="107">
        <f>A149+1</f>
        <v>32</v>
      </c>
      <c r="B150" s="14" t="s">
        <v>268</v>
      </c>
      <c r="C150" s="109" t="s">
        <v>269</v>
      </c>
      <c r="D150" s="126" t="s">
        <v>359</v>
      </c>
      <c r="E150" s="97" t="s">
        <v>12</v>
      </c>
      <c r="F150" s="92"/>
      <c r="G150" s="133"/>
    </row>
    <row r="151" spans="1:7" s="13" customFormat="1" ht="22.5" customHeight="1" x14ac:dyDescent="0.25">
      <c r="A151" s="107">
        <f>A150+1</f>
        <v>33</v>
      </c>
      <c r="B151" s="14" t="s">
        <v>270</v>
      </c>
      <c r="C151" s="109" t="s">
        <v>271</v>
      </c>
      <c r="D151" s="126" t="s">
        <v>15</v>
      </c>
      <c r="E151" s="97" t="s">
        <v>16</v>
      </c>
      <c r="F151" s="92"/>
      <c r="G151" s="133"/>
    </row>
    <row r="152" spans="1:7" ht="22.5" customHeight="1" x14ac:dyDescent="0.25">
      <c r="A152" s="107">
        <f>A151+1</f>
        <v>34</v>
      </c>
      <c r="B152" s="14" t="s">
        <v>13</v>
      </c>
      <c r="C152" s="109" t="s">
        <v>14</v>
      </c>
      <c r="D152" s="126" t="s">
        <v>15</v>
      </c>
      <c r="E152" s="97" t="s">
        <v>16</v>
      </c>
      <c r="F152" s="91"/>
    </row>
    <row r="153" spans="1:7" ht="22.5" customHeight="1" x14ac:dyDescent="0.25">
      <c r="A153" s="107">
        <f>A152+1</f>
        <v>35</v>
      </c>
      <c r="B153" s="14" t="s">
        <v>272</v>
      </c>
      <c r="C153" s="111" t="s">
        <v>273</v>
      </c>
      <c r="D153" s="126" t="s">
        <v>360</v>
      </c>
      <c r="E153" s="97" t="s">
        <v>35</v>
      </c>
      <c r="F153" s="93"/>
      <c r="G153" s="133" t="s">
        <v>480</v>
      </c>
    </row>
    <row r="154" spans="1:7" s="13" customFormat="1" ht="22.5" customHeight="1" x14ac:dyDescent="0.25">
      <c r="A154" s="107">
        <f t="shared" ref="A154:A159" si="5">A153+1</f>
        <v>36</v>
      </c>
      <c r="B154" s="14" t="s">
        <v>275</v>
      </c>
      <c r="C154" s="109" t="s">
        <v>276</v>
      </c>
      <c r="D154" s="126" t="s">
        <v>153</v>
      </c>
      <c r="E154" s="97" t="s">
        <v>20</v>
      </c>
      <c r="F154" s="92"/>
      <c r="G154" s="133"/>
    </row>
    <row r="155" spans="1:7" ht="22.5" customHeight="1" x14ac:dyDescent="0.25">
      <c r="A155" s="107">
        <f t="shared" si="5"/>
        <v>37</v>
      </c>
      <c r="B155" s="14" t="s">
        <v>277</v>
      </c>
      <c r="C155" s="109" t="s">
        <v>278</v>
      </c>
      <c r="D155" s="126" t="s">
        <v>19</v>
      </c>
      <c r="E155" s="97" t="s">
        <v>20</v>
      </c>
      <c r="G155" s="137"/>
    </row>
    <row r="156" spans="1:7" ht="22.5" customHeight="1" x14ac:dyDescent="0.25">
      <c r="A156" s="107">
        <f t="shared" si="5"/>
        <v>38</v>
      </c>
      <c r="B156" s="14" t="s">
        <v>279</v>
      </c>
      <c r="C156" s="109" t="s">
        <v>280</v>
      </c>
      <c r="D156" s="126" t="s">
        <v>19</v>
      </c>
      <c r="E156" s="97" t="s">
        <v>20</v>
      </c>
    </row>
    <row r="157" spans="1:7" ht="22.5" customHeight="1" x14ac:dyDescent="0.25">
      <c r="A157" s="107">
        <f>A156+1</f>
        <v>39</v>
      </c>
      <c r="B157" s="14" t="s">
        <v>281</v>
      </c>
      <c r="C157" s="111" t="s">
        <v>282</v>
      </c>
      <c r="D157" s="126" t="s">
        <v>360</v>
      </c>
      <c r="E157" s="97" t="s">
        <v>20</v>
      </c>
      <c r="F157" s="93"/>
      <c r="G157" s="133" t="s">
        <v>481</v>
      </c>
    </row>
    <row r="158" spans="1:7" ht="22.5" customHeight="1" x14ac:dyDescent="0.25">
      <c r="A158" s="107">
        <f>A157+1</f>
        <v>40</v>
      </c>
      <c r="B158" s="14" t="s">
        <v>283</v>
      </c>
      <c r="C158" s="111" t="s">
        <v>284</v>
      </c>
      <c r="D158" s="126" t="s">
        <v>153</v>
      </c>
      <c r="E158" s="97" t="s">
        <v>20</v>
      </c>
      <c r="F158" s="93"/>
    </row>
    <row r="159" spans="1:7" ht="22.5" customHeight="1" x14ac:dyDescent="0.25">
      <c r="A159" s="107">
        <f t="shared" si="5"/>
        <v>41</v>
      </c>
      <c r="B159" s="14" t="s">
        <v>285</v>
      </c>
      <c r="C159" s="111" t="s">
        <v>286</v>
      </c>
      <c r="D159" s="126" t="s">
        <v>274</v>
      </c>
      <c r="E159" s="97" t="s">
        <v>20</v>
      </c>
      <c r="F159" s="93"/>
    </row>
    <row r="160" spans="1:7" ht="22.5" customHeight="1" x14ac:dyDescent="0.25">
      <c r="A160" s="107">
        <f>A159+1</f>
        <v>42</v>
      </c>
      <c r="B160" s="14" t="s">
        <v>516</v>
      </c>
      <c r="C160" s="111" t="s">
        <v>469</v>
      </c>
      <c r="D160" s="126" t="s">
        <v>153</v>
      </c>
      <c r="E160" s="97" t="s">
        <v>20</v>
      </c>
      <c r="F160" s="93"/>
      <c r="G160" s="133" t="s">
        <v>482</v>
      </c>
    </row>
    <row r="161" spans="1:7" ht="22.5" customHeight="1" x14ac:dyDescent="0.25">
      <c r="A161" s="107">
        <f>A160+1</f>
        <v>43</v>
      </c>
      <c r="B161" s="14" t="s">
        <v>287</v>
      </c>
      <c r="C161" s="111" t="s">
        <v>288</v>
      </c>
      <c r="D161" s="126" t="s">
        <v>153</v>
      </c>
      <c r="E161" s="97" t="s">
        <v>20</v>
      </c>
      <c r="F161" s="93">
        <f>+A161/C185</f>
        <v>0.30935251798561153</v>
      </c>
    </row>
    <row r="163" spans="1:7" ht="19.5" x14ac:dyDescent="0.25">
      <c r="A163" s="250" t="s">
        <v>289</v>
      </c>
      <c r="B163" s="250"/>
      <c r="C163" s="250"/>
      <c r="D163" s="250"/>
      <c r="E163" s="100" t="s">
        <v>8</v>
      </c>
    </row>
    <row r="164" spans="1:7" ht="22.5" customHeight="1" x14ac:dyDescent="0.25">
      <c r="A164" s="107">
        <v>1</v>
      </c>
      <c r="B164" s="14" t="s">
        <v>290</v>
      </c>
      <c r="C164" s="112" t="s">
        <v>543</v>
      </c>
      <c r="D164" s="126" t="s">
        <v>291</v>
      </c>
      <c r="E164" s="97" t="s">
        <v>12</v>
      </c>
    </row>
    <row r="165" spans="1:7" x14ac:dyDescent="0.25">
      <c r="A165" s="251" t="s">
        <v>292</v>
      </c>
      <c r="B165" s="251"/>
      <c r="C165" s="251"/>
      <c r="D165" s="251"/>
      <c r="E165" s="251"/>
    </row>
    <row r="166" spans="1:7" ht="22.5" customHeight="1" x14ac:dyDescent="0.25">
      <c r="A166" s="107">
        <v>2</v>
      </c>
      <c r="B166" s="14" t="s">
        <v>293</v>
      </c>
      <c r="C166" s="112" t="s">
        <v>294</v>
      </c>
      <c r="D166" s="126" t="s">
        <v>48</v>
      </c>
      <c r="E166" s="97" t="s">
        <v>16</v>
      </c>
    </row>
    <row r="167" spans="1:7" ht="22.5" customHeight="1" x14ac:dyDescent="0.25">
      <c r="A167" s="107">
        <v>3</v>
      </c>
      <c r="B167" s="14" t="s">
        <v>295</v>
      </c>
      <c r="C167" s="112" t="s">
        <v>296</v>
      </c>
      <c r="D167" s="126" t="s">
        <v>116</v>
      </c>
      <c r="E167" s="97" t="s">
        <v>16</v>
      </c>
    </row>
    <row r="168" spans="1:7" ht="22.5" customHeight="1" x14ac:dyDescent="0.25">
      <c r="A168" s="107">
        <f>A167+1</f>
        <v>4</v>
      </c>
      <c r="B168" s="14" t="s">
        <v>518</v>
      </c>
      <c r="C168" s="112" t="s">
        <v>383</v>
      </c>
      <c r="D168" s="126" t="s">
        <v>80</v>
      </c>
      <c r="E168" s="97" t="s">
        <v>20</v>
      </c>
    </row>
    <row r="169" spans="1:7" ht="22.5" customHeight="1" x14ac:dyDescent="0.25">
      <c r="A169" s="107">
        <f>A168+1</f>
        <v>5</v>
      </c>
      <c r="B169" s="14" t="s">
        <v>297</v>
      </c>
      <c r="C169" s="112" t="s">
        <v>298</v>
      </c>
      <c r="D169" s="126" t="s">
        <v>116</v>
      </c>
      <c r="E169" s="97" t="s">
        <v>20</v>
      </c>
    </row>
    <row r="170" spans="1:7" ht="22.5" customHeight="1" x14ac:dyDescent="0.25">
      <c r="A170" s="107">
        <f>A169+1</f>
        <v>6</v>
      </c>
      <c r="B170" s="14" t="s">
        <v>299</v>
      </c>
      <c r="C170" s="112" t="s">
        <v>300</v>
      </c>
      <c r="D170" s="126" t="s">
        <v>301</v>
      </c>
      <c r="E170" s="97" t="s">
        <v>20</v>
      </c>
    </row>
    <row r="171" spans="1:7" x14ac:dyDescent="0.25">
      <c r="A171" s="251" t="s">
        <v>302</v>
      </c>
      <c r="B171" s="251"/>
      <c r="C171" s="251"/>
      <c r="D171" s="251"/>
      <c r="E171" s="251"/>
    </row>
    <row r="172" spans="1:7" s="13" customFormat="1" ht="22.5" customHeight="1" x14ac:dyDescent="0.25">
      <c r="A172" s="107">
        <f>A170+1</f>
        <v>7</v>
      </c>
      <c r="B172" s="14" t="s">
        <v>303</v>
      </c>
      <c r="C172" s="111" t="s">
        <v>304</v>
      </c>
      <c r="D172" s="126" t="s">
        <v>159</v>
      </c>
      <c r="E172" s="97" t="s">
        <v>509</v>
      </c>
      <c r="F172" s="92"/>
      <c r="G172" s="133" t="s">
        <v>538</v>
      </c>
    </row>
    <row r="173" spans="1:7" x14ac:dyDescent="0.25">
      <c r="A173" s="251" t="s">
        <v>174</v>
      </c>
      <c r="B173" s="251"/>
      <c r="C173" s="251"/>
      <c r="D173" s="251"/>
      <c r="E173" s="251"/>
    </row>
    <row r="174" spans="1:7" s="13" customFormat="1" ht="22.5" customHeight="1" x14ac:dyDescent="0.25">
      <c r="A174" s="107">
        <f>A172+1</f>
        <v>8</v>
      </c>
      <c r="B174" s="14" t="s">
        <v>305</v>
      </c>
      <c r="C174" s="109" t="s">
        <v>306</v>
      </c>
      <c r="D174" s="126" t="s">
        <v>188</v>
      </c>
      <c r="E174" s="97" t="s">
        <v>16</v>
      </c>
      <c r="F174" s="92"/>
      <c r="G174" s="133" t="s">
        <v>537</v>
      </c>
    </row>
    <row r="175" spans="1:7" s="13" customFormat="1" ht="22.5" customHeight="1" x14ac:dyDescent="0.25">
      <c r="A175" s="107">
        <f>A174+1</f>
        <v>9</v>
      </c>
      <c r="B175" s="14" t="s">
        <v>307</v>
      </c>
      <c r="C175" s="117" t="s">
        <v>308</v>
      </c>
      <c r="D175" s="126" t="s">
        <v>309</v>
      </c>
      <c r="E175" s="97" t="s">
        <v>16</v>
      </c>
      <c r="F175" s="92"/>
      <c r="G175" s="133" t="s">
        <v>537</v>
      </c>
    </row>
    <row r="176" spans="1:7" s="13" customFormat="1" ht="22.5" customHeight="1" x14ac:dyDescent="0.25">
      <c r="A176" s="107">
        <f>A175+1</f>
        <v>10</v>
      </c>
      <c r="B176" s="14" t="s">
        <v>310</v>
      </c>
      <c r="C176" s="111" t="s">
        <v>311</v>
      </c>
      <c r="D176" s="126" t="s">
        <v>159</v>
      </c>
      <c r="E176" s="97" t="s">
        <v>509</v>
      </c>
      <c r="F176" s="92"/>
      <c r="G176" s="133" t="s">
        <v>538</v>
      </c>
    </row>
    <row r="177" spans="1:7" x14ac:dyDescent="0.25">
      <c r="A177" s="251" t="s">
        <v>312</v>
      </c>
      <c r="B177" s="251"/>
      <c r="C177" s="251"/>
      <c r="D177" s="251"/>
      <c r="E177" s="251"/>
    </row>
    <row r="178" spans="1:7" ht="22.5" customHeight="1" x14ac:dyDescent="0.25">
      <c r="A178" s="107">
        <f>A176+1</f>
        <v>11</v>
      </c>
      <c r="B178" s="14" t="s">
        <v>313</v>
      </c>
      <c r="C178" s="118" t="s">
        <v>314</v>
      </c>
      <c r="D178" s="126" t="s">
        <v>371</v>
      </c>
      <c r="E178" s="97" t="s">
        <v>20</v>
      </c>
    </row>
    <row r="179" spans="1:7" ht="22.5" customHeight="1" x14ac:dyDescent="0.25">
      <c r="A179" s="107">
        <f>A178+1</f>
        <v>12</v>
      </c>
      <c r="B179" s="14" t="s">
        <v>315</v>
      </c>
      <c r="C179" s="118" t="s">
        <v>316</v>
      </c>
      <c r="D179" s="126" t="s">
        <v>250</v>
      </c>
      <c r="E179" s="97" t="s">
        <v>509</v>
      </c>
      <c r="G179" s="133" t="s">
        <v>538</v>
      </c>
    </row>
    <row r="180" spans="1:7" ht="22.5" customHeight="1" x14ac:dyDescent="0.25">
      <c r="A180" s="107">
        <f>A179+1</f>
        <v>13</v>
      </c>
      <c r="B180" s="14" t="s">
        <v>317</v>
      </c>
      <c r="C180" s="118" t="s">
        <v>318</v>
      </c>
      <c r="D180" s="126" t="s">
        <v>247</v>
      </c>
      <c r="E180" s="97" t="s">
        <v>509</v>
      </c>
      <c r="G180" s="133" t="s">
        <v>538</v>
      </c>
    </row>
    <row r="181" spans="1:7" x14ac:dyDescent="0.25">
      <c r="A181" s="251" t="s">
        <v>264</v>
      </c>
      <c r="B181" s="251"/>
      <c r="C181" s="251"/>
      <c r="D181" s="251"/>
      <c r="E181" s="251"/>
    </row>
    <row r="182" spans="1:7" ht="22.5" customHeight="1" x14ac:dyDescent="0.25">
      <c r="A182" s="107">
        <f>A180+1</f>
        <v>14</v>
      </c>
      <c r="B182" s="14" t="s">
        <v>319</v>
      </c>
      <c r="C182" s="111" t="s">
        <v>320</v>
      </c>
      <c r="D182" s="126" t="s">
        <v>274</v>
      </c>
      <c r="E182" s="97" t="s">
        <v>35</v>
      </c>
      <c r="F182" s="93">
        <f>+A182/C185</f>
        <v>0.10071942446043165</v>
      </c>
    </row>
    <row r="183" spans="1:7" x14ac:dyDescent="0.25">
      <c r="B183" s="15"/>
      <c r="C183" s="113"/>
      <c r="D183" s="123"/>
      <c r="F183" s="93"/>
    </row>
    <row r="185" spans="1:7" ht="19.5" x14ac:dyDescent="0.25">
      <c r="B185" s="16" t="s">
        <v>323</v>
      </c>
      <c r="C185" s="119">
        <f>A182+A161+A112+A58+A43+A14</f>
        <v>139</v>
      </c>
      <c r="F185" s="93">
        <f>F182+F161+F112+F58+F41+F14+F43</f>
        <v>1</v>
      </c>
    </row>
    <row r="186" spans="1:7" ht="19.5" hidden="1" x14ac:dyDescent="0.25">
      <c r="A186" s="252" t="s">
        <v>324</v>
      </c>
      <c r="B186" s="252"/>
      <c r="C186" s="252"/>
      <c r="D186" s="252"/>
      <c r="E186" s="252"/>
      <c r="F186" s="252"/>
    </row>
    <row r="187" spans="1:7" ht="15.75" hidden="1" x14ac:dyDescent="0.25">
      <c r="A187" s="248" t="s">
        <v>325</v>
      </c>
      <c r="B187" s="248"/>
      <c r="C187" s="248"/>
      <c r="D187" s="248"/>
      <c r="E187" s="248"/>
      <c r="F187" s="248"/>
    </row>
    <row r="188" spans="1:7" hidden="1" x14ac:dyDescent="0.25">
      <c r="A188" s="107">
        <v>1</v>
      </c>
      <c r="B188" s="14"/>
      <c r="C188" s="109" t="s">
        <v>326</v>
      </c>
      <c r="D188" s="126" t="s">
        <v>327</v>
      </c>
      <c r="E188" s="97" t="s">
        <v>212</v>
      </c>
      <c r="F188" s="93"/>
    </row>
    <row r="189" spans="1:7" hidden="1" x14ac:dyDescent="0.25">
      <c r="A189" s="107">
        <v>2</v>
      </c>
      <c r="B189" s="14"/>
      <c r="C189" s="109" t="s">
        <v>328</v>
      </c>
      <c r="D189" s="126" t="s">
        <v>329</v>
      </c>
      <c r="E189" s="97" t="s">
        <v>212</v>
      </c>
      <c r="F189" s="93"/>
    </row>
    <row r="190" spans="1:7" hidden="1" x14ac:dyDescent="0.25">
      <c r="A190" s="107">
        <v>3</v>
      </c>
      <c r="B190" s="14"/>
      <c r="C190" s="109" t="s">
        <v>330</v>
      </c>
      <c r="D190" s="126" t="s">
        <v>331</v>
      </c>
      <c r="E190" s="97" t="s">
        <v>212</v>
      </c>
      <c r="F190" s="93"/>
    </row>
    <row r="191" spans="1:7" hidden="1" x14ac:dyDescent="0.25">
      <c r="A191" s="107">
        <v>4</v>
      </c>
      <c r="B191" s="14"/>
      <c r="C191" s="109" t="s">
        <v>332</v>
      </c>
      <c r="D191" s="126" t="s">
        <v>333</v>
      </c>
      <c r="E191" s="97" t="s">
        <v>212</v>
      </c>
      <c r="F191" s="93"/>
    </row>
    <row r="192" spans="1:7" hidden="1" x14ac:dyDescent="0.25">
      <c r="B192" s="15"/>
      <c r="C192" s="120"/>
      <c r="D192" s="123"/>
      <c r="F192" s="93"/>
    </row>
    <row r="193" spans="1:6" ht="15.75" hidden="1" x14ac:dyDescent="0.25">
      <c r="A193" s="96"/>
      <c r="B193" s="24"/>
      <c r="C193" s="121"/>
      <c r="D193" s="129"/>
      <c r="E193" s="101"/>
      <c r="F193" s="94"/>
    </row>
    <row r="194" spans="1:6" ht="15.75" x14ac:dyDescent="0.25">
      <c r="A194" s="96"/>
      <c r="B194" s="24"/>
      <c r="C194" s="56">
        <v>2</v>
      </c>
      <c r="D194" s="148" t="s">
        <v>547</v>
      </c>
      <c r="E194" s="101"/>
      <c r="F194" s="94"/>
    </row>
    <row r="195" spans="1:6" x14ac:dyDescent="0.25">
      <c r="A195" s="96"/>
      <c r="B195" s="17"/>
      <c r="C195" s="122"/>
      <c r="F195" s="94"/>
    </row>
    <row r="196" spans="1:6" x14ac:dyDescent="0.25">
      <c r="A196" s="96"/>
      <c r="B196" s="17"/>
      <c r="C196" s="122"/>
      <c r="F196" s="94"/>
    </row>
    <row r="197" spans="1:6" x14ac:dyDescent="0.25">
      <c r="A197" s="96"/>
      <c r="B197" s="114" t="s">
        <v>334</v>
      </c>
      <c r="C197" s="149"/>
      <c r="D197" s="114" t="s">
        <v>553</v>
      </c>
      <c r="F197" s="94"/>
    </row>
    <row r="198" spans="1:6" x14ac:dyDescent="0.25">
      <c r="A198" s="96"/>
      <c r="B198" s="114"/>
      <c r="C198" s="149"/>
      <c r="D198" s="114"/>
      <c r="F198" s="94"/>
    </row>
    <row r="199" spans="1:6" x14ac:dyDescent="0.25">
      <c r="A199" s="96"/>
      <c r="B199" s="114"/>
      <c r="C199" s="149"/>
      <c r="D199" s="114"/>
      <c r="F199" s="94"/>
    </row>
    <row r="200" spans="1:6" x14ac:dyDescent="0.25">
      <c r="A200" s="96"/>
      <c r="B200" s="150" t="s">
        <v>335</v>
      </c>
      <c r="C200" s="149"/>
      <c r="D200" s="150" t="s">
        <v>549</v>
      </c>
      <c r="F200" s="94"/>
    </row>
    <row r="201" spans="1:6" x14ac:dyDescent="0.25">
      <c r="A201" s="96"/>
      <c r="B201" s="59" t="s">
        <v>551</v>
      </c>
      <c r="C201" s="149"/>
      <c r="D201" s="59" t="s">
        <v>550</v>
      </c>
      <c r="F201" s="94"/>
    </row>
    <row r="202" spans="1:6" x14ac:dyDescent="0.25">
      <c r="A202" s="96"/>
      <c r="B202" s="59" t="s">
        <v>336</v>
      </c>
      <c r="C202" s="151"/>
      <c r="D202" s="59" t="s">
        <v>552</v>
      </c>
      <c r="E202" s="101"/>
      <c r="F202" s="94"/>
    </row>
    <row r="203" spans="1:6" ht="15.75" x14ac:dyDescent="0.25">
      <c r="A203" s="96"/>
      <c r="B203" s="24"/>
      <c r="C203" s="121"/>
      <c r="D203" s="129"/>
      <c r="E203" s="101"/>
      <c r="F203" s="94"/>
    </row>
    <row r="204" spans="1:6" x14ac:dyDescent="0.25">
      <c r="A204" s="96"/>
      <c r="B204" s="114" t="s">
        <v>548</v>
      </c>
      <c r="C204" s="149"/>
      <c r="D204" s="114"/>
      <c r="F204" s="94"/>
    </row>
    <row r="205" spans="1:6" x14ac:dyDescent="0.25">
      <c r="B205" s="3"/>
    </row>
    <row r="206" spans="1:6" x14ac:dyDescent="0.25">
      <c r="B206" s="3"/>
    </row>
    <row r="207" spans="1:6" x14ac:dyDescent="0.25">
      <c r="A207" s="96"/>
      <c r="B207" s="150" t="s">
        <v>554</v>
      </c>
      <c r="C207" s="149"/>
      <c r="D207" s="150"/>
      <c r="F207" s="94"/>
    </row>
    <row r="208" spans="1:6" x14ac:dyDescent="0.25">
      <c r="A208" s="96"/>
      <c r="B208" s="59" t="s">
        <v>555</v>
      </c>
      <c r="C208" s="149"/>
      <c r="D208" s="59"/>
      <c r="F208" s="94"/>
    </row>
    <row r="209" spans="1:6" x14ac:dyDescent="0.25">
      <c r="A209" s="96"/>
      <c r="B209" s="59" t="s">
        <v>556</v>
      </c>
      <c r="C209" s="149"/>
      <c r="D209" s="59"/>
      <c r="F209" s="94"/>
    </row>
    <row r="212" spans="1:6" x14ac:dyDescent="0.25">
      <c r="A212" s="108"/>
      <c r="B212" s="3"/>
      <c r="D212" s="130"/>
      <c r="E212" s="102"/>
      <c r="F212" s="91"/>
    </row>
  </sheetData>
  <mergeCells count="31">
    <mergeCell ref="A26:E26"/>
    <mergeCell ref="A6:F6"/>
    <mergeCell ref="A7:F7"/>
    <mergeCell ref="A19:E19"/>
    <mergeCell ref="A10:E10"/>
    <mergeCell ref="A16:E16"/>
    <mergeCell ref="A114:E114"/>
    <mergeCell ref="A96:E96"/>
    <mergeCell ref="A27:E27"/>
    <mergeCell ref="A32:E32"/>
    <mergeCell ref="A35:E35"/>
    <mergeCell ref="A38:E38"/>
    <mergeCell ref="A48:E48"/>
    <mergeCell ref="A55:E55"/>
    <mergeCell ref="A63:E63"/>
    <mergeCell ref="A65:E65"/>
    <mergeCell ref="A90:E90"/>
    <mergeCell ref="A51:E51"/>
    <mergeCell ref="A60:E60"/>
    <mergeCell ref="A45:E45"/>
    <mergeCell ref="A187:F187"/>
    <mergeCell ref="A116:E116"/>
    <mergeCell ref="A133:E133"/>
    <mergeCell ref="A148:E148"/>
    <mergeCell ref="A163:D163"/>
    <mergeCell ref="A165:E165"/>
    <mergeCell ref="A171:E171"/>
    <mergeCell ref="A173:E173"/>
    <mergeCell ref="A177:E177"/>
    <mergeCell ref="A181:E181"/>
    <mergeCell ref="A186:F186"/>
  </mergeCells>
  <printOptions horizontalCentered="1"/>
  <pageMargins left="0.31496062992125984" right="0.11811023622047245" top="0.27559055118110237" bottom="0.35433070866141736" header="0.31496062992125984" footer="0.31496062992125984"/>
  <pageSetup paperSize="14" scale="77" orientation="portrait" r:id="rId1"/>
  <rowBreaks count="3" manualBreakCount="3">
    <brk id="58" max="6" man="1"/>
    <brk id="106" max="6" man="1"/>
    <brk id="15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4039-FDD8-4573-888C-EF57DEA3EA44}">
  <sheetPr>
    <tabColor rgb="FFFF0000"/>
    <pageSetUpPr fitToPage="1"/>
  </sheetPr>
  <dimension ref="A1:U952"/>
  <sheetViews>
    <sheetView view="pageBreakPreview" topLeftCell="A71" zoomScale="85" zoomScaleNormal="115" zoomScaleSheetLayoutView="85" workbookViewId="0">
      <selection activeCell="C100" sqref="C100"/>
    </sheetView>
  </sheetViews>
  <sheetFormatPr defaultColWidth="14.42578125" defaultRowHeight="15" customHeight="1" x14ac:dyDescent="0.25"/>
  <cols>
    <col min="1" max="1" width="5.28515625" style="3" customWidth="1"/>
    <col min="2" max="2" width="35.28515625" style="3" customWidth="1"/>
    <col min="3" max="3" width="45.140625" style="3" customWidth="1"/>
    <col min="4" max="4" width="5.140625" style="3" customWidth="1"/>
    <col min="5" max="5" width="27.140625" style="3" customWidth="1"/>
    <col min="6" max="6" width="9.140625" style="3" customWidth="1"/>
    <col min="7" max="8" width="3.42578125" style="3" customWidth="1"/>
    <col min="9" max="21" width="9.140625" style="3" customWidth="1"/>
    <col min="22" max="16384" width="14.42578125" style="3"/>
  </cols>
  <sheetData>
    <row r="1" spans="1:21" ht="6" customHeight="1" x14ac:dyDescent="0.25">
      <c r="A1" s="29"/>
      <c r="B1" s="29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16.5" customHeight="1" x14ac:dyDescent="0.25">
      <c r="A2" s="73" t="s">
        <v>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16.5" customHeight="1" x14ac:dyDescent="0.25">
      <c r="A3" s="81" t="s">
        <v>474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6.5" customHeight="1" x14ac:dyDescent="0.25">
      <c r="A4" s="77" t="s">
        <v>389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1:21" ht="16.5" customHeight="1" x14ac:dyDescent="0.25">
      <c r="A5" s="72" t="s">
        <v>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ht="16.5" customHeight="1" x14ac:dyDescent="0.25">
      <c r="A6" s="7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16.5" customHeight="1" x14ac:dyDescent="0.25">
      <c r="A7" s="71" t="s">
        <v>502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ht="16.5" customHeight="1" x14ac:dyDescent="0.25">
      <c r="A8" s="71" t="s">
        <v>390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3" customHeight="1" x14ac:dyDescent="0.25">
      <c r="A9" s="31"/>
      <c r="B9" s="31"/>
      <c r="C9" s="32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ht="16.5" customHeight="1" x14ac:dyDescent="0.25">
      <c r="A10" s="33" t="s">
        <v>391</v>
      </c>
      <c r="B10" s="33"/>
      <c r="C10" s="34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ht="15.75" customHeight="1" x14ac:dyDescent="0.25">
      <c r="A11" s="35" t="s">
        <v>392</v>
      </c>
      <c r="B11" s="35" t="s">
        <v>393</v>
      </c>
      <c r="C11" s="36" t="s">
        <v>394</v>
      </c>
      <c r="D11" s="36" t="s">
        <v>395</v>
      </c>
      <c r="E11" s="37" t="s">
        <v>396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21" ht="16.5" customHeight="1" x14ac:dyDescent="0.25">
      <c r="A12" s="38">
        <v>1</v>
      </c>
      <c r="B12" s="39" t="s">
        <v>10</v>
      </c>
      <c r="C12" s="40" t="s">
        <v>397</v>
      </c>
      <c r="D12" s="41"/>
      <c r="E12" s="42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16.5" customHeight="1" x14ac:dyDescent="0.25">
      <c r="A13" s="38">
        <f t="shared" ref="A13:A23" si="0">A12+1</f>
        <v>2</v>
      </c>
      <c r="B13" s="43" t="s">
        <v>47</v>
      </c>
      <c r="C13" s="44" t="s">
        <v>398</v>
      </c>
      <c r="D13" s="45">
        <v>6</v>
      </c>
      <c r="E13" s="4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33" customHeight="1" x14ac:dyDescent="0.25">
      <c r="A14" s="38">
        <f>A13+1</f>
        <v>3</v>
      </c>
      <c r="B14" s="43" t="s">
        <v>211</v>
      </c>
      <c r="C14" s="44" t="s">
        <v>399</v>
      </c>
      <c r="D14" s="45">
        <v>8</v>
      </c>
      <c r="E14" s="4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16.5" customHeight="1" x14ac:dyDescent="0.25">
      <c r="A15" s="38">
        <f t="shared" si="0"/>
        <v>4</v>
      </c>
      <c r="B15" s="46" t="s">
        <v>192</v>
      </c>
      <c r="C15" s="44" t="s">
        <v>400</v>
      </c>
      <c r="D15" s="45">
        <v>9</v>
      </c>
      <c r="E15" s="42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16.5" customHeight="1" x14ac:dyDescent="0.25">
      <c r="A16" s="38">
        <f t="shared" si="0"/>
        <v>5</v>
      </c>
      <c r="B16" s="46" t="s">
        <v>503</v>
      </c>
      <c r="C16" s="44" t="s">
        <v>504</v>
      </c>
      <c r="D16" s="45">
        <v>9</v>
      </c>
      <c r="E16" s="82" t="s">
        <v>505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ht="16.5" customHeight="1" x14ac:dyDescent="0.25">
      <c r="A17" s="38">
        <f>A16+1</f>
        <v>6</v>
      </c>
      <c r="B17" s="43" t="s">
        <v>91</v>
      </c>
      <c r="C17" s="44" t="s">
        <v>401</v>
      </c>
      <c r="D17" s="45">
        <v>7</v>
      </c>
      <c r="E17" s="4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ht="25.5" customHeight="1" x14ac:dyDescent="0.25">
      <c r="A18" s="38">
        <f t="shared" si="0"/>
        <v>7</v>
      </c>
      <c r="B18" s="43" t="s">
        <v>402</v>
      </c>
      <c r="C18" s="44" t="s">
        <v>403</v>
      </c>
      <c r="D18" s="45">
        <v>10</v>
      </c>
      <c r="E18" s="42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ht="16.5" customHeight="1" x14ac:dyDescent="0.25">
      <c r="A19" s="38">
        <f t="shared" si="0"/>
        <v>8</v>
      </c>
      <c r="B19" s="43" t="s">
        <v>404</v>
      </c>
      <c r="C19" s="44" t="s">
        <v>405</v>
      </c>
      <c r="D19" s="45">
        <v>5</v>
      </c>
      <c r="E19" s="42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6.5" customHeight="1" x14ac:dyDescent="0.25">
      <c r="A20" s="38">
        <f t="shared" si="0"/>
        <v>9</v>
      </c>
      <c r="B20" s="43" t="s">
        <v>50</v>
      </c>
      <c r="C20" s="44" t="s">
        <v>398</v>
      </c>
      <c r="D20" s="45">
        <v>6</v>
      </c>
      <c r="E20" s="42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16.5" customHeight="1" x14ac:dyDescent="0.25">
      <c r="A21" s="38">
        <f t="shared" si="0"/>
        <v>10</v>
      </c>
      <c r="B21" s="47" t="s">
        <v>406</v>
      </c>
      <c r="C21" s="40" t="s">
        <v>407</v>
      </c>
      <c r="D21" s="41">
        <v>9</v>
      </c>
      <c r="E21" s="42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16.5" customHeight="1" x14ac:dyDescent="0.25">
      <c r="A22" s="38">
        <f t="shared" si="0"/>
        <v>11</v>
      </c>
      <c r="B22" s="39" t="s">
        <v>269</v>
      </c>
      <c r="C22" s="40" t="s">
        <v>408</v>
      </c>
      <c r="D22" s="41">
        <v>9</v>
      </c>
      <c r="E22" s="42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ht="16.5" customHeight="1" x14ac:dyDescent="0.25">
      <c r="A23" s="38">
        <f t="shared" si="0"/>
        <v>12</v>
      </c>
      <c r="B23" s="43" t="s">
        <v>238</v>
      </c>
      <c r="C23" s="44" t="s">
        <v>409</v>
      </c>
      <c r="D23" s="45">
        <v>8</v>
      </c>
      <c r="E23" s="4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 ht="16.5" customHeight="1" x14ac:dyDescent="0.25">
      <c r="A24" s="29"/>
      <c r="B24" s="73"/>
      <c r="C24" s="57"/>
      <c r="D24" s="69"/>
      <c r="E24" s="74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ht="16.5" customHeight="1" x14ac:dyDescent="0.25">
      <c r="A25" s="48" t="s">
        <v>410</v>
      </c>
      <c r="B25" s="29"/>
      <c r="C25" s="30"/>
      <c r="D25" s="29"/>
      <c r="E25" s="4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ht="28.5" customHeight="1" x14ac:dyDescent="0.25">
      <c r="A26" s="35" t="s">
        <v>392</v>
      </c>
      <c r="B26" s="35" t="s">
        <v>393</v>
      </c>
      <c r="C26" s="36" t="s">
        <v>394</v>
      </c>
      <c r="D26" s="35" t="s">
        <v>395</v>
      </c>
      <c r="E26" s="78" t="s">
        <v>396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spans="1:21" ht="28.5" customHeight="1" x14ac:dyDescent="0.25">
      <c r="A27" s="70" t="s">
        <v>472</v>
      </c>
      <c r="B27" s="70"/>
      <c r="C27" s="70"/>
      <c r="D27" s="70"/>
      <c r="E27" s="33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21" ht="16.5" customHeight="1" x14ac:dyDescent="0.25">
      <c r="A28" s="50">
        <v>1</v>
      </c>
      <c r="B28" s="46" t="s">
        <v>71</v>
      </c>
      <c r="C28" s="44" t="s">
        <v>411</v>
      </c>
      <c r="D28" s="45">
        <v>8</v>
      </c>
      <c r="E28" s="51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ht="16.5" customHeight="1" x14ac:dyDescent="0.25">
      <c r="A29" s="50">
        <v>2</v>
      </c>
      <c r="B29" s="46" t="s">
        <v>306</v>
      </c>
      <c r="C29" s="44" t="s">
        <v>400</v>
      </c>
      <c r="D29" s="45">
        <v>9</v>
      </c>
      <c r="E29" s="51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ht="16.5" customHeight="1" x14ac:dyDescent="0.25">
      <c r="A30" s="50">
        <v>3</v>
      </c>
      <c r="B30" s="46" t="s">
        <v>178</v>
      </c>
      <c r="C30" s="44" t="s">
        <v>412</v>
      </c>
      <c r="D30" s="45">
        <v>10</v>
      </c>
      <c r="E30" s="51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ht="16.5" customHeight="1" x14ac:dyDescent="0.25">
      <c r="A31" s="50">
        <v>4</v>
      </c>
      <c r="B31" s="61" t="s">
        <v>258</v>
      </c>
      <c r="C31" s="44" t="s">
        <v>439</v>
      </c>
      <c r="D31" s="52">
        <v>8</v>
      </c>
      <c r="E31" s="54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16.5" customHeight="1" x14ac:dyDescent="0.25">
      <c r="A32" s="50">
        <v>5</v>
      </c>
      <c r="B32" s="46" t="s">
        <v>413</v>
      </c>
      <c r="C32" s="44" t="s">
        <v>414</v>
      </c>
      <c r="D32" s="45">
        <v>11</v>
      </c>
      <c r="E32" s="54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6.5" customHeight="1" x14ac:dyDescent="0.25">
      <c r="A33" s="50">
        <v>6</v>
      </c>
      <c r="B33" s="46" t="s">
        <v>102</v>
      </c>
      <c r="C33" s="44" t="s">
        <v>417</v>
      </c>
      <c r="D33" s="52">
        <v>10</v>
      </c>
      <c r="E33" s="53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6.5" customHeight="1" x14ac:dyDescent="0.25">
      <c r="A34" s="50">
        <v>7</v>
      </c>
      <c r="B34" s="46" t="s">
        <v>418</v>
      </c>
      <c r="C34" s="44" t="s">
        <v>419</v>
      </c>
      <c r="D34" s="52">
        <v>8</v>
      </c>
      <c r="E34" s="53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6.5" customHeight="1" x14ac:dyDescent="0.25">
      <c r="A35" s="50">
        <v>8</v>
      </c>
      <c r="B35" s="46" t="s">
        <v>168</v>
      </c>
      <c r="C35" s="44" t="s">
        <v>420</v>
      </c>
      <c r="D35" s="52">
        <v>7</v>
      </c>
      <c r="E35" s="53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6.5" customHeight="1" x14ac:dyDescent="0.25">
      <c r="A36" s="50">
        <v>9</v>
      </c>
      <c r="B36" s="46" t="s">
        <v>421</v>
      </c>
      <c r="C36" s="44" t="s">
        <v>422</v>
      </c>
      <c r="D36" s="52">
        <v>9</v>
      </c>
      <c r="E36" s="53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6.5" customHeight="1" x14ac:dyDescent="0.25">
      <c r="A37" s="50">
        <v>10</v>
      </c>
      <c r="B37" s="46" t="s">
        <v>423</v>
      </c>
      <c r="C37" s="44" t="s">
        <v>424</v>
      </c>
      <c r="D37" s="52">
        <v>9</v>
      </c>
      <c r="E37" s="53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6.5" customHeight="1" x14ac:dyDescent="0.25">
      <c r="A38" s="50">
        <v>11</v>
      </c>
      <c r="B38" s="46" t="s">
        <v>181</v>
      </c>
      <c r="C38" s="44" t="s">
        <v>420</v>
      </c>
      <c r="D38" s="52">
        <v>7</v>
      </c>
      <c r="E38" s="53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6.5" customHeight="1" x14ac:dyDescent="0.25">
      <c r="A39" s="50">
        <v>12</v>
      </c>
      <c r="B39" s="46" t="s">
        <v>183</v>
      </c>
      <c r="C39" s="44" t="s">
        <v>412</v>
      </c>
      <c r="D39" s="52">
        <v>10</v>
      </c>
      <c r="E39" s="53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ht="27" customHeight="1" x14ac:dyDescent="0.25">
      <c r="A40" s="50">
        <v>13</v>
      </c>
      <c r="B40" s="46" t="s">
        <v>241</v>
      </c>
      <c r="C40" s="44" t="s">
        <v>426</v>
      </c>
      <c r="D40" s="52">
        <v>10</v>
      </c>
      <c r="E40" s="7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16.5" customHeight="1" x14ac:dyDescent="0.25">
      <c r="A41" s="50">
        <v>14</v>
      </c>
      <c r="B41" s="46" t="s">
        <v>427</v>
      </c>
      <c r="C41" s="44" t="s">
        <v>428</v>
      </c>
      <c r="D41" s="52">
        <v>10</v>
      </c>
      <c r="E41" s="53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spans="1:21" ht="16.5" customHeight="1" x14ac:dyDescent="0.25">
      <c r="A42" s="50">
        <v>15</v>
      </c>
      <c r="B42" s="46" t="s">
        <v>185</v>
      </c>
      <c r="C42" s="44" t="s">
        <v>420</v>
      </c>
      <c r="D42" s="52">
        <v>7</v>
      </c>
      <c r="E42" s="53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spans="1:21" ht="16.5" customHeight="1" x14ac:dyDescent="0.25">
      <c r="A43" s="50">
        <v>16</v>
      </c>
      <c r="B43" s="46" t="s">
        <v>187</v>
      </c>
      <c r="C43" s="44" t="s">
        <v>400</v>
      </c>
      <c r="D43" s="52">
        <v>9</v>
      </c>
      <c r="E43" s="53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spans="1:21" ht="16.5" customHeight="1" x14ac:dyDescent="0.25">
      <c r="A44" s="50">
        <v>17</v>
      </c>
      <c r="B44" s="46" t="s">
        <v>165</v>
      </c>
      <c r="C44" s="44" t="s">
        <v>429</v>
      </c>
      <c r="D44" s="52">
        <v>8</v>
      </c>
      <c r="E44" s="53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6.5" customHeight="1" x14ac:dyDescent="0.25">
      <c r="A45" s="50">
        <v>18</v>
      </c>
      <c r="B45" s="46" t="s">
        <v>431</v>
      </c>
      <c r="C45" s="44" t="s">
        <v>400</v>
      </c>
      <c r="D45" s="52">
        <v>9</v>
      </c>
      <c r="E45" s="53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spans="1:21" ht="16.5" customHeight="1" x14ac:dyDescent="0.25">
      <c r="A46" s="50">
        <v>19</v>
      </c>
      <c r="B46" s="46" t="s">
        <v>433</v>
      </c>
      <c r="C46" s="44" t="s">
        <v>400</v>
      </c>
      <c r="D46" s="52">
        <v>9</v>
      </c>
      <c r="E46" s="53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spans="1:21" ht="28.5" customHeight="1" x14ac:dyDescent="0.25">
      <c r="A47" s="70" t="s">
        <v>473</v>
      </c>
      <c r="B47" s="70"/>
      <c r="C47" s="70"/>
      <c r="D47" s="70"/>
      <c r="E47" s="33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 spans="1:21" ht="16.5" customHeight="1" x14ac:dyDescent="0.25">
      <c r="A48" s="50">
        <v>1</v>
      </c>
      <c r="B48" s="46" t="s">
        <v>294</v>
      </c>
      <c r="C48" s="44" t="s">
        <v>398</v>
      </c>
      <c r="D48" s="45">
        <v>6</v>
      </c>
      <c r="E48" s="51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16.5" customHeight="1" x14ac:dyDescent="0.25">
      <c r="A49" s="50">
        <v>2</v>
      </c>
      <c r="B49" s="46" t="s">
        <v>52</v>
      </c>
      <c r="C49" s="44" t="s">
        <v>398</v>
      </c>
      <c r="D49" s="45">
        <v>6</v>
      </c>
      <c r="E49" s="51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spans="1:21" ht="16.5" customHeight="1" x14ac:dyDescent="0.25">
      <c r="A50" s="50">
        <v>3</v>
      </c>
      <c r="B50" s="46" t="s">
        <v>30</v>
      </c>
      <c r="C50" s="44" t="s">
        <v>415</v>
      </c>
      <c r="D50" s="45">
        <v>5</v>
      </c>
      <c r="E50" s="51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spans="1:21" ht="16.5" customHeight="1" x14ac:dyDescent="0.25">
      <c r="A51" s="50">
        <v>4</v>
      </c>
      <c r="B51" s="46" t="s">
        <v>108</v>
      </c>
      <c r="C51" s="44" t="s">
        <v>416</v>
      </c>
      <c r="D51" s="52">
        <v>5</v>
      </c>
      <c r="E51" s="53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spans="1:21" ht="16.5" customHeight="1" x14ac:dyDescent="0.25">
      <c r="A52" s="50">
        <v>5</v>
      </c>
      <c r="B52" s="46" t="s">
        <v>77</v>
      </c>
      <c r="C52" s="44" t="s">
        <v>415</v>
      </c>
      <c r="D52" s="52">
        <v>5</v>
      </c>
      <c r="E52" s="53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1:21" ht="16.5" customHeight="1" x14ac:dyDescent="0.25">
      <c r="A53" s="50">
        <v>6</v>
      </c>
      <c r="B53" s="46" t="s">
        <v>111</v>
      </c>
      <c r="C53" s="44" t="s">
        <v>416</v>
      </c>
      <c r="D53" s="52">
        <v>5</v>
      </c>
      <c r="E53" s="53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spans="1:21" ht="16.5" customHeight="1" x14ac:dyDescent="0.25">
      <c r="A54" s="50">
        <v>7</v>
      </c>
      <c r="B54" s="46" t="s">
        <v>308</v>
      </c>
      <c r="C54" s="44" t="s">
        <v>425</v>
      </c>
      <c r="D54" s="52">
        <v>6</v>
      </c>
      <c r="E54" s="53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spans="1:21" ht="16.5" customHeight="1" x14ac:dyDescent="0.25">
      <c r="A55" s="50">
        <v>8</v>
      </c>
      <c r="B55" s="46" t="s">
        <v>113</v>
      </c>
      <c r="C55" s="44" t="s">
        <v>416</v>
      </c>
      <c r="D55" s="52">
        <v>5</v>
      </c>
      <c r="E55" s="53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spans="1:21" ht="16.5" customHeight="1" x14ac:dyDescent="0.25">
      <c r="A56" s="50">
        <v>9</v>
      </c>
      <c r="B56" s="46" t="s">
        <v>115</v>
      </c>
      <c r="C56" s="44" t="s">
        <v>430</v>
      </c>
      <c r="D56" s="52">
        <v>4</v>
      </c>
      <c r="E56" s="53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spans="1:21" ht="16.5" customHeight="1" x14ac:dyDescent="0.25">
      <c r="A57" s="50">
        <v>10</v>
      </c>
      <c r="B57" s="46" t="s">
        <v>271</v>
      </c>
      <c r="C57" s="44" t="s">
        <v>432</v>
      </c>
      <c r="D57" s="52">
        <v>5</v>
      </c>
      <c r="E57" s="53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21" ht="16.5" customHeight="1" x14ac:dyDescent="0.25">
      <c r="A58" s="50">
        <v>11</v>
      </c>
      <c r="B58" s="46" t="s">
        <v>14</v>
      </c>
      <c r="C58" s="44" t="s">
        <v>432</v>
      </c>
      <c r="D58" s="52">
        <v>5</v>
      </c>
      <c r="E58" s="53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spans="1:21" ht="16.5" customHeight="1" x14ac:dyDescent="0.25">
      <c r="A59" s="50">
        <v>12</v>
      </c>
      <c r="B59" s="46" t="s">
        <v>54</v>
      </c>
      <c r="C59" s="44" t="s">
        <v>398</v>
      </c>
      <c r="D59" s="52">
        <v>6</v>
      </c>
      <c r="E59" s="53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spans="1:21" ht="16.5" customHeight="1" x14ac:dyDescent="0.25">
      <c r="A60" s="38">
        <v>13</v>
      </c>
      <c r="B60" s="46" t="s">
        <v>296</v>
      </c>
      <c r="C60" s="75" t="s">
        <v>430</v>
      </c>
      <c r="D60" s="76">
        <v>4</v>
      </c>
      <c r="E60" s="53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spans="1:21" ht="16.5" customHeight="1" x14ac:dyDescent="0.25">
      <c r="A61" s="55"/>
      <c r="B61" s="56"/>
      <c r="C61" s="57"/>
      <c r="D61" s="58"/>
      <c r="E61" s="5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spans="1:21" ht="16.5" customHeight="1" x14ac:dyDescent="0.25">
      <c r="A62" s="48" t="s">
        <v>434</v>
      </c>
      <c r="B62" s="29"/>
      <c r="C62" s="30"/>
      <c r="D62" s="56"/>
      <c r="E62" s="5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spans="1:21" ht="30" customHeight="1" x14ac:dyDescent="0.25">
      <c r="A63" s="35" t="s">
        <v>392</v>
      </c>
      <c r="B63" s="35" t="s">
        <v>393</v>
      </c>
      <c r="C63" s="36" t="s">
        <v>394</v>
      </c>
      <c r="D63" s="60" t="s">
        <v>395</v>
      </c>
      <c r="E63" s="37" t="s">
        <v>396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 spans="1:21" ht="28.5" customHeight="1" x14ac:dyDescent="0.25">
      <c r="A64" s="70" t="s">
        <v>472</v>
      </c>
      <c r="B64" s="70"/>
      <c r="C64" s="70"/>
      <c r="D64" s="70"/>
      <c r="E64" s="3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spans="1:21" ht="16.5" customHeight="1" x14ac:dyDescent="0.25">
      <c r="A65" s="50">
        <v>1</v>
      </c>
      <c r="B65" s="43" t="s">
        <v>243</v>
      </c>
      <c r="C65" s="44" t="s">
        <v>435</v>
      </c>
      <c r="D65" s="52"/>
      <c r="E65" s="53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spans="1:21" ht="16.5" customHeight="1" x14ac:dyDescent="0.25">
      <c r="A66" s="50">
        <v>2</v>
      </c>
      <c r="B66" s="61" t="s">
        <v>246</v>
      </c>
      <c r="C66" s="44" t="s">
        <v>436</v>
      </c>
      <c r="D66" s="52"/>
      <c r="E66" s="53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ht="16.5" customHeight="1" x14ac:dyDescent="0.25">
      <c r="A67" s="50">
        <v>3</v>
      </c>
      <c r="B67" s="43" t="s">
        <v>33</v>
      </c>
      <c r="C67" s="44" t="s">
        <v>437</v>
      </c>
      <c r="D67" s="52"/>
      <c r="E67" s="53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21" ht="16.5" customHeight="1" x14ac:dyDescent="0.25">
      <c r="A68" s="50">
        <v>4</v>
      </c>
      <c r="B68" s="46" t="s">
        <v>200</v>
      </c>
      <c r="C68" s="44" t="s">
        <v>438</v>
      </c>
      <c r="D68" s="52"/>
      <c r="E68" s="53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ht="16.5" customHeight="1" x14ac:dyDescent="0.25">
      <c r="A69" s="50">
        <v>5</v>
      </c>
      <c r="B69" s="61" t="s">
        <v>249</v>
      </c>
      <c r="C69" s="44" t="s">
        <v>439</v>
      </c>
      <c r="D69" s="52"/>
      <c r="E69" s="53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ht="16.5" customHeight="1" x14ac:dyDescent="0.25">
      <c r="A70" s="50">
        <v>6</v>
      </c>
      <c r="B70" s="61" t="s">
        <v>252</v>
      </c>
      <c r="C70" s="44" t="s">
        <v>436</v>
      </c>
      <c r="D70" s="52"/>
      <c r="E70" s="53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21" ht="16.5" customHeight="1" x14ac:dyDescent="0.25">
      <c r="A71" s="50">
        <v>7</v>
      </c>
      <c r="B71" s="61" t="s">
        <v>254</v>
      </c>
      <c r="C71" s="44" t="s">
        <v>436</v>
      </c>
      <c r="D71" s="52"/>
      <c r="E71" s="53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spans="1:21" ht="16.5" customHeight="1" x14ac:dyDescent="0.25">
      <c r="A72" s="50">
        <v>8</v>
      </c>
      <c r="B72" s="61" t="s">
        <v>256</v>
      </c>
      <c r="C72" s="44" t="s">
        <v>436</v>
      </c>
      <c r="D72" s="52"/>
      <c r="E72" s="53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spans="1:21" ht="28.5" customHeight="1" x14ac:dyDescent="0.25">
      <c r="A73" s="70" t="s">
        <v>473</v>
      </c>
      <c r="B73" s="70"/>
      <c r="C73" s="70"/>
      <c r="D73" s="70"/>
      <c r="E73" s="33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 spans="1:21" ht="16.5" customHeight="1" x14ac:dyDescent="0.25">
      <c r="A74" s="50">
        <v>1</v>
      </c>
      <c r="B74" s="43" t="s">
        <v>217</v>
      </c>
      <c r="C74" s="44" t="s">
        <v>416</v>
      </c>
      <c r="D74" s="52"/>
      <c r="E74" s="53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spans="1:21" ht="16.5" customHeight="1" x14ac:dyDescent="0.25">
      <c r="A75" s="50">
        <v>2</v>
      </c>
      <c r="B75" s="43" t="s">
        <v>320</v>
      </c>
      <c r="C75" s="44" t="s">
        <v>432</v>
      </c>
      <c r="D75" s="52"/>
      <c r="E75" s="53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spans="1:21" ht="16.5" customHeight="1" x14ac:dyDescent="0.25">
      <c r="A76" s="38">
        <v>3</v>
      </c>
      <c r="B76" s="43" t="s">
        <v>273</v>
      </c>
      <c r="C76" s="75" t="s">
        <v>432</v>
      </c>
      <c r="D76" s="76"/>
      <c r="E76" s="53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spans="1:21" ht="16.5" customHeight="1" x14ac:dyDescent="0.25">
      <c r="A77" s="55"/>
      <c r="B77" s="73"/>
      <c r="C77" s="57"/>
      <c r="D77" s="58"/>
      <c r="E77" s="5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spans="1:21" ht="16.5" customHeight="1" x14ac:dyDescent="0.25">
      <c r="A78" s="48" t="s">
        <v>440</v>
      </c>
      <c r="B78" s="29"/>
      <c r="C78" s="30"/>
      <c r="D78" s="56"/>
      <c r="E78" s="5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1" ht="30.75" customHeight="1" x14ac:dyDescent="0.25">
      <c r="A79" s="35" t="s">
        <v>392</v>
      </c>
      <c r="B79" s="35" t="s">
        <v>393</v>
      </c>
      <c r="C79" s="36" t="s">
        <v>394</v>
      </c>
      <c r="D79" s="60" t="s">
        <v>395</v>
      </c>
      <c r="E79" s="37" t="s">
        <v>497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 spans="1:21" ht="16.5" customHeight="1" x14ac:dyDescent="0.25">
      <c r="A80" s="50">
        <v>1</v>
      </c>
      <c r="B80" s="43" t="s">
        <v>276</v>
      </c>
      <c r="C80" s="44" t="s">
        <v>430</v>
      </c>
      <c r="D80" s="52"/>
      <c r="E80" s="54"/>
      <c r="F80" s="29" t="s">
        <v>491</v>
      </c>
      <c r="G80" s="29"/>
      <c r="H80" s="29">
        <v>1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spans="1:21" ht="16.5" customHeight="1" x14ac:dyDescent="0.25">
      <c r="A81" s="50">
        <f t="shared" ref="A81:A116" si="1">A80+1</f>
        <v>2</v>
      </c>
      <c r="B81" s="43" t="s">
        <v>79</v>
      </c>
      <c r="C81" s="44" t="s">
        <v>441</v>
      </c>
      <c r="D81" s="52"/>
      <c r="E81" s="54" t="s">
        <v>499</v>
      </c>
      <c r="F81" s="29" t="s">
        <v>492</v>
      </c>
      <c r="G81" s="29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spans="1:21" ht="16.5" customHeight="1" x14ac:dyDescent="0.25">
      <c r="A82" s="50">
        <f t="shared" si="1"/>
        <v>3</v>
      </c>
      <c r="B82" s="43" t="s">
        <v>278</v>
      </c>
      <c r="C82" s="44" t="s">
        <v>420</v>
      </c>
      <c r="D82" s="52"/>
      <c r="E82" s="54"/>
      <c r="F82" s="29" t="s">
        <v>491</v>
      </c>
      <c r="G82" s="29"/>
      <c r="H82" s="29">
        <v>1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spans="1:21" ht="16.5" customHeight="1" x14ac:dyDescent="0.25">
      <c r="A83" s="50">
        <f>A82+1</f>
        <v>4</v>
      </c>
      <c r="B83" s="43" t="s">
        <v>383</v>
      </c>
      <c r="C83" s="44" t="s">
        <v>443</v>
      </c>
      <c r="D83" s="52"/>
      <c r="E83" s="54"/>
      <c r="F83" s="29" t="s">
        <v>492</v>
      </c>
      <c r="G83" s="29">
        <v>1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spans="1:21" ht="16.5" customHeight="1" x14ac:dyDescent="0.25">
      <c r="A84" s="50">
        <f t="shared" si="1"/>
        <v>5</v>
      </c>
      <c r="B84" s="43" t="s">
        <v>227</v>
      </c>
      <c r="C84" s="44" t="s">
        <v>442</v>
      </c>
      <c r="D84" s="52"/>
      <c r="E84" s="54"/>
      <c r="F84" s="29" t="s">
        <v>491</v>
      </c>
      <c r="G84" s="29"/>
      <c r="H84" s="29">
        <v>1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16.5" customHeight="1" x14ac:dyDescent="0.25">
      <c r="A85" s="50">
        <f t="shared" si="1"/>
        <v>6</v>
      </c>
      <c r="B85" s="43" t="s">
        <v>118</v>
      </c>
      <c r="C85" s="44" t="s">
        <v>416</v>
      </c>
      <c r="D85" s="52"/>
      <c r="E85" s="54"/>
      <c r="F85" s="29" t="s">
        <v>491</v>
      </c>
      <c r="G85" s="29"/>
      <c r="H85" s="29">
        <v>1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spans="1:21" ht="16.5" customHeight="1" x14ac:dyDescent="0.25">
      <c r="A86" s="50">
        <f t="shared" si="1"/>
        <v>7</v>
      </c>
      <c r="B86" s="43" t="s">
        <v>219</v>
      </c>
      <c r="C86" s="44" t="s">
        <v>443</v>
      </c>
      <c r="D86" s="52"/>
      <c r="E86" s="54"/>
      <c r="F86" s="29" t="s">
        <v>491</v>
      </c>
      <c r="G86" s="29"/>
      <c r="H86" s="29">
        <v>1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spans="1:21" ht="16.5" customHeight="1" x14ac:dyDescent="0.25">
      <c r="A87" s="50">
        <f t="shared" si="1"/>
        <v>8</v>
      </c>
      <c r="B87" s="43" t="s">
        <v>74</v>
      </c>
      <c r="C87" s="44" t="s">
        <v>443</v>
      </c>
      <c r="D87" s="52"/>
      <c r="E87" s="54"/>
      <c r="F87" s="29" t="s">
        <v>491</v>
      </c>
      <c r="G87" s="29"/>
      <c r="H87" s="29">
        <v>1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spans="1:21" ht="16.5" customHeight="1" x14ac:dyDescent="0.25">
      <c r="A88" s="50">
        <f t="shared" si="1"/>
        <v>9</v>
      </c>
      <c r="B88" s="43" t="s">
        <v>121</v>
      </c>
      <c r="C88" s="44" t="s">
        <v>425</v>
      </c>
      <c r="D88" s="52"/>
      <c r="E88" s="54"/>
      <c r="F88" s="29" t="s">
        <v>491</v>
      </c>
      <c r="G88" s="29"/>
      <c r="H88" s="29">
        <v>1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spans="1:21" ht="16.5" customHeight="1" x14ac:dyDescent="0.25">
      <c r="A89" s="50">
        <f t="shared" si="1"/>
        <v>10</v>
      </c>
      <c r="B89" s="61" t="s">
        <v>314</v>
      </c>
      <c r="C89" s="44" t="s">
        <v>444</v>
      </c>
      <c r="D89" s="52"/>
      <c r="E89" s="54"/>
      <c r="F89" s="29" t="s">
        <v>491</v>
      </c>
      <c r="G89" s="29"/>
      <c r="H89" s="29">
        <v>1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spans="1:21" ht="16.5" customHeight="1" x14ac:dyDescent="0.25">
      <c r="A90" s="50">
        <f t="shared" si="1"/>
        <v>11</v>
      </c>
      <c r="B90" s="43" t="s">
        <v>280</v>
      </c>
      <c r="C90" s="44" t="s">
        <v>420</v>
      </c>
      <c r="D90" s="52"/>
      <c r="E90" s="54"/>
      <c r="F90" s="29" t="s">
        <v>491</v>
      </c>
      <c r="G90" s="29"/>
      <c r="H90" s="29">
        <v>1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spans="1:21" ht="16.5" customHeight="1" x14ac:dyDescent="0.25">
      <c r="A91" s="50">
        <f t="shared" si="1"/>
        <v>12</v>
      </c>
      <c r="B91" s="43" t="s">
        <v>229</v>
      </c>
      <c r="C91" s="44" t="s">
        <v>442</v>
      </c>
      <c r="D91" s="52"/>
      <c r="E91" s="54"/>
      <c r="F91" s="29" t="s">
        <v>491</v>
      </c>
      <c r="G91" s="29"/>
      <c r="H91" s="29">
        <v>1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spans="1:21" ht="16.5" customHeight="1" x14ac:dyDescent="0.25">
      <c r="A92" s="50">
        <f t="shared" si="1"/>
        <v>13</v>
      </c>
      <c r="B92" s="43" t="s">
        <v>37</v>
      </c>
      <c r="C92" s="44" t="s">
        <v>445</v>
      </c>
      <c r="D92" s="52"/>
      <c r="E92" s="54"/>
      <c r="F92" s="29" t="s">
        <v>492</v>
      </c>
      <c r="G92" s="29">
        <v>1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spans="1:21" ht="16.5" customHeight="1" x14ac:dyDescent="0.25">
      <c r="A93" s="50">
        <f t="shared" si="1"/>
        <v>14</v>
      </c>
      <c r="B93" s="43" t="s">
        <v>298</v>
      </c>
      <c r="C93" s="44" t="s">
        <v>430</v>
      </c>
      <c r="D93" s="52"/>
      <c r="E93" s="54"/>
      <c r="F93" s="29" t="s">
        <v>491</v>
      </c>
      <c r="G93" s="29"/>
      <c r="H93" s="29">
        <v>1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spans="1:21" ht="16.5" customHeight="1" x14ac:dyDescent="0.25">
      <c r="A94" s="50">
        <f t="shared" si="1"/>
        <v>15</v>
      </c>
      <c r="B94" s="43" t="s">
        <v>123</v>
      </c>
      <c r="C94" s="44" t="s">
        <v>416</v>
      </c>
      <c r="D94" s="52"/>
      <c r="E94" s="54"/>
      <c r="F94" s="29" t="s">
        <v>491</v>
      </c>
      <c r="G94" s="29"/>
      <c r="H94" s="29">
        <v>1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spans="1:21" ht="16.5" customHeight="1" x14ac:dyDescent="0.25">
      <c r="A95" s="50">
        <f t="shared" si="1"/>
        <v>16</v>
      </c>
      <c r="B95" s="46" t="s">
        <v>189</v>
      </c>
      <c r="C95" s="44" t="s">
        <v>425</v>
      </c>
      <c r="D95" s="52"/>
      <c r="E95" s="54"/>
      <c r="F95" s="29" t="s">
        <v>491</v>
      </c>
      <c r="G95" s="29"/>
      <c r="H95" s="29">
        <v>1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spans="1:21" ht="16.5" customHeight="1" x14ac:dyDescent="0.25">
      <c r="A96" s="50">
        <f t="shared" si="1"/>
        <v>17</v>
      </c>
      <c r="B96" s="43" t="s">
        <v>125</v>
      </c>
      <c r="C96" s="44" t="s">
        <v>446</v>
      </c>
      <c r="D96" s="52"/>
      <c r="E96" s="54"/>
      <c r="F96" s="29" t="s">
        <v>491</v>
      </c>
      <c r="G96" s="29"/>
      <c r="H96" s="29">
        <v>1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spans="1:21" ht="16.5" customHeight="1" x14ac:dyDescent="0.25">
      <c r="A97" s="50">
        <f t="shared" si="1"/>
        <v>18</v>
      </c>
      <c r="B97" s="61" t="s">
        <v>259</v>
      </c>
      <c r="C97" s="44" t="s">
        <v>447</v>
      </c>
      <c r="D97" s="52"/>
      <c r="E97" s="54"/>
      <c r="F97" s="29" t="s">
        <v>491</v>
      </c>
      <c r="G97" s="29"/>
      <c r="H97" s="29">
        <v>1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spans="1:21" ht="16.5" customHeight="1" x14ac:dyDescent="0.25">
      <c r="A98" s="50">
        <f t="shared" si="1"/>
        <v>19</v>
      </c>
      <c r="B98" s="43" t="s">
        <v>127</v>
      </c>
      <c r="C98" s="44" t="s">
        <v>430</v>
      </c>
      <c r="D98" s="52"/>
      <c r="E98" s="54"/>
      <c r="F98" s="29" t="s">
        <v>491</v>
      </c>
      <c r="G98" s="29"/>
      <c r="H98" s="29">
        <v>1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spans="1:21" ht="16.5" customHeight="1" x14ac:dyDescent="0.25">
      <c r="A99" s="50">
        <f t="shared" si="1"/>
        <v>20</v>
      </c>
      <c r="B99" s="43" t="s">
        <v>18</v>
      </c>
      <c r="C99" s="44" t="s">
        <v>448</v>
      </c>
      <c r="D99" s="52"/>
      <c r="E99" s="54"/>
      <c r="F99" s="29" t="s">
        <v>492</v>
      </c>
      <c r="G99" s="29">
        <v>1</v>
      </c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spans="1:21" ht="16.5" customHeight="1" x14ac:dyDescent="0.25">
      <c r="A100" s="50">
        <f t="shared" si="1"/>
        <v>21</v>
      </c>
      <c r="B100" s="43" t="s">
        <v>57</v>
      </c>
      <c r="C100" s="44" t="s">
        <v>449</v>
      </c>
      <c r="D100" s="52"/>
      <c r="E100" s="54"/>
      <c r="F100" s="29" t="s">
        <v>491</v>
      </c>
      <c r="G100" s="29"/>
      <c r="H100" s="29">
        <v>1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spans="1:21" ht="16.5" customHeight="1" x14ac:dyDescent="0.25">
      <c r="A101" s="50">
        <f t="shared" si="1"/>
        <v>22</v>
      </c>
      <c r="B101" s="43" t="s">
        <v>130</v>
      </c>
      <c r="C101" s="44" t="s">
        <v>430</v>
      </c>
      <c r="D101" s="52"/>
      <c r="E101" s="54"/>
      <c r="F101" s="29" t="s">
        <v>491</v>
      </c>
      <c r="G101" s="29"/>
      <c r="H101" s="29">
        <v>1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spans="1:21" ht="16.5" customHeight="1" x14ac:dyDescent="0.25">
      <c r="A102" s="50">
        <f>A101+1</f>
        <v>23</v>
      </c>
      <c r="B102" s="43" t="s">
        <v>501</v>
      </c>
      <c r="C102" s="44" t="s">
        <v>442</v>
      </c>
      <c r="D102" s="52"/>
      <c r="E102" s="5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spans="1:21" ht="16.5" customHeight="1" x14ac:dyDescent="0.25">
      <c r="A103" s="50">
        <f>A102+1</f>
        <v>24</v>
      </c>
      <c r="B103" s="43" t="s">
        <v>59</v>
      </c>
      <c r="C103" s="44" t="s">
        <v>430</v>
      </c>
      <c r="D103" s="52"/>
      <c r="E103" s="54"/>
      <c r="F103" s="29" t="s">
        <v>491</v>
      </c>
      <c r="G103" s="29"/>
      <c r="H103" s="29">
        <v>1</v>
      </c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spans="1:21" ht="16.5" customHeight="1" x14ac:dyDescent="0.25">
      <c r="A104" s="50">
        <f t="shared" si="1"/>
        <v>25</v>
      </c>
      <c r="B104" s="46" t="s">
        <v>171</v>
      </c>
      <c r="C104" s="44" t="s">
        <v>400</v>
      </c>
      <c r="D104" s="52"/>
      <c r="E104" s="54"/>
      <c r="F104" s="29" t="s">
        <v>492</v>
      </c>
      <c r="G104" s="29">
        <v>1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spans="1:21" ht="16.5" customHeight="1" x14ac:dyDescent="0.25">
      <c r="A105" s="50">
        <f t="shared" si="1"/>
        <v>26</v>
      </c>
      <c r="B105" s="46" t="s">
        <v>470</v>
      </c>
      <c r="C105" s="44" t="s">
        <v>447</v>
      </c>
      <c r="D105" s="52"/>
      <c r="E105" s="54" t="s">
        <v>498</v>
      </c>
      <c r="F105" s="29" t="s">
        <v>492</v>
      </c>
      <c r="G105" s="29">
        <v>1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spans="1:21" ht="16.5" customHeight="1" x14ac:dyDescent="0.25">
      <c r="A106" s="50">
        <f t="shared" si="1"/>
        <v>27</v>
      </c>
      <c r="B106" s="43" t="s">
        <v>132</v>
      </c>
      <c r="C106" s="44" t="s">
        <v>450</v>
      </c>
      <c r="D106" s="52"/>
      <c r="E106" s="54"/>
      <c r="F106" s="29" t="s">
        <v>491</v>
      </c>
      <c r="G106" s="29"/>
      <c r="H106" s="29">
        <v>1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spans="1:21" ht="16.5" customHeight="1" x14ac:dyDescent="0.25">
      <c r="A107" s="50">
        <f t="shared" si="1"/>
        <v>28</v>
      </c>
      <c r="B107" s="43" t="s">
        <v>451</v>
      </c>
      <c r="C107" s="44" t="s">
        <v>442</v>
      </c>
      <c r="D107" s="52"/>
      <c r="E107" s="54"/>
      <c r="F107" s="29" t="s">
        <v>491</v>
      </c>
      <c r="G107" s="29"/>
      <c r="H107" s="29">
        <v>1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spans="1:21" ht="16.5" customHeight="1" x14ac:dyDescent="0.25">
      <c r="A108" s="50">
        <f t="shared" si="1"/>
        <v>29</v>
      </c>
      <c r="B108" s="43" t="s">
        <v>321</v>
      </c>
      <c r="C108" s="44" t="s">
        <v>443</v>
      </c>
      <c r="D108" s="52"/>
      <c r="E108" s="54"/>
      <c r="F108" s="29" t="s">
        <v>492</v>
      </c>
      <c r="G108" s="29">
        <v>1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spans="1:21" ht="16.5" customHeight="1" x14ac:dyDescent="0.25">
      <c r="A109" s="50">
        <f t="shared" si="1"/>
        <v>30</v>
      </c>
      <c r="B109" s="61" t="s">
        <v>261</v>
      </c>
      <c r="C109" s="44" t="s">
        <v>444</v>
      </c>
      <c r="D109" s="52"/>
      <c r="E109" s="54" t="s">
        <v>498</v>
      </c>
      <c r="F109" s="29" t="s">
        <v>492</v>
      </c>
      <c r="G109" s="29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spans="1:21" ht="16.5" customHeight="1" x14ac:dyDescent="0.25">
      <c r="A110" s="50">
        <f t="shared" si="1"/>
        <v>31</v>
      </c>
      <c r="B110" s="43" t="s">
        <v>194</v>
      </c>
      <c r="C110" s="44" t="s">
        <v>444</v>
      </c>
      <c r="D110" s="52"/>
      <c r="E110" s="54"/>
      <c r="F110" s="29" t="s">
        <v>491</v>
      </c>
      <c r="G110" s="29"/>
      <c r="H110" s="29">
        <v>1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spans="1:21" ht="16.5" customHeight="1" x14ac:dyDescent="0.25">
      <c r="A111" s="83">
        <f t="shared" si="1"/>
        <v>32</v>
      </c>
      <c r="B111" s="84" t="s">
        <v>99</v>
      </c>
      <c r="C111" s="85" t="s">
        <v>443</v>
      </c>
      <c r="D111" s="86"/>
      <c r="E111" s="87"/>
      <c r="F111" s="29" t="s">
        <v>492</v>
      </c>
      <c r="G111" s="29">
        <v>1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spans="1:21" ht="16.5" customHeight="1" x14ac:dyDescent="0.25">
      <c r="A112" s="50">
        <f t="shared" si="1"/>
        <v>33</v>
      </c>
      <c r="B112" s="43" t="s">
        <v>135</v>
      </c>
      <c r="C112" s="44" t="s">
        <v>416</v>
      </c>
      <c r="D112" s="52"/>
      <c r="E112" s="54"/>
      <c r="F112" s="29" t="s">
        <v>491</v>
      </c>
      <c r="G112" s="29"/>
      <c r="H112" s="29">
        <v>1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6.5" customHeight="1" x14ac:dyDescent="0.25">
      <c r="A113" s="50">
        <f t="shared" si="1"/>
        <v>34</v>
      </c>
      <c r="B113" s="43" t="s">
        <v>63</v>
      </c>
      <c r="C113" s="44" t="s">
        <v>430</v>
      </c>
      <c r="D113" s="52"/>
      <c r="E113" s="54"/>
      <c r="F113" s="29" t="s">
        <v>491</v>
      </c>
      <c r="G113" s="29"/>
      <c r="H113" s="29">
        <v>1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spans="1:21" ht="16.5" customHeight="1" x14ac:dyDescent="0.25">
      <c r="A114" s="50">
        <f t="shared" si="1"/>
        <v>35</v>
      </c>
      <c r="B114" s="43" t="s">
        <v>304</v>
      </c>
      <c r="C114" s="44" t="s">
        <v>446</v>
      </c>
      <c r="D114" s="52"/>
      <c r="E114" s="54"/>
      <c r="F114" s="29" t="s">
        <v>491</v>
      </c>
      <c r="G114" s="29"/>
      <c r="H114" s="29">
        <v>1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spans="1:21" ht="16.5" customHeight="1" x14ac:dyDescent="0.25">
      <c r="A115" s="50">
        <f t="shared" si="1"/>
        <v>36</v>
      </c>
      <c r="B115" s="61" t="s">
        <v>316</v>
      </c>
      <c r="C115" s="44" t="s">
        <v>439</v>
      </c>
      <c r="D115" s="52"/>
      <c r="E115" s="54"/>
      <c r="F115" s="29" t="s">
        <v>491</v>
      </c>
      <c r="G115" s="29"/>
      <c r="H115" s="29">
        <v>1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spans="1:21" ht="16.5" customHeight="1" x14ac:dyDescent="0.25">
      <c r="A116" s="50">
        <f t="shared" si="1"/>
        <v>37</v>
      </c>
      <c r="B116" s="46" t="s">
        <v>195</v>
      </c>
      <c r="C116" s="44" t="s">
        <v>425</v>
      </c>
      <c r="D116" s="52"/>
      <c r="E116" s="54"/>
      <c r="F116" s="29" t="s">
        <v>491</v>
      </c>
      <c r="G116" s="29"/>
      <c r="H116" s="29">
        <v>1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spans="1:21" ht="16.5" customHeight="1" x14ac:dyDescent="0.25">
      <c r="A117" s="48" t="s">
        <v>440</v>
      </c>
      <c r="B117" s="29"/>
      <c r="C117" s="30"/>
      <c r="D117" s="56"/>
      <c r="E117" s="5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spans="1:21" ht="30.75" customHeight="1" x14ac:dyDescent="0.25">
      <c r="A118" s="35" t="s">
        <v>392</v>
      </c>
      <c r="B118" s="35" t="s">
        <v>393</v>
      </c>
      <c r="C118" s="36" t="s">
        <v>394</v>
      </c>
      <c r="D118" s="60" t="s">
        <v>395</v>
      </c>
      <c r="E118" s="37" t="s">
        <v>471</v>
      </c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 spans="1:21" ht="16.5" customHeight="1" x14ac:dyDescent="0.25">
      <c r="A119" s="50">
        <f>A116+1</f>
        <v>38</v>
      </c>
      <c r="B119" s="46" t="s">
        <v>196</v>
      </c>
      <c r="C119" s="44" t="s">
        <v>425</v>
      </c>
      <c r="D119" s="52"/>
      <c r="E119" s="54"/>
      <c r="F119" s="29" t="s">
        <v>491</v>
      </c>
      <c r="G119" s="29"/>
      <c r="H119" s="29"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spans="1:21" ht="16.5" customHeight="1" x14ac:dyDescent="0.25">
      <c r="A120" s="50">
        <f>A119+1</f>
        <v>39</v>
      </c>
      <c r="B120" s="43" t="s">
        <v>94</v>
      </c>
      <c r="C120" s="44" t="s">
        <v>452</v>
      </c>
      <c r="D120" s="52"/>
      <c r="E120" s="54" t="s">
        <v>499</v>
      </c>
      <c r="F120" s="29" t="s">
        <v>492</v>
      </c>
      <c r="G120" s="29">
        <v>1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spans="1:21" ht="16.5" customHeight="1" x14ac:dyDescent="0.25">
      <c r="A121" s="50">
        <f t="shared" ref="A121:A164" si="2">A120+1</f>
        <v>40</v>
      </c>
      <c r="B121" s="46" t="s">
        <v>173</v>
      </c>
      <c r="C121" s="44" t="s">
        <v>425</v>
      </c>
      <c r="D121" s="52"/>
      <c r="E121" s="54" t="s">
        <v>498</v>
      </c>
      <c r="F121" s="29" t="s">
        <v>491</v>
      </c>
      <c r="G121" s="29"/>
      <c r="H121" s="29">
        <v>1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spans="1:21" ht="16.5" customHeight="1" x14ac:dyDescent="0.25">
      <c r="A122" s="50">
        <f t="shared" si="2"/>
        <v>41</v>
      </c>
      <c r="B122" s="43" t="s">
        <v>82</v>
      </c>
      <c r="C122" s="44" t="s">
        <v>453</v>
      </c>
      <c r="D122" s="52"/>
      <c r="E122" s="54" t="s">
        <v>499</v>
      </c>
      <c r="F122" s="29" t="s">
        <v>492</v>
      </c>
      <c r="G122" s="29">
        <v>1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spans="1:21" ht="16.5" customHeight="1" x14ac:dyDescent="0.25">
      <c r="A123" s="50">
        <f t="shared" si="2"/>
        <v>42</v>
      </c>
      <c r="B123" s="61" t="s">
        <v>318</v>
      </c>
      <c r="C123" s="44" t="s">
        <v>454</v>
      </c>
      <c r="D123" s="52"/>
      <c r="E123" s="54"/>
      <c r="F123" s="29" t="s">
        <v>491</v>
      </c>
      <c r="G123" s="29"/>
      <c r="H123" s="29">
        <v>1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spans="1:21" ht="16.5" customHeight="1" x14ac:dyDescent="0.25">
      <c r="A124" s="50">
        <f t="shared" si="2"/>
        <v>43</v>
      </c>
      <c r="B124" s="61" t="s">
        <v>221</v>
      </c>
      <c r="C124" s="44" t="s">
        <v>400</v>
      </c>
      <c r="D124" s="52"/>
      <c r="E124" s="54"/>
      <c r="F124" s="29" t="s">
        <v>491</v>
      </c>
      <c r="G124" s="29"/>
      <c r="H124" s="29">
        <v>1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spans="1:21" ht="16.5" customHeight="1" x14ac:dyDescent="0.25">
      <c r="A125" s="50">
        <f t="shared" si="2"/>
        <v>44</v>
      </c>
      <c r="B125" s="61" t="s">
        <v>468</v>
      </c>
      <c r="C125" s="44" t="s">
        <v>425</v>
      </c>
      <c r="D125" s="52"/>
      <c r="E125" s="54"/>
      <c r="F125" s="29" t="s">
        <v>491</v>
      </c>
      <c r="G125" s="29"/>
      <c r="H125" s="29">
        <v>1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spans="1:21" ht="16.5" customHeight="1" x14ac:dyDescent="0.25">
      <c r="A126" s="50">
        <f t="shared" si="2"/>
        <v>45</v>
      </c>
      <c r="B126" s="43" t="s">
        <v>137</v>
      </c>
      <c r="C126" s="44" t="s">
        <v>416</v>
      </c>
      <c r="D126" s="52"/>
      <c r="E126" s="54"/>
      <c r="F126" s="29" t="s">
        <v>491</v>
      </c>
      <c r="G126" s="29"/>
      <c r="H126" s="29">
        <v>1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spans="1:21" ht="16.5" customHeight="1" x14ac:dyDescent="0.25">
      <c r="A127" s="50">
        <f t="shared" si="2"/>
        <v>46</v>
      </c>
      <c r="B127" s="61" t="s">
        <v>222</v>
      </c>
      <c r="C127" s="44" t="s">
        <v>447</v>
      </c>
      <c r="D127" s="52"/>
      <c r="E127" s="54"/>
      <c r="F127" s="29" t="s">
        <v>491</v>
      </c>
      <c r="G127" s="29"/>
      <c r="H127" s="29">
        <v>1</v>
      </c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spans="1:21" ht="16.5" customHeight="1" x14ac:dyDescent="0.25">
      <c r="A128" s="50">
        <f t="shared" si="2"/>
        <v>47</v>
      </c>
      <c r="B128" s="43" t="s">
        <v>139</v>
      </c>
      <c r="C128" s="44" t="s">
        <v>430</v>
      </c>
      <c r="D128" s="52"/>
      <c r="E128" s="54"/>
      <c r="F128" s="29" t="s">
        <v>491</v>
      </c>
      <c r="G128" s="29"/>
      <c r="H128" s="29">
        <v>1</v>
      </c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spans="1:21" ht="16.5" customHeight="1" x14ac:dyDescent="0.25">
      <c r="A129" s="50">
        <f t="shared" si="2"/>
        <v>48</v>
      </c>
      <c r="B129" s="43" t="s">
        <v>64</v>
      </c>
      <c r="C129" s="44" t="s">
        <v>455</v>
      </c>
      <c r="D129" s="52"/>
      <c r="E129" s="54"/>
      <c r="F129" s="29" t="s">
        <v>491</v>
      </c>
      <c r="G129" s="29"/>
      <c r="H129" s="29">
        <v>1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spans="1:21" ht="16.5" customHeight="1" x14ac:dyDescent="0.25">
      <c r="A130" s="50">
        <f t="shared" si="2"/>
        <v>49</v>
      </c>
      <c r="B130" s="43" t="s">
        <v>141</v>
      </c>
      <c r="C130" s="44" t="s">
        <v>425</v>
      </c>
      <c r="D130" s="52"/>
      <c r="E130" s="54"/>
      <c r="F130" s="29" t="s">
        <v>491</v>
      </c>
      <c r="G130" s="29"/>
      <c r="H130" s="29">
        <v>1</v>
      </c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6.5" customHeight="1" x14ac:dyDescent="0.25">
      <c r="A131" s="50">
        <f t="shared" si="2"/>
        <v>50</v>
      </c>
      <c r="B131" s="43" t="s">
        <v>380</v>
      </c>
      <c r="C131" s="44" t="s">
        <v>456</v>
      </c>
      <c r="D131" s="52"/>
      <c r="E131" s="54"/>
      <c r="F131" s="29" t="s">
        <v>491</v>
      </c>
      <c r="G131" s="29"/>
      <c r="H131" s="29">
        <v>1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spans="1:21" ht="16.5" customHeight="1" x14ac:dyDescent="0.25">
      <c r="A132" s="50">
        <f t="shared" si="2"/>
        <v>51</v>
      </c>
      <c r="B132" s="46" t="s">
        <v>198</v>
      </c>
      <c r="C132" s="44" t="s">
        <v>420</v>
      </c>
      <c r="D132" s="52"/>
      <c r="E132" s="54"/>
      <c r="F132" s="29" t="s">
        <v>492</v>
      </c>
      <c r="G132" s="29">
        <v>1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spans="1:21" ht="16.5" customHeight="1" x14ac:dyDescent="0.25">
      <c r="A133" s="50">
        <f t="shared" si="2"/>
        <v>52</v>
      </c>
      <c r="B133" s="43" t="s">
        <v>39</v>
      </c>
      <c r="C133" s="44" t="s">
        <v>457</v>
      </c>
      <c r="D133" s="52"/>
      <c r="E133" s="54"/>
      <c r="F133" s="29" t="s">
        <v>491</v>
      </c>
      <c r="G133" s="29"/>
      <c r="H133" s="29">
        <v>1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spans="1:21" ht="16.5" customHeight="1" x14ac:dyDescent="0.25">
      <c r="A134" s="50">
        <f>A133+1</f>
        <v>53</v>
      </c>
      <c r="B134" s="43" t="s">
        <v>282</v>
      </c>
      <c r="C134" s="44" t="s">
        <v>432</v>
      </c>
      <c r="D134" s="52"/>
      <c r="E134" s="54"/>
      <c r="F134" s="29" t="s">
        <v>491</v>
      </c>
      <c r="G134" s="29"/>
      <c r="H134" s="29">
        <v>1</v>
      </c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6.5" customHeight="1" x14ac:dyDescent="0.25">
      <c r="A135" s="50">
        <f t="shared" si="2"/>
        <v>54</v>
      </c>
      <c r="B135" s="43" t="s">
        <v>84</v>
      </c>
      <c r="C135" s="44" t="s">
        <v>443</v>
      </c>
      <c r="D135" s="52"/>
      <c r="E135" s="54" t="s">
        <v>499</v>
      </c>
      <c r="F135" s="29" t="s">
        <v>491</v>
      </c>
      <c r="G135" s="29"/>
      <c r="H135" s="29">
        <v>1</v>
      </c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spans="1:21" ht="16.5" customHeight="1" x14ac:dyDescent="0.25">
      <c r="A136" s="50">
        <f t="shared" si="2"/>
        <v>55</v>
      </c>
      <c r="B136" s="43" t="s">
        <v>143</v>
      </c>
      <c r="C136" s="44" t="s">
        <v>416</v>
      </c>
      <c r="D136" s="52"/>
      <c r="E136" s="54"/>
      <c r="F136" s="29" t="s">
        <v>491</v>
      </c>
      <c r="G136" s="29"/>
      <c r="H136" s="29">
        <v>1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spans="1:21" ht="16.5" customHeight="1" x14ac:dyDescent="0.25">
      <c r="A137" s="50">
        <f t="shared" si="2"/>
        <v>56</v>
      </c>
      <c r="B137" s="43" t="s">
        <v>146</v>
      </c>
      <c r="C137" s="44" t="s">
        <v>430</v>
      </c>
      <c r="D137" s="52"/>
      <c r="E137" s="54"/>
      <c r="F137" s="29" t="s">
        <v>491</v>
      </c>
      <c r="G137" s="29"/>
      <c r="H137" s="29">
        <v>1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spans="1:21" ht="16.5" customHeight="1" x14ac:dyDescent="0.25">
      <c r="A138" s="50">
        <f t="shared" si="2"/>
        <v>57</v>
      </c>
      <c r="B138" s="61" t="s">
        <v>263</v>
      </c>
      <c r="C138" s="44" t="s">
        <v>444</v>
      </c>
      <c r="D138" s="52"/>
      <c r="E138" s="54"/>
      <c r="F138" s="29" t="s">
        <v>491</v>
      </c>
      <c r="G138" s="29"/>
      <c r="H138" s="29">
        <v>1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spans="1:21" ht="16.5" customHeight="1" x14ac:dyDescent="0.25">
      <c r="A139" s="50">
        <f t="shared" si="2"/>
        <v>58</v>
      </c>
      <c r="B139" s="43" t="s">
        <v>24</v>
      </c>
      <c r="C139" s="44" t="s">
        <v>458</v>
      </c>
      <c r="D139" s="52"/>
      <c r="E139" s="54"/>
      <c r="F139" s="29" t="s">
        <v>492</v>
      </c>
      <c r="G139" s="29">
        <v>1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spans="1:21" ht="16.5" customHeight="1" x14ac:dyDescent="0.25">
      <c r="A140" s="50">
        <f t="shared" si="2"/>
        <v>59</v>
      </c>
      <c r="B140" s="43" t="s">
        <v>148</v>
      </c>
      <c r="C140" s="44" t="s">
        <v>416</v>
      </c>
      <c r="D140" s="52"/>
      <c r="E140" s="54"/>
      <c r="F140" s="29" t="s">
        <v>491</v>
      </c>
      <c r="G140" s="29"/>
      <c r="H140" s="29">
        <v>1</v>
      </c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spans="1:21" ht="16.5" customHeight="1" x14ac:dyDescent="0.25">
      <c r="A141" s="50">
        <f t="shared" si="2"/>
        <v>60</v>
      </c>
      <c r="B141" s="43" t="s">
        <v>225</v>
      </c>
      <c r="C141" s="44" t="s">
        <v>400</v>
      </c>
      <c r="D141" s="52"/>
      <c r="E141" s="54"/>
      <c r="F141" s="29" t="s">
        <v>491</v>
      </c>
      <c r="G141" s="29"/>
      <c r="H141" s="29">
        <v>1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spans="1:21" ht="16.5" customHeight="1" x14ac:dyDescent="0.25">
      <c r="A142" s="50">
        <f t="shared" si="2"/>
        <v>61</v>
      </c>
      <c r="B142" s="46" t="s">
        <v>202</v>
      </c>
      <c r="C142" s="44" t="s">
        <v>420</v>
      </c>
      <c r="D142" s="52"/>
      <c r="E142" s="54" t="s">
        <v>498</v>
      </c>
      <c r="F142" s="29" t="s">
        <v>492</v>
      </c>
      <c r="G142" s="29">
        <v>1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spans="1:21" ht="16.5" customHeight="1" x14ac:dyDescent="0.25">
      <c r="A143" s="50">
        <f t="shared" si="2"/>
        <v>62</v>
      </c>
      <c r="B143" s="43" t="s">
        <v>150</v>
      </c>
      <c r="C143" s="44" t="s">
        <v>430</v>
      </c>
      <c r="D143" s="52"/>
      <c r="E143" s="54"/>
      <c r="F143" s="29" t="s">
        <v>491</v>
      </c>
      <c r="G143" s="29"/>
      <c r="H143" s="29">
        <v>1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spans="1:21" ht="16.5" customHeight="1" x14ac:dyDescent="0.25">
      <c r="A144" s="50">
        <f t="shared" si="2"/>
        <v>63</v>
      </c>
      <c r="B144" s="43" t="s">
        <v>284</v>
      </c>
      <c r="C144" s="44" t="s">
        <v>430</v>
      </c>
      <c r="D144" s="52"/>
      <c r="E144" s="54"/>
      <c r="F144" s="29" t="s">
        <v>491</v>
      </c>
      <c r="G144" s="29"/>
      <c r="H144" s="29">
        <v>1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spans="1:21" ht="16.5" customHeight="1" x14ac:dyDescent="0.25">
      <c r="A145" s="50">
        <f t="shared" si="2"/>
        <v>64</v>
      </c>
      <c r="B145" s="43" t="s">
        <v>152</v>
      </c>
      <c r="C145" s="44" t="s">
        <v>459</v>
      </c>
      <c r="D145" s="52"/>
      <c r="E145" s="54"/>
      <c r="F145" s="29" t="s">
        <v>491</v>
      </c>
      <c r="G145" s="29"/>
      <c r="H145" s="29">
        <v>1</v>
      </c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spans="1:21" ht="16.5" customHeight="1" x14ac:dyDescent="0.25">
      <c r="A146" s="50">
        <f t="shared" si="2"/>
        <v>65</v>
      </c>
      <c r="B146" s="46" t="s">
        <v>203</v>
      </c>
      <c r="C146" s="44" t="s">
        <v>460</v>
      </c>
      <c r="D146" s="52"/>
      <c r="E146" s="54"/>
      <c r="F146" s="29" t="s">
        <v>491</v>
      </c>
      <c r="G146" s="29"/>
      <c r="H146" s="29">
        <v>1</v>
      </c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spans="1:21" ht="16.5" customHeight="1" x14ac:dyDescent="0.25">
      <c r="A147" s="50">
        <f t="shared" si="2"/>
        <v>66</v>
      </c>
      <c r="B147" s="43" t="s">
        <v>155</v>
      </c>
      <c r="C147" s="44" t="s">
        <v>459</v>
      </c>
      <c r="D147" s="52"/>
      <c r="E147" s="54"/>
      <c r="F147" s="29" t="s">
        <v>491</v>
      </c>
      <c r="G147" s="29"/>
      <c r="H147" s="29">
        <v>1</v>
      </c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spans="1:21" ht="16.5" customHeight="1" x14ac:dyDescent="0.25">
      <c r="A148" s="50">
        <f>A147+1</f>
        <v>67</v>
      </c>
      <c r="B148" s="43" t="s">
        <v>500</v>
      </c>
      <c r="C148" s="44" t="s">
        <v>442</v>
      </c>
      <c r="D148" s="52"/>
      <c r="E148" s="54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spans="1:21" ht="16.5" customHeight="1" x14ac:dyDescent="0.25">
      <c r="A149" s="50">
        <f>A148+1</f>
        <v>68</v>
      </c>
      <c r="B149" s="46" t="s">
        <v>384</v>
      </c>
      <c r="C149" s="44" t="s">
        <v>425</v>
      </c>
      <c r="D149" s="52"/>
      <c r="E149" s="54"/>
      <c r="F149" s="29" t="s">
        <v>492</v>
      </c>
      <c r="G149" s="29">
        <v>1</v>
      </c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spans="1:21" ht="16.5" customHeight="1" x14ac:dyDescent="0.25">
      <c r="A150" s="50">
        <f t="shared" si="2"/>
        <v>69</v>
      </c>
      <c r="B150" s="43" t="s">
        <v>233</v>
      </c>
      <c r="C150" s="44" t="s">
        <v>442</v>
      </c>
      <c r="D150" s="52"/>
      <c r="E150" s="54"/>
      <c r="F150" s="29" t="s">
        <v>491</v>
      </c>
      <c r="G150" s="29"/>
      <c r="H150" s="29">
        <v>1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1" ht="16.5" customHeight="1" x14ac:dyDescent="0.25">
      <c r="A151" s="50">
        <f>A150+1</f>
        <v>70</v>
      </c>
      <c r="B151" s="43" t="s">
        <v>286</v>
      </c>
      <c r="C151" s="44" t="s">
        <v>432</v>
      </c>
      <c r="D151" s="52"/>
      <c r="E151" s="54"/>
      <c r="F151" s="29" t="s">
        <v>491</v>
      </c>
      <c r="G151" s="29"/>
      <c r="H151" s="29">
        <v>1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spans="1:21" ht="16.5" customHeight="1" x14ac:dyDescent="0.25">
      <c r="A152" s="50">
        <f>A151+1</f>
        <v>71</v>
      </c>
      <c r="B152" s="43" t="s">
        <v>495</v>
      </c>
      <c r="C152" s="44" t="s">
        <v>442</v>
      </c>
      <c r="D152" s="52"/>
      <c r="E152" s="54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6.5" customHeight="1" x14ac:dyDescent="0.25">
      <c r="A153" s="50">
        <f>A152+1</f>
        <v>72</v>
      </c>
      <c r="B153" s="43" t="s">
        <v>467</v>
      </c>
      <c r="C153" s="44" t="s">
        <v>430</v>
      </c>
      <c r="D153" s="52"/>
      <c r="E153" s="54"/>
      <c r="F153" s="29" t="s">
        <v>491</v>
      </c>
      <c r="G153" s="29"/>
      <c r="H153" s="29">
        <v>1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spans="1:21" ht="16.5" customHeight="1" x14ac:dyDescent="0.25">
      <c r="A154" s="50">
        <f t="shared" si="2"/>
        <v>73</v>
      </c>
      <c r="B154" s="43" t="s">
        <v>235</v>
      </c>
      <c r="C154" s="44" t="s">
        <v>442</v>
      </c>
      <c r="D154" s="52"/>
      <c r="E154" s="54"/>
      <c r="F154" s="29" t="s">
        <v>491</v>
      </c>
      <c r="G154" s="29"/>
      <c r="H154" s="29">
        <v>1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spans="1:21" ht="16.5" customHeight="1" x14ac:dyDescent="0.25">
      <c r="A155" s="50">
        <f t="shared" si="2"/>
        <v>74</v>
      </c>
      <c r="B155" s="43" t="s">
        <v>22</v>
      </c>
      <c r="C155" s="44" t="s">
        <v>461</v>
      </c>
      <c r="D155" s="52"/>
      <c r="E155" s="54"/>
      <c r="F155" s="29" t="s">
        <v>492</v>
      </c>
      <c r="G155" s="29">
        <v>1</v>
      </c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spans="1:21" ht="16.5" customHeight="1" x14ac:dyDescent="0.25">
      <c r="A156" s="50">
        <f t="shared" si="2"/>
        <v>75</v>
      </c>
      <c r="B156" s="43" t="s">
        <v>86</v>
      </c>
      <c r="C156" s="44" t="s">
        <v>453</v>
      </c>
      <c r="D156" s="52"/>
      <c r="E156" s="54" t="s">
        <v>499</v>
      </c>
      <c r="F156" s="29" t="s">
        <v>492</v>
      </c>
      <c r="G156" s="29">
        <v>1</v>
      </c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spans="1:21" ht="16.5" customHeight="1" x14ac:dyDescent="0.25">
      <c r="A157" s="50">
        <f t="shared" si="2"/>
        <v>76</v>
      </c>
      <c r="B157" s="43" t="s">
        <v>88</v>
      </c>
      <c r="C157" s="44" t="s">
        <v>462</v>
      </c>
      <c r="D157" s="52"/>
      <c r="E157" s="54" t="s">
        <v>499</v>
      </c>
      <c r="F157" s="29" t="s">
        <v>492</v>
      </c>
      <c r="G157" s="29">
        <v>1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spans="1:21" ht="16.5" customHeight="1" x14ac:dyDescent="0.25">
      <c r="A158" s="50">
        <f t="shared" si="2"/>
        <v>77</v>
      </c>
      <c r="B158" s="46" t="s">
        <v>205</v>
      </c>
      <c r="C158" s="44" t="s">
        <v>400</v>
      </c>
      <c r="D158" s="52"/>
      <c r="E158" s="54"/>
      <c r="F158" s="29" t="s">
        <v>492</v>
      </c>
      <c r="G158" s="29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spans="1:21" ht="16.5" customHeight="1" x14ac:dyDescent="0.25">
      <c r="A159" s="50">
        <f t="shared" si="2"/>
        <v>78</v>
      </c>
      <c r="B159" s="43" t="s">
        <v>311</v>
      </c>
      <c r="C159" s="44" t="s">
        <v>446</v>
      </c>
      <c r="D159" s="52"/>
      <c r="E159" s="54"/>
      <c r="F159" s="29" t="s">
        <v>492</v>
      </c>
      <c r="G159" s="29">
        <v>1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spans="1:21" ht="16.5" customHeight="1" x14ac:dyDescent="0.25">
      <c r="A160" s="50">
        <f t="shared" si="2"/>
        <v>79</v>
      </c>
      <c r="B160" s="43" t="s">
        <v>300</v>
      </c>
      <c r="C160" s="44" t="s">
        <v>437</v>
      </c>
      <c r="D160" s="52"/>
      <c r="E160" s="54"/>
      <c r="F160" s="29" t="s">
        <v>491</v>
      </c>
      <c r="G160" s="29"/>
      <c r="H160" s="29">
        <v>1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ht="16.5" customHeight="1" x14ac:dyDescent="0.25">
      <c r="A161" s="50">
        <f t="shared" si="2"/>
        <v>80</v>
      </c>
      <c r="B161" s="43" t="s">
        <v>382</v>
      </c>
      <c r="C161" s="44" t="s">
        <v>456</v>
      </c>
      <c r="D161" s="52"/>
      <c r="E161" s="54" t="s">
        <v>499</v>
      </c>
      <c r="F161" s="29" t="s">
        <v>492</v>
      </c>
      <c r="G161" s="29">
        <v>1</v>
      </c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spans="1:21" ht="16.5" customHeight="1" x14ac:dyDescent="0.25">
      <c r="A162" s="50">
        <f t="shared" si="2"/>
        <v>81</v>
      </c>
      <c r="B162" s="46" t="s">
        <v>158</v>
      </c>
      <c r="C162" s="44" t="s">
        <v>400</v>
      </c>
      <c r="D162" s="52"/>
      <c r="E162" s="54"/>
      <c r="F162" s="29" t="s">
        <v>491</v>
      </c>
      <c r="G162" s="29"/>
      <c r="H162" s="29">
        <v>1</v>
      </c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spans="1:21" ht="16.5" customHeight="1" x14ac:dyDescent="0.25">
      <c r="A163" s="50">
        <f t="shared" si="2"/>
        <v>82</v>
      </c>
      <c r="B163" s="46" t="s">
        <v>469</v>
      </c>
      <c r="C163" s="44" t="s">
        <v>430</v>
      </c>
      <c r="D163" s="52"/>
      <c r="E163" s="54"/>
      <c r="F163" s="29" t="s">
        <v>491</v>
      </c>
      <c r="G163" s="29"/>
      <c r="H163" s="29">
        <v>1</v>
      </c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spans="1:21" ht="16.5" customHeight="1" x14ac:dyDescent="0.25">
      <c r="A164" s="50">
        <f t="shared" si="2"/>
        <v>83</v>
      </c>
      <c r="B164" s="43" t="s">
        <v>288</v>
      </c>
      <c r="C164" s="44" t="s">
        <v>430</v>
      </c>
      <c r="D164" s="52"/>
      <c r="E164" s="54"/>
      <c r="F164" s="29" t="s">
        <v>491</v>
      </c>
      <c r="G164" s="29"/>
      <c r="H164" s="29">
        <v>1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6.5" hidden="1" customHeight="1" x14ac:dyDescent="0.25">
      <c r="A165" s="29"/>
      <c r="B165" s="29"/>
      <c r="C165" s="3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spans="1:21" ht="16.5" hidden="1" customHeight="1" x14ac:dyDescent="0.25">
      <c r="A166" s="29" t="s">
        <v>334</v>
      </c>
      <c r="B166" s="29"/>
      <c r="C166" s="30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spans="1:21" ht="16.5" hidden="1" customHeight="1" x14ac:dyDescent="0.25">
      <c r="A167" s="29"/>
      <c r="B167" s="29"/>
      <c r="C167" s="30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spans="1:21" ht="16.5" hidden="1" customHeight="1" x14ac:dyDescent="0.25">
      <c r="A168" s="29"/>
      <c r="B168" s="29"/>
      <c r="C168" s="30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spans="1:21" ht="16.5" hidden="1" customHeight="1" x14ac:dyDescent="0.25">
      <c r="A169" s="48" t="s">
        <v>463</v>
      </c>
      <c r="C169" s="62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spans="1:21" ht="16.5" hidden="1" customHeight="1" x14ac:dyDescent="0.25">
      <c r="A170" s="29" t="s">
        <v>464</v>
      </c>
      <c r="C170" s="63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spans="1:21" ht="16.5" hidden="1" customHeight="1" x14ac:dyDescent="0.25">
      <c r="A171" s="29"/>
      <c r="B171" s="29"/>
      <c r="C171" s="3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spans="1:21" ht="16.5" customHeight="1" x14ac:dyDescent="0.25">
      <c r="A172" s="50">
        <f>A164+1</f>
        <v>84</v>
      </c>
      <c r="B172" s="46" t="s">
        <v>507</v>
      </c>
      <c r="C172" s="44"/>
      <c r="D172" s="52"/>
      <c r="E172" s="54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spans="1:21" ht="16.5" customHeight="1" x14ac:dyDescent="0.25">
      <c r="A173" s="50">
        <f t="shared" ref="A173" si="3">A172+1</f>
        <v>85</v>
      </c>
      <c r="B173" s="46" t="s">
        <v>507</v>
      </c>
      <c r="C173" s="44"/>
      <c r="D173" s="52"/>
      <c r="E173" s="54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spans="1:21" ht="8.25" customHeight="1" x14ac:dyDescent="0.25">
      <c r="A174" s="29"/>
      <c r="B174" s="29"/>
      <c r="C174" s="30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spans="1:21" ht="32.25" customHeight="1" x14ac:dyDescent="0.25">
      <c r="A175" s="29"/>
      <c r="B175" s="64" t="s">
        <v>465</v>
      </c>
      <c r="C175" s="65" t="s">
        <v>506</v>
      </c>
      <c r="D175" s="48"/>
      <c r="E175" s="29"/>
      <c r="F175" s="29"/>
      <c r="G175" s="29">
        <f>SUM(G80:G164)</f>
        <v>21</v>
      </c>
      <c r="H175" s="29" t="s">
        <v>493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6.5" customHeight="1" x14ac:dyDescent="0.25">
      <c r="A176" s="29"/>
      <c r="B176" s="66" t="str">
        <f>A10</f>
        <v>PERMANENT/CO-TERMINUS</v>
      </c>
      <c r="C176" s="67">
        <f>A23</f>
        <v>12</v>
      </c>
      <c r="D176" s="29"/>
      <c r="E176" s="29"/>
      <c r="F176" s="29"/>
      <c r="G176" s="29">
        <f>SUM(H80:H164)</f>
        <v>59</v>
      </c>
      <c r="H176" s="29" t="s">
        <v>494</v>
      </c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spans="1:21" ht="16.5" customHeight="1" x14ac:dyDescent="0.25">
      <c r="A177" s="29"/>
      <c r="B177" s="66" t="str">
        <f>A25</f>
        <v>CASUAL (COB)</v>
      </c>
      <c r="C177" s="67">
        <f>A46+A60</f>
        <v>32</v>
      </c>
      <c r="D177" s="69"/>
      <c r="E177" s="29"/>
      <c r="F177" s="29"/>
      <c r="G177" s="29">
        <f>G175+G176</f>
        <v>80</v>
      </c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spans="1:21" ht="16.5" customHeight="1" x14ac:dyDescent="0.25">
      <c r="A178" s="29"/>
      <c r="B178" s="66" t="str">
        <f>A62</f>
        <v>CASUAL(Project-Charged)</v>
      </c>
      <c r="C178" s="67">
        <f>A72+A76</f>
        <v>11</v>
      </c>
      <c r="D178" s="6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spans="1:21" ht="16.5" customHeight="1" x14ac:dyDescent="0.25">
      <c r="A179" s="29"/>
      <c r="B179" s="66" t="str">
        <f>A78</f>
        <v>JOB ORDER</v>
      </c>
      <c r="C179" s="67">
        <f>A173</f>
        <v>85</v>
      </c>
      <c r="D179" s="6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spans="1:21" ht="16.5" customHeight="1" x14ac:dyDescent="0.25">
      <c r="A180" s="29"/>
      <c r="B180" s="68" t="s">
        <v>466</v>
      </c>
      <c r="C180" s="65">
        <f>SUM(C176:C179)</f>
        <v>140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spans="1:21" ht="16.5" customHeight="1" x14ac:dyDescent="0.25">
      <c r="A181" s="29"/>
      <c r="B181" s="29"/>
      <c r="C181" s="3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spans="1:21" ht="16.5" customHeight="1" x14ac:dyDescent="0.25">
      <c r="A182" s="29"/>
      <c r="B182" s="29"/>
      <c r="C182" s="30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spans="1:21" ht="16.5" customHeight="1" x14ac:dyDescent="0.25">
      <c r="A183" s="29"/>
      <c r="B183" s="29"/>
      <c r="C183" s="30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spans="1:21" ht="16.5" customHeight="1" x14ac:dyDescent="0.25">
      <c r="A184" s="29"/>
      <c r="B184" s="29"/>
      <c r="C184" s="30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spans="1:21" ht="16.5" customHeight="1" x14ac:dyDescent="0.25">
      <c r="A185" s="29"/>
      <c r="B185" s="29"/>
      <c r="C185" s="30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spans="1:21" ht="16.5" customHeight="1" x14ac:dyDescent="0.25">
      <c r="A186" s="29"/>
      <c r="B186" s="29"/>
      <c r="C186" s="30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6.5" customHeight="1" x14ac:dyDescent="0.25">
      <c r="A187" s="29"/>
      <c r="B187" s="29"/>
      <c r="C187" s="30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spans="1:21" ht="16.5" customHeight="1" x14ac:dyDescent="0.25">
      <c r="A188" s="29"/>
      <c r="B188" s="29"/>
      <c r="C188" s="3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spans="1:21" ht="16.5" customHeight="1" x14ac:dyDescent="0.25">
      <c r="A189" s="29"/>
      <c r="B189" s="29"/>
      <c r="C189" s="30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spans="1:21" ht="16.5" customHeight="1" x14ac:dyDescent="0.25">
      <c r="A190" s="29"/>
      <c r="B190" s="29"/>
      <c r="C190" s="30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6.5" customHeight="1" x14ac:dyDescent="0.25">
      <c r="A191" s="29"/>
      <c r="B191" s="29"/>
      <c r="C191" s="30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6.5" customHeight="1" x14ac:dyDescent="0.25">
      <c r="A192" s="29"/>
      <c r="B192" s="29"/>
      <c r="C192" s="30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spans="1:21" ht="16.5" customHeight="1" x14ac:dyDescent="0.25">
      <c r="A193" s="29"/>
      <c r="B193" s="29"/>
      <c r="C193" s="30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spans="1:21" ht="16.5" customHeight="1" x14ac:dyDescent="0.25">
      <c r="A194" s="29"/>
      <c r="B194" s="29"/>
      <c r="C194" s="30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1:21" ht="16.5" customHeight="1" x14ac:dyDescent="0.25">
      <c r="A195" s="29"/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spans="1:21" ht="16.5" customHeight="1" x14ac:dyDescent="0.25">
      <c r="A196" s="29"/>
      <c r="B196" s="29"/>
      <c r="C196" s="30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spans="1:21" ht="16.5" customHeight="1" x14ac:dyDescent="0.25">
      <c r="A197" s="29"/>
      <c r="B197" s="29"/>
      <c r="C197" s="30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spans="1:21" ht="16.5" customHeight="1" x14ac:dyDescent="0.25">
      <c r="A198" s="29"/>
      <c r="B198" s="29"/>
      <c r="C198" s="30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1:21" ht="16.5" customHeight="1" x14ac:dyDescent="0.25">
      <c r="A199" s="29"/>
      <c r="B199" s="29"/>
      <c r="C199" s="30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spans="1:21" ht="16.5" customHeight="1" x14ac:dyDescent="0.25">
      <c r="A200" s="29"/>
      <c r="B200" s="29"/>
      <c r="C200" s="30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pans="1:21" ht="16.5" customHeight="1" x14ac:dyDescent="0.25">
      <c r="A201" s="29"/>
      <c r="B201" s="29"/>
      <c r="C201" s="30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ht="16.5" customHeight="1" x14ac:dyDescent="0.25">
      <c r="A202" s="29"/>
      <c r="B202" s="29"/>
      <c r="C202" s="30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spans="1:21" ht="16.5" customHeight="1" x14ac:dyDescent="0.25">
      <c r="A203" s="29"/>
      <c r="B203" s="29"/>
      <c r="C203" s="30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spans="1:21" ht="16.5" customHeight="1" x14ac:dyDescent="0.25">
      <c r="A204" s="29"/>
      <c r="B204" s="29"/>
      <c r="C204" s="30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6.5" customHeight="1" x14ac:dyDescent="0.25">
      <c r="A205" s="29"/>
      <c r="B205" s="29"/>
      <c r="C205" s="30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spans="1:21" ht="16.5" customHeight="1" x14ac:dyDescent="0.25">
      <c r="A206" s="29"/>
      <c r="B206" s="29"/>
      <c r="C206" s="30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spans="1:21" ht="16.5" customHeight="1" x14ac:dyDescent="0.25">
      <c r="A207" s="29"/>
      <c r="B207" s="29"/>
      <c r="C207" s="30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spans="1:21" ht="16.5" customHeight="1" x14ac:dyDescent="0.25">
      <c r="A208" s="29"/>
      <c r="B208" s="29"/>
      <c r="C208" s="30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spans="1:21" ht="16.5" customHeight="1" x14ac:dyDescent="0.25">
      <c r="A209" s="29"/>
      <c r="B209" s="29"/>
      <c r="C209" s="30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spans="1:21" ht="16.5" customHeight="1" x14ac:dyDescent="0.25">
      <c r="A210" s="29"/>
      <c r="B210" s="29"/>
      <c r="C210" s="30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spans="1:21" ht="16.5" customHeight="1" x14ac:dyDescent="0.25">
      <c r="A211" s="29"/>
      <c r="B211" s="29"/>
      <c r="C211" s="30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spans="1:21" ht="16.5" customHeight="1" x14ac:dyDescent="0.25">
      <c r="A212" s="29"/>
      <c r="B212" s="29"/>
      <c r="C212" s="30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spans="1:21" ht="16.5" customHeight="1" x14ac:dyDescent="0.25">
      <c r="A213" s="29"/>
      <c r="B213" s="29"/>
      <c r="C213" s="30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spans="1:21" ht="16.5" customHeight="1" x14ac:dyDescent="0.25">
      <c r="A214" s="29"/>
      <c r="B214" s="29"/>
      <c r="C214" s="30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spans="1:21" ht="16.5" customHeight="1" x14ac:dyDescent="0.25">
      <c r="A215" s="29"/>
      <c r="B215" s="29"/>
      <c r="C215" s="30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spans="1:21" ht="16.5" customHeight="1" x14ac:dyDescent="0.25">
      <c r="A216" s="29"/>
      <c r="B216" s="29"/>
      <c r="C216" s="30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spans="1:21" ht="16.5" customHeight="1" x14ac:dyDescent="0.25">
      <c r="A217" s="29"/>
      <c r="B217" s="29"/>
      <c r="C217" s="30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spans="1:21" ht="16.5" customHeight="1" x14ac:dyDescent="0.25">
      <c r="A218" s="29"/>
      <c r="B218" s="29"/>
      <c r="C218" s="30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spans="1:21" ht="16.5" customHeight="1" x14ac:dyDescent="0.25">
      <c r="A219" s="29"/>
      <c r="B219" s="29"/>
      <c r="C219" s="30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spans="1:21" ht="16.5" customHeight="1" x14ac:dyDescent="0.25">
      <c r="A220" s="29"/>
      <c r="B220" s="29"/>
      <c r="C220" s="30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spans="1:21" ht="16.5" customHeight="1" x14ac:dyDescent="0.25">
      <c r="A221" s="29"/>
      <c r="B221" s="29"/>
      <c r="C221" s="30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spans="1:21" ht="16.5" customHeight="1" x14ac:dyDescent="0.25">
      <c r="A222" s="29"/>
      <c r="B222" s="29"/>
      <c r="C222" s="30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spans="1:21" ht="16.5" customHeight="1" x14ac:dyDescent="0.25">
      <c r="A223" s="29"/>
      <c r="B223" s="29"/>
      <c r="C223" s="30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spans="1:21" ht="16.5" customHeight="1" x14ac:dyDescent="0.25">
      <c r="A224" s="29"/>
      <c r="B224" s="29"/>
      <c r="C224" s="30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spans="1:21" ht="16.5" customHeight="1" x14ac:dyDescent="0.25">
      <c r="A225" s="29"/>
      <c r="B225" s="29"/>
      <c r="C225" s="30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spans="1:21" ht="16.5" customHeight="1" x14ac:dyDescent="0.25">
      <c r="A226" s="29"/>
      <c r="B226" s="29"/>
      <c r="C226" s="30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spans="1:21" ht="16.5" customHeight="1" x14ac:dyDescent="0.25">
      <c r="A227" s="29"/>
      <c r="B227" s="29"/>
      <c r="C227" s="30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spans="1:21" ht="16.5" customHeight="1" x14ac:dyDescent="0.25">
      <c r="A228" s="29"/>
      <c r="B228" s="29"/>
      <c r="C228" s="30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spans="1:21" ht="16.5" customHeight="1" x14ac:dyDescent="0.25">
      <c r="A229" s="29"/>
      <c r="B229" s="29"/>
      <c r="C229" s="30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6.5" customHeight="1" x14ac:dyDescent="0.25">
      <c r="A230" s="29"/>
      <c r="B230" s="29"/>
      <c r="C230" s="30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spans="1:21" ht="16.5" customHeight="1" x14ac:dyDescent="0.25">
      <c r="A231" s="29"/>
      <c r="B231" s="29"/>
      <c r="C231" s="30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spans="1:21" ht="16.5" customHeight="1" x14ac:dyDescent="0.25">
      <c r="A232" s="29"/>
      <c r="B232" s="29"/>
      <c r="C232" s="30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spans="1:21" ht="16.5" customHeight="1" x14ac:dyDescent="0.25">
      <c r="A233" s="29"/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spans="1:21" ht="16.5" customHeight="1" x14ac:dyDescent="0.25">
      <c r="A234" s="29"/>
      <c r="B234" s="29"/>
      <c r="C234" s="30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spans="1:21" ht="16.5" customHeight="1" x14ac:dyDescent="0.25">
      <c r="A235" s="29"/>
      <c r="B235" s="29"/>
      <c r="C235" s="30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spans="1:21" ht="16.5" customHeight="1" x14ac:dyDescent="0.25">
      <c r="A236" s="29"/>
      <c r="B236" s="29"/>
      <c r="C236" s="30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spans="1:21" ht="16.5" customHeight="1" x14ac:dyDescent="0.25">
      <c r="A237" s="29"/>
      <c r="B237" s="29"/>
      <c r="C237" s="30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spans="1:21" ht="16.5" customHeight="1" x14ac:dyDescent="0.25">
      <c r="A238" s="29"/>
      <c r="B238" s="29"/>
      <c r="C238" s="30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spans="1:21" ht="16.5" customHeight="1" x14ac:dyDescent="0.25">
      <c r="A239" s="29"/>
      <c r="B239" s="29"/>
      <c r="C239" s="30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spans="1:21" ht="16.5" customHeight="1" x14ac:dyDescent="0.25">
      <c r="A240" s="29"/>
      <c r="B240" s="29"/>
      <c r="C240" s="30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spans="1:21" ht="16.5" customHeight="1" x14ac:dyDescent="0.25">
      <c r="A241" s="29"/>
      <c r="B241" s="29"/>
      <c r="C241" s="30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spans="1:21" ht="16.5" customHeight="1" x14ac:dyDescent="0.25">
      <c r="A242" s="29"/>
      <c r="B242" s="29"/>
      <c r="C242" s="30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spans="1:21" ht="16.5" customHeight="1" x14ac:dyDescent="0.25">
      <c r="A243" s="29"/>
      <c r="B243" s="29"/>
      <c r="C243" s="30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spans="1:21" ht="16.5" customHeight="1" x14ac:dyDescent="0.25">
      <c r="A244" s="29"/>
      <c r="B244" s="29"/>
      <c r="C244" s="30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spans="1:21" ht="16.5" customHeight="1" x14ac:dyDescent="0.25">
      <c r="A245" s="29"/>
      <c r="B245" s="29"/>
      <c r="C245" s="30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spans="1:21" ht="16.5" customHeight="1" x14ac:dyDescent="0.25">
      <c r="A246" s="29"/>
      <c r="B246" s="29"/>
      <c r="C246" s="30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spans="1:21" ht="16.5" customHeight="1" x14ac:dyDescent="0.25">
      <c r="A247" s="29"/>
      <c r="B247" s="29"/>
      <c r="C247" s="30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spans="1:21" ht="16.5" customHeight="1" x14ac:dyDescent="0.25">
      <c r="A248" s="29"/>
      <c r="B248" s="29"/>
      <c r="C248" s="30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spans="1:21" ht="16.5" customHeight="1" x14ac:dyDescent="0.25">
      <c r="A249" s="29"/>
      <c r="B249" s="29"/>
      <c r="C249" s="30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spans="1:21" ht="16.5" customHeight="1" x14ac:dyDescent="0.25">
      <c r="A250" s="29"/>
      <c r="B250" s="29"/>
      <c r="C250" s="30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spans="1:21" ht="16.5" customHeight="1" x14ac:dyDescent="0.25">
      <c r="A251" s="29"/>
      <c r="B251" s="29"/>
      <c r="C251" s="30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spans="1:21" ht="16.5" customHeight="1" x14ac:dyDescent="0.25">
      <c r="A252" s="29"/>
      <c r="B252" s="29"/>
      <c r="C252" s="30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spans="1:21" ht="16.5" customHeight="1" x14ac:dyDescent="0.25">
      <c r="A253" s="29"/>
      <c r="B253" s="29"/>
      <c r="C253" s="30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spans="1:21" ht="16.5" customHeight="1" x14ac:dyDescent="0.25">
      <c r="A254" s="29"/>
      <c r="B254" s="29"/>
      <c r="C254" s="30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spans="1:21" ht="16.5" customHeight="1" x14ac:dyDescent="0.25">
      <c r="A255" s="29"/>
      <c r="B255" s="29"/>
      <c r="C255" s="30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spans="1:21" ht="16.5" customHeight="1" x14ac:dyDescent="0.25">
      <c r="A256" s="29"/>
      <c r="B256" s="29"/>
      <c r="C256" s="30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spans="1:21" ht="16.5" customHeight="1" x14ac:dyDescent="0.25">
      <c r="A257" s="29"/>
      <c r="B257" s="29"/>
      <c r="C257" s="30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spans="1:21" ht="16.5" customHeight="1" x14ac:dyDescent="0.25">
      <c r="A258" s="29"/>
      <c r="B258" s="29"/>
      <c r="C258" s="30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spans="1:21" ht="16.5" customHeight="1" x14ac:dyDescent="0.25">
      <c r="A259" s="29"/>
      <c r="B259" s="29"/>
      <c r="C259" s="30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spans="1:21" ht="16.5" customHeight="1" x14ac:dyDescent="0.25">
      <c r="A260" s="29"/>
      <c r="B260" s="29"/>
      <c r="C260" s="3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spans="1:21" ht="16.5" customHeight="1" x14ac:dyDescent="0.25">
      <c r="A261" s="29"/>
      <c r="B261" s="29"/>
      <c r="C261" s="30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spans="1:21" ht="16.5" customHeight="1" x14ac:dyDescent="0.25">
      <c r="A262" s="29"/>
      <c r="B262" s="29"/>
      <c r="C262" s="30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spans="1:21" ht="16.5" customHeight="1" x14ac:dyDescent="0.25">
      <c r="A263" s="29"/>
      <c r="B263" s="29"/>
      <c r="C263" s="30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spans="1:21" ht="16.5" customHeight="1" x14ac:dyDescent="0.25">
      <c r="A264" s="29"/>
      <c r="B264" s="29"/>
      <c r="C264" s="30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spans="1:21" ht="16.5" customHeight="1" x14ac:dyDescent="0.25">
      <c r="A265" s="29"/>
      <c r="B265" s="29"/>
      <c r="C265" s="30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spans="1:21" ht="16.5" customHeight="1" x14ac:dyDescent="0.25">
      <c r="A266" s="29"/>
      <c r="B266" s="29"/>
      <c r="C266" s="30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spans="1:21" ht="16.5" customHeight="1" x14ac:dyDescent="0.25">
      <c r="A267" s="29"/>
      <c r="B267" s="29"/>
      <c r="C267" s="30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spans="1:21" ht="16.5" customHeight="1" x14ac:dyDescent="0.25">
      <c r="A268" s="29"/>
      <c r="B268" s="29"/>
      <c r="C268" s="30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spans="1:21" ht="16.5" customHeight="1" x14ac:dyDescent="0.25">
      <c r="A269" s="29"/>
      <c r="B269" s="29"/>
      <c r="C269" s="30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spans="1:21" ht="16.5" customHeight="1" x14ac:dyDescent="0.25">
      <c r="A270" s="29"/>
      <c r="B270" s="29"/>
      <c r="C270" s="30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1" ht="16.5" customHeight="1" x14ac:dyDescent="0.25">
      <c r="A271" s="29"/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spans="1:21" ht="16.5" customHeight="1" x14ac:dyDescent="0.25">
      <c r="A272" s="29"/>
      <c r="B272" s="29"/>
      <c r="C272" s="30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spans="1:21" ht="16.5" customHeight="1" x14ac:dyDescent="0.25">
      <c r="A273" s="29"/>
      <c r="B273" s="29"/>
      <c r="C273" s="30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spans="1:21" ht="16.5" customHeight="1" x14ac:dyDescent="0.25">
      <c r="A274" s="29"/>
      <c r="B274" s="29"/>
      <c r="C274" s="30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spans="1:21" ht="16.5" customHeight="1" x14ac:dyDescent="0.25">
      <c r="A275" s="29"/>
      <c r="B275" s="29"/>
      <c r="C275" s="30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spans="1:21" ht="16.5" customHeight="1" x14ac:dyDescent="0.25">
      <c r="A276" s="29"/>
      <c r="B276" s="29"/>
      <c r="C276" s="30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spans="1:21" ht="16.5" customHeight="1" x14ac:dyDescent="0.25">
      <c r="A277" s="29"/>
      <c r="B277" s="29"/>
      <c r="C277" s="30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spans="1:21" ht="16.5" customHeight="1" x14ac:dyDescent="0.25">
      <c r="A278" s="29"/>
      <c r="B278" s="29"/>
      <c r="C278" s="30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spans="1:21" ht="16.5" customHeight="1" x14ac:dyDescent="0.25">
      <c r="A279" s="29"/>
      <c r="B279" s="29"/>
      <c r="C279" s="30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spans="1:21" ht="16.5" customHeight="1" x14ac:dyDescent="0.25">
      <c r="A280" s="29"/>
      <c r="B280" s="29"/>
      <c r="C280" s="30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spans="1:21" ht="16.5" customHeight="1" x14ac:dyDescent="0.25">
      <c r="A281" s="29"/>
      <c r="B281" s="29"/>
      <c r="C281" s="30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spans="1:21" ht="16.5" customHeight="1" x14ac:dyDescent="0.25">
      <c r="A282" s="29"/>
      <c r="B282" s="29"/>
      <c r="C282" s="30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spans="1:21" ht="16.5" customHeight="1" x14ac:dyDescent="0.25">
      <c r="A283" s="29"/>
      <c r="B283" s="29"/>
      <c r="C283" s="30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spans="1:21" ht="16.5" customHeight="1" x14ac:dyDescent="0.25">
      <c r="A284" s="29"/>
      <c r="B284" s="29"/>
      <c r="C284" s="30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spans="1:21" ht="16.5" customHeight="1" x14ac:dyDescent="0.25">
      <c r="A285" s="29"/>
      <c r="B285" s="29"/>
      <c r="C285" s="30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spans="1:21" ht="16.5" customHeight="1" x14ac:dyDescent="0.25">
      <c r="A286" s="29"/>
      <c r="B286" s="29"/>
      <c r="C286" s="30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spans="1:21" ht="16.5" customHeight="1" x14ac:dyDescent="0.25">
      <c r="A287" s="29"/>
      <c r="B287" s="29"/>
      <c r="C287" s="30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spans="1:21" ht="16.5" customHeight="1" x14ac:dyDescent="0.25">
      <c r="A288" s="29"/>
      <c r="B288" s="29"/>
      <c r="C288" s="30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spans="1:21" ht="16.5" customHeight="1" x14ac:dyDescent="0.25">
      <c r="A289" s="29"/>
      <c r="B289" s="29"/>
      <c r="C289" s="30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spans="1:21" ht="16.5" customHeight="1" x14ac:dyDescent="0.25">
      <c r="A290" s="29"/>
      <c r="B290" s="29"/>
      <c r="C290" s="30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spans="1:21" ht="16.5" customHeight="1" x14ac:dyDescent="0.25">
      <c r="A291" s="29"/>
      <c r="B291" s="29"/>
      <c r="C291" s="30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spans="1:21" ht="16.5" customHeight="1" x14ac:dyDescent="0.25">
      <c r="A292" s="29"/>
      <c r="B292" s="29"/>
      <c r="C292" s="30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spans="1:21" ht="16.5" customHeight="1" x14ac:dyDescent="0.25">
      <c r="A293" s="29"/>
      <c r="B293" s="29"/>
      <c r="C293" s="30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spans="1:21" ht="16.5" customHeight="1" x14ac:dyDescent="0.25">
      <c r="A294" s="29"/>
      <c r="B294" s="29"/>
      <c r="C294" s="30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spans="1:21" ht="16.5" customHeight="1" x14ac:dyDescent="0.25">
      <c r="A295" s="29"/>
      <c r="B295" s="29"/>
      <c r="C295" s="30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spans="1:21" ht="16.5" customHeight="1" x14ac:dyDescent="0.25">
      <c r="A296" s="29"/>
      <c r="B296" s="29"/>
      <c r="C296" s="30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spans="1:21" ht="16.5" customHeight="1" x14ac:dyDescent="0.25">
      <c r="A297" s="29"/>
      <c r="B297" s="29"/>
      <c r="C297" s="30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spans="1:21" ht="16.5" customHeight="1" x14ac:dyDescent="0.25">
      <c r="A298" s="29"/>
      <c r="B298" s="29"/>
      <c r="C298" s="30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spans="1:21" ht="16.5" customHeight="1" x14ac:dyDescent="0.25">
      <c r="A299" s="29"/>
      <c r="B299" s="29"/>
      <c r="C299" s="30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spans="1:21" ht="16.5" customHeight="1" x14ac:dyDescent="0.25">
      <c r="A300" s="29"/>
      <c r="B300" s="29"/>
      <c r="C300" s="30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spans="1:21" ht="16.5" customHeight="1" x14ac:dyDescent="0.25">
      <c r="A301" s="29"/>
      <c r="B301" s="29"/>
      <c r="C301" s="30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spans="1:21" ht="16.5" customHeight="1" x14ac:dyDescent="0.25">
      <c r="A302" s="29"/>
      <c r="B302" s="29"/>
      <c r="C302" s="30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spans="1:21" ht="16.5" customHeight="1" x14ac:dyDescent="0.25">
      <c r="A303" s="29"/>
      <c r="B303" s="29"/>
      <c r="C303" s="30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spans="1:21" ht="16.5" customHeight="1" x14ac:dyDescent="0.25">
      <c r="A304" s="29"/>
      <c r="B304" s="29"/>
      <c r="C304" s="30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spans="1:21" ht="16.5" customHeight="1" x14ac:dyDescent="0.25">
      <c r="A305" s="29"/>
      <c r="B305" s="29"/>
      <c r="C305" s="30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spans="1:21" ht="16.5" customHeight="1" x14ac:dyDescent="0.25">
      <c r="A306" s="29"/>
      <c r="B306" s="29"/>
      <c r="C306" s="30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spans="1:21" ht="16.5" customHeight="1" x14ac:dyDescent="0.25">
      <c r="A307" s="29"/>
      <c r="B307" s="29"/>
      <c r="C307" s="30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spans="1:21" ht="16.5" customHeight="1" x14ac:dyDescent="0.25">
      <c r="A308" s="29"/>
      <c r="B308" s="29"/>
      <c r="C308" s="30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spans="1:21" ht="16.5" customHeight="1" x14ac:dyDescent="0.25">
      <c r="A309" s="29"/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spans="1:21" ht="16.5" customHeight="1" x14ac:dyDescent="0.25">
      <c r="A310" s="29"/>
      <c r="B310" s="29"/>
      <c r="C310" s="30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spans="1:21" ht="16.5" customHeight="1" x14ac:dyDescent="0.25">
      <c r="A311" s="29"/>
      <c r="B311" s="29"/>
      <c r="C311" s="30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spans="1:21" ht="16.5" customHeight="1" x14ac:dyDescent="0.25">
      <c r="A312" s="29"/>
      <c r="B312" s="29"/>
      <c r="C312" s="30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spans="1:21" ht="16.5" customHeight="1" x14ac:dyDescent="0.25">
      <c r="A313" s="29"/>
      <c r="B313" s="29"/>
      <c r="C313" s="30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spans="1:21" ht="16.5" customHeight="1" x14ac:dyDescent="0.25">
      <c r="A314" s="29"/>
      <c r="B314" s="29"/>
      <c r="C314" s="30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spans="1:21" ht="16.5" customHeight="1" x14ac:dyDescent="0.25">
      <c r="A315" s="29"/>
      <c r="B315" s="29"/>
      <c r="C315" s="30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spans="1:21" ht="16.5" customHeight="1" x14ac:dyDescent="0.25">
      <c r="A316" s="29"/>
      <c r="B316" s="29"/>
      <c r="C316" s="30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spans="1:21" ht="16.5" customHeight="1" x14ac:dyDescent="0.25">
      <c r="A317" s="29"/>
      <c r="B317" s="29"/>
      <c r="C317" s="30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spans="1:21" ht="16.5" customHeight="1" x14ac:dyDescent="0.25">
      <c r="A318" s="29"/>
      <c r="B318" s="29"/>
      <c r="C318" s="3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spans="1:21" ht="16.5" customHeight="1" x14ac:dyDescent="0.25">
      <c r="A319" s="29"/>
      <c r="B319" s="29"/>
      <c r="C319" s="30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spans="1:21" ht="16.5" customHeight="1" x14ac:dyDescent="0.25">
      <c r="A320" s="29"/>
      <c r="B320" s="29"/>
      <c r="C320" s="30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spans="1:21" ht="16.5" customHeight="1" x14ac:dyDescent="0.25">
      <c r="A321" s="29"/>
      <c r="B321" s="29"/>
      <c r="C321" s="30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spans="1:21" ht="16.5" customHeight="1" x14ac:dyDescent="0.25">
      <c r="A322" s="29"/>
      <c r="B322" s="29"/>
      <c r="C322" s="30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spans="1:21" ht="16.5" customHeight="1" x14ac:dyDescent="0.25">
      <c r="A323" s="29"/>
      <c r="B323" s="29"/>
      <c r="C323" s="30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spans="1:21" ht="16.5" customHeight="1" x14ac:dyDescent="0.25">
      <c r="A324" s="29"/>
      <c r="B324" s="29"/>
      <c r="C324" s="30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spans="1:21" ht="16.5" customHeight="1" x14ac:dyDescent="0.25">
      <c r="A325" s="29"/>
      <c r="B325" s="29"/>
      <c r="C325" s="30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spans="1:21" ht="16.5" customHeight="1" x14ac:dyDescent="0.25">
      <c r="A326" s="29"/>
      <c r="B326" s="29"/>
      <c r="C326" s="30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spans="1:21" ht="16.5" customHeight="1" x14ac:dyDescent="0.25">
      <c r="A327" s="29"/>
      <c r="B327" s="29"/>
      <c r="C327" s="30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spans="1:21" ht="16.5" customHeight="1" x14ac:dyDescent="0.25">
      <c r="A328" s="29"/>
      <c r="B328" s="29"/>
      <c r="C328" s="30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spans="1:21" ht="16.5" customHeight="1" x14ac:dyDescent="0.25">
      <c r="A329" s="29"/>
      <c r="B329" s="29"/>
      <c r="C329" s="30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spans="1:21" ht="16.5" customHeight="1" x14ac:dyDescent="0.25">
      <c r="A330" s="29"/>
      <c r="B330" s="29"/>
      <c r="C330" s="30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spans="1:21" ht="16.5" customHeight="1" x14ac:dyDescent="0.25">
      <c r="A331" s="29"/>
      <c r="B331" s="29"/>
      <c r="C331" s="30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spans="1:21" ht="16.5" customHeight="1" x14ac:dyDescent="0.25">
      <c r="A332" s="29"/>
      <c r="B332" s="29"/>
      <c r="C332" s="30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spans="1:21" ht="16.5" customHeight="1" x14ac:dyDescent="0.25">
      <c r="A333" s="29"/>
      <c r="B333" s="29"/>
      <c r="C333" s="30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spans="1:21" ht="16.5" customHeight="1" x14ac:dyDescent="0.25">
      <c r="A334" s="29"/>
      <c r="B334" s="29"/>
      <c r="C334" s="30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spans="1:21" ht="16.5" customHeight="1" x14ac:dyDescent="0.25">
      <c r="A335" s="29"/>
      <c r="B335" s="29"/>
      <c r="C335" s="30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spans="1:21" ht="16.5" customHeight="1" x14ac:dyDescent="0.25">
      <c r="A336" s="29"/>
      <c r="B336" s="29"/>
      <c r="C336" s="30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spans="1:21" ht="16.5" customHeight="1" x14ac:dyDescent="0.25">
      <c r="A337" s="29"/>
      <c r="B337" s="29"/>
      <c r="C337" s="30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spans="1:21" ht="16.5" customHeight="1" x14ac:dyDescent="0.25">
      <c r="A338" s="29"/>
      <c r="B338" s="29"/>
      <c r="C338" s="30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spans="1:21" ht="16.5" customHeight="1" x14ac:dyDescent="0.25">
      <c r="A339" s="29"/>
      <c r="B339" s="29"/>
      <c r="C339" s="30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spans="1:21" ht="16.5" customHeight="1" x14ac:dyDescent="0.25">
      <c r="A340" s="29"/>
      <c r="B340" s="29"/>
      <c r="C340" s="30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spans="1:21" ht="16.5" customHeight="1" x14ac:dyDescent="0.25">
      <c r="A341" s="29"/>
      <c r="B341" s="29"/>
      <c r="C341" s="30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spans="1:21" ht="16.5" customHeight="1" x14ac:dyDescent="0.25">
      <c r="A342" s="29"/>
      <c r="B342" s="29"/>
      <c r="C342" s="30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spans="1:21" ht="16.5" customHeight="1" x14ac:dyDescent="0.25">
      <c r="A343" s="29"/>
      <c r="B343" s="29"/>
      <c r="C343" s="30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spans="1:21" ht="16.5" customHeight="1" x14ac:dyDescent="0.25">
      <c r="A344" s="29"/>
      <c r="B344" s="29"/>
      <c r="C344" s="30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spans="1:21" ht="16.5" customHeight="1" x14ac:dyDescent="0.25">
      <c r="A345" s="29"/>
      <c r="B345" s="29"/>
      <c r="C345" s="30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spans="1:21" ht="16.5" customHeight="1" x14ac:dyDescent="0.25">
      <c r="A346" s="29"/>
      <c r="B346" s="29"/>
      <c r="C346" s="30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spans="1:21" ht="16.5" customHeight="1" x14ac:dyDescent="0.25">
      <c r="A347" s="29"/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spans="1:21" ht="16.5" customHeight="1" x14ac:dyDescent="0.25">
      <c r="A348" s="29"/>
      <c r="B348" s="29"/>
      <c r="C348" s="30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spans="1:21" ht="16.5" customHeight="1" x14ac:dyDescent="0.25">
      <c r="A349" s="29"/>
      <c r="B349" s="29"/>
      <c r="C349" s="30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spans="1:21" ht="16.5" customHeight="1" x14ac:dyDescent="0.25">
      <c r="A350" s="29"/>
      <c r="B350" s="29"/>
      <c r="C350" s="30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spans="1:21" ht="16.5" customHeight="1" x14ac:dyDescent="0.25">
      <c r="A351" s="29"/>
      <c r="B351" s="29"/>
      <c r="C351" s="30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spans="1:21" ht="16.5" customHeight="1" x14ac:dyDescent="0.25">
      <c r="A352" s="29"/>
      <c r="B352" s="29"/>
      <c r="C352" s="30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spans="1:21" ht="16.5" customHeight="1" x14ac:dyDescent="0.25">
      <c r="A353" s="29"/>
      <c r="B353" s="29"/>
      <c r="C353" s="30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spans="1:21" ht="16.5" customHeight="1" x14ac:dyDescent="0.25">
      <c r="A354" s="29"/>
      <c r="B354" s="29"/>
      <c r="C354" s="30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spans="1:21" ht="16.5" customHeight="1" x14ac:dyDescent="0.25">
      <c r="A355" s="29"/>
      <c r="B355" s="29"/>
      <c r="C355" s="30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spans="1:21" ht="16.5" customHeight="1" x14ac:dyDescent="0.25">
      <c r="A356" s="29"/>
      <c r="B356" s="29"/>
      <c r="C356" s="30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spans="1:21" ht="16.5" customHeight="1" x14ac:dyDescent="0.25">
      <c r="A357" s="29"/>
      <c r="B357" s="29"/>
      <c r="C357" s="30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spans="1:21" ht="16.5" customHeight="1" x14ac:dyDescent="0.25">
      <c r="A358" s="29"/>
      <c r="B358" s="29"/>
      <c r="C358" s="30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spans="1:21" ht="16.5" customHeight="1" x14ac:dyDescent="0.25">
      <c r="A359" s="29"/>
      <c r="B359" s="29"/>
      <c r="C359" s="30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spans="1:21" ht="16.5" customHeight="1" x14ac:dyDescent="0.25">
      <c r="A360" s="29"/>
      <c r="B360" s="29"/>
      <c r="C360" s="30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spans="1:21" ht="16.5" customHeight="1" x14ac:dyDescent="0.25">
      <c r="A361" s="29"/>
      <c r="B361" s="29"/>
      <c r="C361" s="30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spans="1:21" ht="16.5" customHeight="1" x14ac:dyDescent="0.25">
      <c r="A362" s="29"/>
      <c r="B362" s="29"/>
      <c r="C362" s="30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spans="1:21" ht="16.5" customHeight="1" x14ac:dyDescent="0.25">
      <c r="A363" s="29"/>
      <c r="B363" s="29"/>
      <c r="C363" s="3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spans="1:21" ht="16.5" customHeight="1" x14ac:dyDescent="0.25">
      <c r="A364" s="29"/>
      <c r="B364" s="29"/>
      <c r="C364" s="30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spans="1:21" ht="16.5" customHeight="1" x14ac:dyDescent="0.25">
      <c r="A365" s="29"/>
      <c r="B365" s="29"/>
      <c r="C365" s="30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spans="1:21" ht="16.5" customHeight="1" x14ac:dyDescent="0.25">
      <c r="A366" s="29"/>
      <c r="B366" s="29"/>
      <c r="C366" s="30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spans="1:21" ht="16.5" customHeight="1" x14ac:dyDescent="0.25">
      <c r="A367" s="29"/>
      <c r="B367" s="29"/>
      <c r="C367" s="30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spans="1:21" ht="16.5" customHeight="1" x14ac:dyDescent="0.25">
      <c r="A368" s="29"/>
      <c r="B368" s="29"/>
      <c r="C368" s="30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spans="1:21" ht="16.5" customHeight="1" x14ac:dyDescent="0.25">
      <c r="A369" s="29"/>
      <c r="B369" s="29"/>
      <c r="C369" s="30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spans="1:21" ht="16.5" customHeight="1" x14ac:dyDescent="0.25">
      <c r="A370" s="29"/>
      <c r="B370" s="29"/>
      <c r="C370" s="30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spans="1:21" ht="16.5" customHeight="1" x14ac:dyDescent="0.25">
      <c r="A371" s="29"/>
      <c r="B371" s="29"/>
      <c r="C371" s="30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spans="1:21" ht="16.5" customHeight="1" x14ac:dyDescent="0.25">
      <c r="A372" s="29"/>
      <c r="B372" s="29"/>
      <c r="C372" s="30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spans="1:21" ht="16.5" customHeight="1" x14ac:dyDescent="0.25">
      <c r="A373" s="29"/>
      <c r="B373" s="29"/>
      <c r="C373" s="30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spans="1:21" ht="16.5" customHeight="1" x14ac:dyDescent="0.25">
      <c r="A374" s="29"/>
      <c r="B374" s="29"/>
      <c r="C374" s="30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spans="1:21" ht="16.5" customHeight="1" x14ac:dyDescent="0.25">
      <c r="A375" s="29"/>
      <c r="B375" s="29"/>
      <c r="C375" s="30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spans="1:21" ht="16.5" customHeight="1" x14ac:dyDescent="0.25">
      <c r="A376" s="29"/>
      <c r="B376" s="29"/>
      <c r="C376" s="30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spans="1:21" ht="16.5" customHeight="1" x14ac:dyDescent="0.25">
      <c r="A377" s="29"/>
      <c r="B377" s="29"/>
      <c r="C377" s="30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spans="1:21" ht="16.5" customHeight="1" x14ac:dyDescent="0.25">
      <c r="A378" s="29"/>
      <c r="B378" s="29"/>
      <c r="C378" s="30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spans="1:21" ht="16.5" customHeight="1" x14ac:dyDescent="0.25">
      <c r="A379" s="29"/>
      <c r="B379" s="29"/>
      <c r="C379" s="30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spans="1:21" ht="16.5" customHeight="1" x14ac:dyDescent="0.25">
      <c r="A380" s="29"/>
      <c r="B380" s="29"/>
      <c r="C380" s="30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spans="1:21" ht="16.5" customHeight="1" x14ac:dyDescent="0.25">
      <c r="A381" s="29"/>
      <c r="B381" s="29"/>
      <c r="C381" s="30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spans="1:21" ht="16.5" customHeight="1" x14ac:dyDescent="0.25">
      <c r="A382" s="29"/>
      <c r="B382" s="29"/>
      <c r="C382" s="30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spans="1:21" ht="16.5" customHeight="1" x14ac:dyDescent="0.25">
      <c r="A383" s="29"/>
      <c r="B383" s="29"/>
      <c r="C383" s="30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spans="1:21" ht="16.5" customHeight="1" x14ac:dyDescent="0.25">
      <c r="A384" s="29"/>
      <c r="B384" s="29"/>
      <c r="C384" s="30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spans="1:21" ht="16.5" customHeight="1" x14ac:dyDescent="0.25">
      <c r="A385" s="29"/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spans="1:21" ht="16.5" customHeight="1" x14ac:dyDescent="0.25">
      <c r="A386" s="29"/>
      <c r="B386" s="29"/>
      <c r="C386" s="30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spans="1:21" ht="16.5" customHeight="1" x14ac:dyDescent="0.25">
      <c r="A387" s="29"/>
      <c r="B387" s="29"/>
      <c r="C387" s="30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spans="1:21" ht="16.5" customHeight="1" x14ac:dyDescent="0.25">
      <c r="A388" s="29"/>
      <c r="B388" s="29"/>
      <c r="C388" s="30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spans="1:21" ht="16.5" customHeight="1" x14ac:dyDescent="0.25">
      <c r="A389" s="29"/>
      <c r="B389" s="29"/>
      <c r="C389" s="30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spans="1:21" ht="16.5" customHeight="1" x14ac:dyDescent="0.25">
      <c r="A390" s="29"/>
      <c r="B390" s="29"/>
      <c r="C390" s="30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spans="1:21" ht="16.5" customHeight="1" x14ac:dyDescent="0.25">
      <c r="A391" s="29"/>
      <c r="B391" s="29"/>
      <c r="C391" s="30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spans="1:21" ht="16.5" customHeight="1" x14ac:dyDescent="0.25">
      <c r="A392" s="29"/>
      <c r="B392" s="29"/>
      <c r="C392" s="30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spans="1:21" ht="16.5" customHeight="1" x14ac:dyDescent="0.25">
      <c r="A393" s="29"/>
      <c r="B393" s="29"/>
      <c r="C393" s="30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spans="1:21" ht="16.5" customHeight="1" x14ac:dyDescent="0.25">
      <c r="A394" s="29"/>
      <c r="B394" s="29"/>
      <c r="C394" s="30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spans="1:21" ht="16.5" customHeight="1" x14ac:dyDescent="0.25">
      <c r="A395" s="29"/>
      <c r="B395" s="29"/>
      <c r="C395" s="30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spans="1:21" ht="16.5" customHeight="1" x14ac:dyDescent="0.25">
      <c r="A396" s="29"/>
      <c r="B396" s="29"/>
      <c r="C396" s="30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spans="1:21" ht="16.5" customHeight="1" x14ac:dyDescent="0.25">
      <c r="A397" s="29"/>
      <c r="B397" s="29"/>
      <c r="C397" s="30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spans="1:21" ht="16.5" customHeight="1" x14ac:dyDescent="0.25">
      <c r="A398" s="29"/>
      <c r="B398" s="29"/>
      <c r="C398" s="30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spans="1:21" ht="16.5" customHeight="1" x14ac:dyDescent="0.25">
      <c r="A399" s="29"/>
      <c r="B399" s="29"/>
      <c r="C399" s="30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spans="1:21" ht="16.5" customHeight="1" x14ac:dyDescent="0.25">
      <c r="A400" s="29"/>
      <c r="B400" s="29"/>
      <c r="C400" s="30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spans="1:21" ht="16.5" customHeight="1" x14ac:dyDescent="0.25">
      <c r="A401" s="29"/>
      <c r="B401" s="29"/>
      <c r="C401" s="30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spans="1:21" ht="16.5" customHeight="1" x14ac:dyDescent="0.25">
      <c r="A402" s="29"/>
      <c r="B402" s="29"/>
      <c r="C402" s="30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spans="1:21" ht="16.5" customHeight="1" x14ac:dyDescent="0.25">
      <c r="A403" s="29"/>
      <c r="B403" s="29"/>
      <c r="C403" s="30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spans="1:21" ht="16.5" customHeight="1" x14ac:dyDescent="0.25">
      <c r="A404" s="29"/>
      <c r="B404" s="29"/>
      <c r="C404" s="30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spans="1:21" ht="16.5" customHeight="1" x14ac:dyDescent="0.25">
      <c r="A405" s="29"/>
      <c r="B405" s="29"/>
      <c r="C405" s="30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spans="1:21" ht="16.5" customHeight="1" x14ac:dyDescent="0.25">
      <c r="A406" s="29"/>
      <c r="B406" s="29"/>
      <c r="C406" s="30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spans="1:21" ht="16.5" customHeight="1" x14ac:dyDescent="0.25">
      <c r="A407" s="29"/>
      <c r="B407" s="29"/>
      <c r="C407" s="30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spans="1:21" ht="16.5" customHeight="1" x14ac:dyDescent="0.25">
      <c r="A408" s="29"/>
      <c r="B408" s="29"/>
      <c r="C408" s="30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spans="1:21" ht="16.5" customHeight="1" x14ac:dyDescent="0.25">
      <c r="A409" s="29"/>
      <c r="B409" s="29"/>
      <c r="C409" s="30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spans="1:21" ht="16.5" customHeight="1" x14ac:dyDescent="0.25">
      <c r="A410" s="29"/>
      <c r="B410" s="29"/>
      <c r="C410" s="30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spans="1:21" ht="16.5" customHeight="1" x14ac:dyDescent="0.25">
      <c r="A411" s="29"/>
      <c r="B411" s="29"/>
      <c r="C411" s="30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spans="1:21" ht="16.5" customHeight="1" x14ac:dyDescent="0.25">
      <c r="A412" s="29"/>
      <c r="B412" s="29"/>
      <c r="C412" s="30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spans="1:21" ht="16.5" customHeight="1" x14ac:dyDescent="0.25">
      <c r="A413" s="29"/>
      <c r="B413" s="29"/>
      <c r="C413" s="30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spans="1:21" ht="16.5" customHeight="1" x14ac:dyDescent="0.25">
      <c r="A414" s="29"/>
      <c r="B414" s="29"/>
      <c r="C414" s="30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spans="1:21" ht="16.5" customHeight="1" x14ac:dyDescent="0.25">
      <c r="A415" s="29"/>
      <c r="B415" s="29"/>
      <c r="C415" s="30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spans="1:21" ht="16.5" customHeight="1" x14ac:dyDescent="0.25">
      <c r="A416" s="29"/>
      <c r="B416" s="29"/>
      <c r="C416" s="30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spans="1:21" ht="16.5" customHeight="1" x14ac:dyDescent="0.25">
      <c r="A417" s="29"/>
      <c r="B417" s="29"/>
      <c r="C417" s="30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spans="1:21" ht="16.5" customHeight="1" x14ac:dyDescent="0.25">
      <c r="A418" s="29"/>
      <c r="B418" s="29"/>
      <c r="C418" s="30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spans="1:21" ht="16.5" customHeight="1" x14ac:dyDescent="0.25">
      <c r="A419" s="29"/>
      <c r="B419" s="29"/>
      <c r="C419" s="30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spans="1:21" ht="16.5" customHeight="1" x14ac:dyDescent="0.25">
      <c r="A420" s="29"/>
      <c r="B420" s="29"/>
      <c r="C420" s="30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spans="1:21" ht="16.5" customHeight="1" x14ac:dyDescent="0.25">
      <c r="A421" s="29"/>
      <c r="B421" s="29"/>
      <c r="C421" s="30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spans="1:21" ht="16.5" customHeight="1" x14ac:dyDescent="0.25">
      <c r="A422" s="29"/>
      <c r="B422" s="29"/>
      <c r="C422" s="30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spans="1:21" ht="16.5" customHeight="1" x14ac:dyDescent="0.25">
      <c r="A423" s="29"/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spans="1:21" ht="16.5" customHeight="1" x14ac:dyDescent="0.25">
      <c r="A424" s="29"/>
      <c r="B424" s="29"/>
      <c r="C424" s="30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spans="1:21" ht="16.5" customHeight="1" x14ac:dyDescent="0.25">
      <c r="A425" s="29"/>
      <c r="B425" s="29"/>
      <c r="C425" s="30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spans="1:21" ht="16.5" customHeight="1" x14ac:dyDescent="0.25">
      <c r="A426" s="29"/>
      <c r="B426" s="29"/>
      <c r="C426" s="30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spans="1:21" ht="16.5" customHeight="1" x14ac:dyDescent="0.25">
      <c r="A427" s="29"/>
      <c r="B427" s="29"/>
      <c r="C427" s="30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spans="1:21" ht="16.5" customHeight="1" x14ac:dyDescent="0.25">
      <c r="A428" s="29"/>
      <c r="B428" s="29"/>
      <c r="C428" s="30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spans="1:21" ht="16.5" customHeight="1" x14ac:dyDescent="0.25">
      <c r="A429" s="29"/>
      <c r="B429" s="29"/>
      <c r="C429" s="30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spans="1:21" ht="16.5" customHeight="1" x14ac:dyDescent="0.25">
      <c r="A430" s="29"/>
      <c r="B430" s="29"/>
      <c r="C430" s="30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spans="1:21" ht="16.5" customHeight="1" x14ac:dyDescent="0.25">
      <c r="A431" s="29"/>
      <c r="B431" s="29"/>
      <c r="C431" s="30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spans="1:21" ht="16.5" customHeight="1" x14ac:dyDescent="0.25">
      <c r="A432" s="29"/>
      <c r="B432" s="29"/>
      <c r="C432" s="30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spans="1:21" ht="16.5" customHeight="1" x14ac:dyDescent="0.25">
      <c r="A433" s="29"/>
      <c r="B433" s="29"/>
      <c r="C433" s="30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spans="1:21" ht="16.5" customHeight="1" x14ac:dyDescent="0.25">
      <c r="A434" s="29"/>
      <c r="B434" s="29"/>
      <c r="C434" s="30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spans="1:21" ht="16.5" customHeight="1" x14ac:dyDescent="0.25">
      <c r="A435" s="29"/>
      <c r="B435" s="29"/>
      <c r="C435" s="30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spans="1:21" ht="16.5" customHeight="1" x14ac:dyDescent="0.25">
      <c r="A436" s="29"/>
      <c r="B436" s="29"/>
      <c r="C436" s="30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spans="1:21" ht="16.5" customHeight="1" x14ac:dyDescent="0.25">
      <c r="A437" s="29"/>
      <c r="B437" s="29"/>
      <c r="C437" s="30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spans="1:21" ht="16.5" customHeight="1" x14ac:dyDescent="0.25">
      <c r="A438" s="29"/>
      <c r="B438" s="29"/>
      <c r="C438" s="30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spans="1:21" ht="16.5" customHeight="1" x14ac:dyDescent="0.25">
      <c r="A439" s="29"/>
      <c r="B439" s="29"/>
      <c r="C439" s="30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spans="1:21" ht="16.5" customHeight="1" x14ac:dyDescent="0.25">
      <c r="A440" s="29"/>
      <c r="B440" s="29"/>
      <c r="C440" s="30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spans="1:21" ht="16.5" customHeight="1" x14ac:dyDescent="0.25">
      <c r="A441" s="29"/>
      <c r="B441" s="29"/>
      <c r="C441" s="30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spans="1:21" ht="16.5" customHeight="1" x14ac:dyDescent="0.25">
      <c r="A442" s="29"/>
      <c r="B442" s="29"/>
      <c r="C442" s="30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spans="1:21" ht="16.5" customHeight="1" x14ac:dyDescent="0.25">
      <c r="A443" s="29"/>
      <c r="B443" s="29"/>
      <c r="C443" s="30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spans="1:21" ht="16.5" customHeight="1" x14ac:dyDescent="0.25">
      <c r="A444" s="29"/>
      <c r="B444" s="29"/>
      <c r="C444" s="30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spans="1:21" ht="16.5" customHeight="1" x14ac:dyDescent="0.25">
      <c r="A445" s="29"/>
      <c r="B445" s="29"/>
      <c r="C445" s="30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spans="1:21" ht="16.5" customHeight="1" x14ac:dyDescent="0.25">
      <c r="A446" s="29"/>
      <c r="B446" s="29"/>
      <c r="C446" s="30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spans="1:21" ht="16.5" customHeight="1" x14ac:dyDescent="0.25">
      <c r="A447" s="29"/>
      <c r="B447" s="29"/>
      <c r="C447" s="30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spans="1:21" ht="16.5" customHeight="1" x14ac:dyDescent="0.25">
      <c r="A448" s="29"/>
      <c r="B448" s="29"/>
      <c r="C448" s="30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spans="1:21" ht="16.5" customHeight="1" x14ac:dyDescent="0.25">
      <c r="A449" s="29"/>
      <c r="B449" s="29"/>
      <c r="C449" s="30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spans="1:21" ht="16.5" customHeight="1" x14ac:dyDescent="0.25">
      <c r="A450" s="29"/>
      <c r="B450" s="29"/>
      <c r="C450" s="30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spans="1:21" ht="16.5" customHeight="1" x14ac:dyDescent="0.25">
      <c r="A451" s="29"/>
      <c r="B451" s="29"/>
      <c r="C451" s="30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spans="1:21" ht="16.5" customHeight="1" x14ac:dyDescent="0.25">
      <c r="A452" s="29"/>
      <c r="B452" s="29"/>
      <c r="C452" s="30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spans="1:21" ht="16.5" customHeight="1" x14ac:dyDescent="0.25">
      <c r="A453" s="29"/>
      <c r="B453" s="29"/>
      <c r="C453" s="30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spans="1:21" ht="16.5" customHeight="1" x14ac:dyDescent="0.25">
      <c r="A454" s="29"/>
      <c r="B454" s="29"/>
      <c r="C454" s="30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spans="1:21" ht="16.5" customHeight="1" x14ac:dyDescent="0.25">
      <c r="A455" s="29"/>
      <c r="B455" s="29"/>
      <c r="C455" s="30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spans="1:21" ht="16.5" customHeight="1" x14ac:dyDescent="0.25">
      <c r="A456" s="29"/>
      <c r="B456" s="29"/>
      <c r="C456" s="30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spans="1:21" ht="16.5" customHeight="1" x14ac:dyDescent="0.25">
      <c r="A457" s="29"/>
      <c r="B457" s="29"/>
      <c r="C457" s="30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spans="1:21" ht="16.5" customHeight="1" x14ac:dyDescent="0.25">
      <c r="A458" s="29"/>
      <c r="B458" s="29"/>
      <c r="C458" s="30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spans="1:21" ht="16.5" customHeight="1" x14ac:dyDescent="0.25">
      <c r="A459" s="29"/>
      <c r="B459" s="29"/>
      <c r="C459" s="30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spans="1:21" ht="16.5" customHeight="1" x14ac:dyDescent="0.25">
      <c r="A460" s="29"/>
      <c r="B460" s="29"/>
      <c r="C460" s="30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spans="1:21" ht="16.5" customHeight="1" x14ac:dyDescent="0.25">
      <c r="A461" s="29"/>
      <c r="B461" s="29"/>
      <c r="C461" s="30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spans="1:21" ht="16.5" customHeight="1" x14ac:dyDescent="0.25">
      <c r="A462" s="29"/>
      <c r="B462" s="29"/>
      <c r="C462" s="30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spans="1:21" ht="16.5" customHeight="1" x14ac:dyDescent="0.25">
      <c r="A463" s="29"/>
      <c r="B463" s="29"/>
      <c r="C463" s="30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spans="1:21" ht="16.5" customHeight="1" x14ac:dyDescent="0.25">
      <c r="A464" s="29"/>
      <c r="B464" s="29"/>
      <c r="C464" s="30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spans="1:21" ht="16.5" customHeight="1" x14ac:dyDescent="0.25">
      <c r="A465" s="29"/>
      <c r="B465" s="29"/>
      <c r="C465" s="30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spans="1:21" ht="16.5" customHeight="1" x14ac:dyDescent="0.25">
      <c r="A466" s="29"/>
      <c r="B466" s="29"/>
      <c r="C466" s="30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spans="1:21" ht="16.5" customHeight="1" x14ac:dyDescent="0.25">
      <c r="A467" s="29"/>
      <c r="B467" s="29"/>
      <c r="C467" s="30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spans="1:21" ht="16.5" customHeight="1" x14ac:dyDescent="0.25">
      <c r="A468" s="29"/>
      <c r="B468" s="29"/>
      <c r="C468" s="30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spans="1:21" ht="16.5" customHeight="1" x14ac:dyDescent="0.25">
      <c r="A469" s="29"/>
      <c r="B469" s="29"/>
      <c r="C469" s="30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spans="1:21" ht="16.5" customHeight="1" x14ac:dyDescent="0.25">
      <c r="A470" s="29"/>
      <c r="B470" s="29"/>
      <c r="C470" s="3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spans="1:21" ht="16.5" customHeight="1" x14ac:dyDescent="0.25">
      <c r="A471" s="29"/>
      <c r="B471" s="29"/>
      <c r="C471" s="30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spans="1:21" ht="16.5" customHeight="1" x14ac:dyDescent="0.25">
      <c r="A472" s="29"/>
      <c r="B472" s="29"/>
      <c r="C472" s="30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spans="1:21" ht="16.5" customHeight="1" x14ac:dyDescent="0.25">
      <c r="A473" s="29"/>
      <c r="B473" s="29"/>
      <c r="C473" s="30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spans="1:21" ht="16.5" customHeight="1" x14ac:dyDescent="0.25">
      <c r="A474" s="29"/>
      <c r="B474" s="29"/>
      <c r="C474" s="30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spans="1:21" ht="16.5" customHeight="1" x14ac:dyDescent="0.25">
      <c r="A475" s="29"/>
      <c r="B475" s="29"/>
      <c r="C475" s="30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spans="1:21" ht="16.5" customHeight="1" x14ac:dyDescent="0.25">
      <c r="A476" s="29"/>
      <c r="B476" s="29"/>
      <c r="C476" s="30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spans="1:21" ht="16.5" customHeight="1" x14ac:dyDescent="0.25">
      <c r="A477" s="29"/>
      <c r="B477" s="29"/>
      <c r="C477" s="30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spans="1:21" ht="16.5" customHeight="1" x14ac:dyDescent="0.25">
      <c r="A478" s="29"/>
      <c r="B478" s="29"/>
      <c r="C478" s="30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spans="1:21" ht="16.5" customHeight="1" x14ac:dyDescent="0.25">
      <c r="A479" s="29"/>
      <c r="B479" s="29"/>
      <c r="C479" s="30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spans="1:21" ht="16.5" customHeight="1" x14ac:dyDescent="0.25">
      <c r="A480" s="29"/>
      <c r="B480" s="29"/>
      <c r="C480" s="30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spans="1:21" ht="16.5" customHeight="1" x14ac:dyDescent="0.25">
      <c r="A481" s="29"/>
      <c r="B481" s="29"/>
      <c r="C481" s="30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spans="1:21" ht="16.5" customHeight="1" x14ac:dyDescent="0.25">
      <c r="A482" s="29"/>
      <c r="B482" s="29"/>
      <c r="C482" s="30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spans="1:21" ht="16.5" customHeight="1" x14ac:dyDescent="0.25">
      <c r="A483" s="29"/>
      <c r="B483" s="29"/>
      <c r="C483" s="30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spans="1:21" ht="16.5" customHeight="1" x14ac:dyDescent="0.25">
      <c r="A484" s="29"/>
      <c r="B484" s="29"/>
      <c r="C484" s="30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spans="1:21" ht="16.5" customHeight="1" x14ac:dyDescent="0.25">
      <c r="A485" s="29"/>
      <c r="B485" s="29"/>
      <c r="C485" s="30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spans="1:21" ht="16.5" customHeight="1" x14ac:dyDescent="0.25">
      <c r="A486" s="29"/>
      <c r="B486" s="29"/>
      <c r="C486" s="30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spans="1:21" ht="16.5" customHeight="1" x14ac:dyDescent="0.25">
      <c r="A487" s="29"/>
      <c r="B487" s="29"/>
      <c r="C487" s="30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spans="1:21" ht="16.5" customHeight="1" x14ac:dyDescent="0.25">
      <c r="A488" s="29"/>
      <c r="B488" s="29"/>
      <c r="C488" s="30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spans="1:21" ht="16.5" customHeight="1" x14ac:dyDescent="0.25">
      <c r="A489" s="29"/>
      <c r="B489" s="29"/>
      <c r="C489" s="30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spans="1:21" ht="16.5" customHeight="1" x14ac:dyDescent="0.25">
      <c r="A490" s="29"/>
      <c r="B490" s="29"/>
      <c r="C490" s="30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spans="1:21" ht="16.5" customHeight="1" x14ac:dyDescent="0.25">
      <c r="A491" s="29"/>
      <c r="B491" s="29"/>
      <c r="C491" s="30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spans="1:21" ht="16.5" customHeight="1" x14ac:dyDescent="0.25">
      <c r="A492" s="29"/>
      <c r="B492" s="29"/>
      <c r="C492" s="30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spans="1:21" ht="16.5" customHeight="1" x14ac:dyDescent="0.25">
      <c r="A493" s="29"/>
      <c r="B493" s="29"/>
      <c r="C493" s="30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spans="1:21" ht="16.5" customHeight="1" x14ac:dyDescent="0.25">
      <c r="A494" s="29"/>
      <c r="B494" s="29"/>
      <c r="C494" s="3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spans="1:21" ht="16.5" customHeight="1" x14ac:dyDescent="0.25">
      <c r="A495" s="29"/>
      <c r="B495" s="29"/>
      <c r="C495" s="30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spans="1:21" ht="16.5" customHeight="1" x14ac:dyDescent="0.25">
      <c r="A496" s="29"/>
      <c r="B496" s="29"/>
      <c r="C496" s="30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spans="1:21" ht="16.5" customHeight="1" x14ac:dyDescent="0.25">
      <c r="A497" s="29"/>
      <c r="B497" s="29"/>
      <c r="C497" s="30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spans="1:21" ht="16.5" customHeight="1" x14ac:dyDescent="0.25">
      <c r="A498" s="29"/>
      <c r="B498" s="29"/>
      <c r="C498" s="30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spans="1:21" ht="16.5" customHeight="1" x14ac:dyDescent="0.25">
      <c r="A499" s="29"/>
      <c r="B499" s="29"/>
      <c r="C499" s="30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spans="1:21" ht="16.5" customHeight="1" x14ac:dyDescent="0.25">
      <c r="A500" s="29"/>
      <c r="B500" s="29"/>
      <c r="C500" s="30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spans="1:21" ht="16.5" customHeight="1" x14ac:dyDescent="0.25">
      <c r="A501" s="29"/>
      <c r="B501" s="29"/>
      <c r="C501" s="30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spans="1:21" ht="16.5" customHeight="1" x14ac:dyDescent="0.25">
      <c r="A502" s="29"/>
      <c r="B502" s="29"/>
      <c r="C502" s="30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spans="1:21" ht="16.5" customHeight="1" x14ac:dyDescent="0.25">
      <c r="A503" s="29"/>
      <c r="B503" s="29"/>
      <c r="C503" s="30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spans="1:21" ht="16.5" customHeight="1" x14ac:dyDescent="0.25">
      <c r="A504" s="29"/>
      <c r="B504" s="29"/>
      <c r="C504" s="30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spans="1:21" ht="16.5" customHeight="1" x14ac:dyDescent="0.25">
      <c r="A505" s="29"/>
      <c r="B505" s="29"/>
      <c r="C505" s="30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spans="1:21" ht="16.5" customHeight="1" x14ac:dyDescent="0.25">
      <c r="A506" s="29"/>
      <c r="B506" s="29"/>
      <c r="C506" s="30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spans="1:21" ht="16.5" customHeight="1" x14ac:dyDescent="0.25">
      <c r="A507" s="29"/>
      <c r="B507" s="29"/>
      <c r="C507" s="30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spans="1:21" ht="16.5" customHeight="1" x14ac:dyDescent="0.25">
      <c r="A508" s="29"/>
      <c r="B508" s="29"/>
      <c r="C508" s="30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spans="1:21" ht="16.5" customHeight="1" x14ac:dyDescent="0.25">
      <c r="A509" s="29"/>
      <c r="B509" s="29"/>
      <c r="C509" s="30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spans="1:21" ht="16.5" customHeight="1" x14ac:dyDescent="0.25">
      <c r="A510" s="29"/>
      <c r="B510" s="29"/>
      <c r="C510" s="30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spans="1:21" ht="16.5" customHeight="1" x14ac:dyDescent="0.25">
      <c r="A511" s="29"/>
      <c r="B511" s="29"/>
      <c r="C511" s="30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spans="1:21" ht="16.5" customHeight="1" x14ac:dyDescent="0.25">
      <c r="A512" s="29"/>
      <c r="B512" s="29"/>
      <c r="C512" s="30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spans="1:21" ht="16.5" customHeight="1" x14ac:dyDescent="0.25">
      <c r="A513" s="29"/>
      <c r="B513" s="29"/>
      <c r="C513" s="30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spans="1:21" ht="16.5" customHeight="1" x14ac:dyDescent="0.25">
      <c r="A514" s="29"/>
      <c r="B514" s="29"/>
      <c r="C514" s="30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spans="1:21" ht="16.5" customHeight="1" x14ac:dyDescent="0.25">
      <c r="A515" s="29"/>
      <c r="B515" s="29"/>
      <c r="C515" s="30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spans="1:21" ht="16.5" customHeight="1" x14ac:dyDescent="0.25">
      <c r="A516" s="29"/>
      <c r="B516" s="29"/>
      <c r="C516" s="30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spans="1:21" ht="16.5" customHeight="1" x14ac:dyDescent="0.25">
      <c r="A517" s="29"/>
      <c r="B517" s="29"/>
      <c r="C517" s="30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spans="1:21" ht="16.5" customHeight="1" x14ac:dyDescent="0.25">
      <c r="A518" s="29"/>
      <c r="B518" s="29"/>
      <c r="C518" s="30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spans="1:21" ht="16.5" customHeight="1" x14ac:dyDescent="0.25">
      <c r="A519" s="29"/>
      <c r="B519" s="29"/>
      <c r="C519" s="30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spans="1:21" ht="16.5" customHeight="1" x14ac:dyDescent="0.25">
      <c r="A520" s="29"/>
      <c r="B520" s="29"/>
      <c r="C520" s="30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spans="1:21" ht="16.5" customHeight="1" x14ac:dyDescent="0.25">
      <c r="A521" s="29"/>
      <c r="B521" s="29"/>
      <c r="C521" s="30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spans="1:21" ht="16.5" customHeight="1" x14ac:dyDescent="0.25">
      <c r="A522" s="29"/>
      <c r="B522" s="29"/>
      <c r="C522" s="30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spans="1:21" ht="16.5" customHeight="1" x14ac:dyDescent="0.25">
      <c r="A523" s="29"/>
      <c r="B523" s="29"/>
      <c r="C523" s="30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spans="1:21" ht="16.5" customHeight="1" x14ac:dyDescent="0.25">
      <c r="A524" s="29"/>
      <c r="B524" s="29"/>
      <c r="C524" s="30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spans="1:21" ht="16.5" customHeight="1" x14ac:dyDescent="0.25">
      <c r="A525" s="29"/>
      <c r="B525" s="29"/>
      <c r="C525" s="30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spans="1:21" ht="16.5" customHeight="1" x14ac:dyDescent="0.25">
      <c r="A526" s="29"/>
      <c r="B526" s="29"/>
      <c r="C526" s="30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spans="1:21" ht="16.5" customHeight="1" x14ac:dyDescent="0.25">
      <c r="A527" s="29"/>
      <c r="B527" s="29"/>
      <c r="C527" s="30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spans="1:21" ht="16.5" customHeight="1" x14ac:dyDescent="0.25">
      <c r="A528" s="29"/>
      <c r="B528" s="29"/>
      <c r="C528" s="30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spans="1:21" ht="16.5" customHeight="1" x14ac:dyDescent="0.25">
      <c r="A529" s="29"/>
      <c r="B529" s="29"/>
      <c r="C529" s="30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spans="1:21" ht="16.5" customHeight="1" x14ac:dyDescent="0.25">
      <c r="A530" s="29"/>
      <c r="B530" s="29"/>
      <c r="C530" s="30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spans="1:21" ht="16.5" customHeight="1" x14ac:dyDescent="0.25">
      <c r="A531" s="29"/>
      <c r="B531" s="29"/>
      <c r="C531" s="30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spans="1:21" ht="16.5" customHeight="1" x14ac:dyDescent="0.25">
      <c r="A532" s="29"/>
      <c r="B532" s="29"/>
      <c r="C532" s="30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spans="1:21" ht="16.5" customHeight="1" x14ac:dyDescent="0.25">
      <c r="A533" s="29"/>
      <c r="B533" s="29"/>
      <c r="C533" s="30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spans="1:21" ht="16.5" customHeight="1" x14ac:dyDescent="0.25">
      <c r="A534" s="29"/>
      <c r="B534" s="29"/>
      <c r="C534" s="30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spans="1:21" ht="16.5" customHeight="1" x14ac:dyDescent="0.25">
      <c r="A535" s="29"/>
      <c r="B535" s="29"/>
      <c r="C535" s="30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spans="1:21" ht="16.5" customHeight="1" x14ac:dyDescent="0.25">
      <c r="A536" s="29"/>
      <c r="B536" s="29"/>
      <c r="C536" s="30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spans="1:21" ht="16.5" customHeight="1" x14ac:dyDescent="0.25">
      <c r="A537" s="29"/>
      <c r="B537" s="29"/>
      <c r="C537" s="30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spans="1:21" ht="16.5" customHeight="1" x14ac:dyDescent="0.25">
      <c r="A538" s="29"/>
      <c r="B538" s="29"/>
      <c r="C538" s="30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spans="1:21" ht="16.5" customHeight="1" x14ac:dyDescent="0.25">
      <c r="A539" s="29"/>
      <c r="B539" s="29"/>
      <c r="C539" s="30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spans="1:21" ht="16.5" customHeight="1" x14ac:dyDescent="0.25">
      <c r="A540" s="29"/>
      <c r="B540" s="29"/>
      <c r="C540" s="30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spans="1:21" ht="16.5" customHeight="1" x14ac:dyDescent="0.25">
      <c r="A541" s="29"/>
      <c r="B541" s="29"/>
      <c r="C541" s="30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spans="1:21" ht="16.5" customHeight="1" x14ac:dyDescent="0.25">
      <c r="A542" s="29"/>
      <c r="B542" s="29"/>
      <c r="C542" s="30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spans="1:21" ht="16.5" customHeight="1" x14ac:dyDescent="0.25">
      <c r="A543" s="29"/>
      <c r="B543" s="29"/>
      <c r="C543" s="30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spans="1:21" ht="16.5" customHeight="1" x14ac:dyDescent="0.25">
      <c r="A544" s="29"/>
      <c r="B544" s="29"/>
      <c r="C544" s="30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spans="1:21" ht="16.5" customHeight="1" x14ac:dyDescent="0.25">
      <c r="A545" s="29"/>
      <c r="B545" s="29"/>
      <c r="C545" s="30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spans="1:21" ht="16.5" customHeight="1" x14ac:dyDescent="0.25">
      <c r="A546" s="29"/>
      <c r="B546" s="29"/>
      <c r="C546" s="30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spans="1:21" ht="16.5" customHeight="1" x14ac:dyDescent="0.25">
      <c r="A547" s="29"/>
      <c r="B547" s="29"/>
      <c r="C547" s="30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spans="1:21" ht="16.5" customHeight="1" x14ac:dyDescent="0.25">
      <c r="A548" s="29"/>
      <c r="B548" s="29"/>
      <c r="C548" s="30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spans="1:21" ht="16.5" customHeight="1" x14ac:dyDescent="0.25">
      <c r="A549" s="29"/>
      <c r="B549" s="29"/>
      <c r="C549" s="30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spans="1:21" ht="16.5" customHeight="1" x14ac:dyDescent="0.25">
      <c r="A550" s="29"/>
      <c r="B550" s="29"/>
      <c r="C550" s="30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spans="1:21" ht="16.5" customHeight="1" x14ac:dyDescent="0.25">
      <c r="A551" s="29"/>
      <c r="B551" s="29"/>
      <c r="C551" s="30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spans="1:21" ht="16.5" customHeight="1" x14ac:dyDescent="0.25">
      <c r="A552" s="29"/>
      <c r="B552" s="29"/>
      <c r="C552" s="30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spans="1:21" ht="16.5" customHeight="1" x14ac:dyDescent="0.25">
      <c r="A553" s="29"/>
      <c r="B553" s="29"/>
      <c r="C553" s="30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spans="1:21" ht="16.5" customHeight="1" x14ac:dyDescent="0.25">
      <c r="A554" s="29"/>
      <c r="B554" s="29"/>
      <c r="C554" s="30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spans="1:21" ht="16.5" customHeight="1" x14ac:dyDescent="0.25">
      <c r="A555" s="29"/>
      <c r="B555" s="29"/>
      <c r="C555" s="30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spans="1:21" ht="16.5" customHeight="1" x14ac:dyDescent="0.25">
      <c r="A556" s="29"/>
      <c r="B556" s="29"/>
      <c r="C556" s="30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spans="1:21" ht="16.5" customHeight="1" x14ac:dyDescent="0.25">
      <c r="A557" s="29"/>
      <c r="B557" s="29"/>
      <c r="C557" s="30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spans="1:21" ht="16.5" customHeight="1" x14ac:dyDescent="0.25">
      <c r="A558" s="29"/>
      <c r="B558" s="29"/>
      <c r="C558" s="30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spans="1:21" ht="16.5" customHeight="1" x14ac:dyDescent="0.25">
      <c r="A559" s="29"/>
      <c r="B559" s="29"/>
      <c r="C559" s="30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spans="1:21" ht="16.5" customHeight="1" x14ac:dyDescent="0.25">
      <c r="A560" s="29"/>
      <c r="B560" s="29"/>
      <c r="C560" s="30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spans="1:21" ht="16.5" customHeight="1" x14ac:dyDescent="0.25">
      <c r="A561" s="29"/>
      <c r="B561" s="29"/>
      <c r="C561" s="30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spans="1:21" ht="16.5" customHeight="1" x14ac:dyDescent="0.25">
      <c r="A562" s="29"/>
      <c r="B562" s="29"/>
      <c r="C562" s="30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spans="1:21" ht="16.5" customHeight="1" x14ac:dyDescent="0.25">
      <c r="A563" s="29"/>
      <c r="B563" s="29"/>
      <c r="C563" s="30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spans="1:21" ht="16.5" customHeight="1" x14ac:dyDescent="0.25">
      <c r="A564" s="29"/>
      <c r="B564" s="29"/>
      <c r="C564" s="30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spans="1:21" ht="16.5" customHeight="1" x14ac:dyDescent="0.25">
      <c r="A565" s="29"/>
      <c r="B565" s="29"/>
      <c r="C565" s="30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spans="1:21" ht="16.5" customHeight="1" x14ac:dyDescent="0.25">
      <c r="A566" s="29"/>
      <c r="B566" s="29"/>
      <c r="C566" s="30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spans="1:21" ht="16.5" customHeight="1" x14ac:dyDescent="0.25">
      <c r="A567" s="29"/>
      <c r="B567" s="29"/>
      <c r="C567" s="30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spans="1:21" ht="16.5" customHeight="1" x14ac:dyDescent="0.25">
      <c r="A568" s="29"/>
      <c r="B568" s="29"/>
      <c r="C568" s="30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spans="1:21" ht="16.5" customHeight="1" x14ac:dyDescent="0.25">
      <c r="A569" s="29"/>
      <c r="B569" s="29"/>
      <c r="C569" s="30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spans="1:21" ht="16.5" customHeight="1" x14ac:dyDescent="0.25">
      <c r="A570" s="29"/>
      <c r="B570" s="29"/>
      <c r="C570" s="30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spans="1:21" ht="16.5" customHeight="1" x14ac:dyDescent="0.25">
      <c r="A571" s="29"/>
      <c r="B571" s="29"/>
      <c r="C571" s="30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spans="1:21" ht="16.5" customHeight="1" x14ac:dyDescent="0.25">
      <c r="A572" s="29"/>
      <c r="B572" s="29"/>
      <c r="C572" s="30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spans="1:21" ht="16.5" customHeight="1" x14ac:dyDescent="0.25">
      <c r="A573" s="29"/>
      <c r="B573" s="29"/>
      <c r="C573" s="30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spans="1:21" ht="16.5" customHeight="1" x14ac:dyDescent="0.25">
      <c r="A574" s="29"/>
      <c r="B574" s="29"/>
      <c r="C574" s="30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spans="1:21" ht="16.5" customHeight="1" x14ac:dyDescent="0.25">
      <c r="A575" s="29"/>
      <c r="B575" s="29"/>
      <c r="C575" s="30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spans="1:21" ht="16.5" customHeight="1" x14ac:dyDescent="0.25">
      <c r="A576" s="29"/>
      <c r="B576" s="29"/>
      <c r="C576" s="30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spans="1:21" ht="16.5" customHeight="1" x14ac:dyDescent="0.25">
      <c r="A577" s="29"/>
      <c r="B577" s="29"/>
      <c r="C577" s="30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spans="1:21" ht="16.5" customHeight="1" x14ac:dyDescent="0.25">
      <c r="A578" s="29"/>
      <c r="B578" s="29"/>
      <c r="C578" s="30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spans="1:21" ht="16.5" customHeight="1" x14ac:dyDescent="0.25">
      <c r="A579" s="29"/>
      <c r="B579" s="29"/>
      <c r="C579" s="30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spans="1:21" ht="16.5" customHeight="1" x14ac:dyDescent="0.25">
      <c r="A580" s="29"/>
      <c r="B580" s="29"/>
      <c r="C580" s="30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spans="1:21" ht="16.5" customHeight="1" x14ac:dyDescent="0.25">
      <c r="A581" s="29"/>
      <c r="B581" s="29"/>
      <c r="C581" s="30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spans="1:21" ht="16.5" customHeight="1" x14ac:dyDescent="0.25">
      <c r="A582" s="29"/>
      <c r="B582" s="29"/>
      <c r="C582" s="30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spans="1:21" ht="16.5" customHeight="1" x14ac:dyDescent="0.25">
      <c r="A583" s="29"/>
      <c r="B583" s="29"/>
      <c r="C583" s="30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spans="1:21" ht="16.5" customHeight="1" x14ac:dyDescent="0.25">
      <c r="A584" s="29"/>
      <c r="B584" s="29"/>
      <c r="C584" s="30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spans="1:21" ht="16.5" customHeight="1" x14ac:dyDescent="0.25">
      <c r="A585" s="29"/>
      <c r="B585" s="29"/>
      <c r="C585" s="30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spans="1:21" ht="16.5" customHeight="1" x14ac:dyDescent="0.25">
      <c r="A586" s="29"/>
      <c r="B586" s="29"/>
      <c r="C586" s="30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spans="1:21" ht="16.5" customHeight="1" x14ac:dyDescent="0.25">
      <c r="A587" s="29"/>
      <c r="B587" s="29"/>
      <c r="C587" s="30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spans="1:21" ht="16.5" customHeight="1" x14ac:dyDescent="0.25">
      <c r="A588" s="29"/>
      <c r="B588" s="29"/>
      <c r="C588" s="30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spans="1:21" ht="16.5" customHeight="1" x14ac:dyDescent="0.25">
      <c r="A589" s="29"/>
      <c r="B589" s="29"/>
      <c r="C589" s="30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spans="1:21" ht="16.5" customHeight="1" x14ac:dyDescent="0.25">
      <c r="A590" s="29"/>
      <c r="B590" s="29"/>
      <c r="C590" s="30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spans="1:21" ht="16.5" customHeight="1" x14ac:dyDescent="0.25">
      <c r="A591" s="29"/>
      <c r="B591" s="29"/>
      <c r="C591" s="30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spans="1:21" ht="16.5" customHeight="1" x14ac:dyDescent="0.25">
      <c r="A592" s="29"/>
      <c r="B592" s="29"/>
      <c r="C592" s="30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spans="1:21" ht="16.5" customHeight="1" x14ac:dyDescent="0.25">
      <c r="A593" s="29"/>
      <c r="B593" s="29"/>
      <c r="C593" s="30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spans="1:21" ht="16.5" customHeight="1" x14ac:dyDescent="0.25">
      <c r="A594" s="29"/>
      <c r="B594" s="29"/>
      <c r="C594" s="30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spans="1:21" ht="16.5" customHeight="1" x14ac:dyDescent="0.25">
      <c r="A595" s="29"/>
      <c r="B595" s="29"/>
      <c r="C595" s="30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spans="1:21" ht="16.5" customHeight="1" x14ac:dyDescent="0.25">
      <c r="A596" s="29"/>
      <c r="B596" s="29"/>
      <c r="C596" s="30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spans="1:21" ht="16.5" customHeight="1" x14ac:dyDescent="0.25">
      <c r="A597" s="29"/>
      <c r="B597" s="29"/>
      <c r="C597" s="30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spans="1:21" ht="16.5" customHeight="1" x14ac:dyDescent="0.25">
      <c r="A598" s="29"/>
      <c r="B598" s="29"/>
      <c r="C598" s="30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spans="1:21" ht="16.5" customHeight="1" x14ac:dyDescent="0.25">
      <c r="A599" s="29"/>
      <c r="B599" s="29"/>
      <c r="C599" s="30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spans="1:21" ht="16.5" customHeight="1" x14ac:dyDescent="0.25">
      <c r="A600" s="29"/>
      <c r="B600" s="29"/>
      <c r="C600" s="30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spans="1:21" ht="16.5" customHeight="1" x14ac:dyDescent="0.25">
      <c r="A601" s="29"/>
      <c r="B601" s="29"/>
      <c r="C601" s="30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spans="1:21" ht="16.5" customHeight="1" x14ac:dyDescent="0.25">
      <c r="A602" s="29"/>
      <c r="B602" s="29"/>
      <c r="C602" s="30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spans="1:21" ht="16.5" customHeight="1" x14ac:dyDescent="0.25">
      <c r="A603" s="29"/>
      <c r="B603" s="29"/>
      <c r="C603" s="30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spans="1:21" ht="16.5" customHeight="1" x14ac:dyDescent="0.25">
      <c r="A604" s="29"/>
      <c r="B604" s="29"/>
      <c r="C604" s="30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spans="1:21" ht="16.5" customHeight="1" x14ac:dyDescent="0.25">
      <c r="A605" s="29"/>
      <c r="B605" s="29"/>
      <c r="C605" s="30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spans="1:21" ht="16.5" customHeight="1" x14ac:dyDescent="0.25">
      <c r="A606" s="29"/>
      <c r="B606" s="29"/>
      <c r="C606" s="30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spans="1:21" ht="16.5" customHeight="1" x14ac:dyDescent="0.25">
      <c r="A607" s="29"/>
      <c r="B607" s="29"/>
      <c r="C607" s="30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spans="1:21" ht="16.5" customHeight="1" x14ac:dyDescent="0.25">
      <c r="A608" s="29"/>
      <c r="B608" s="29"/>
      <c r="C608" s="30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spans="1:21" ht="16.5" customHeight="1" x14ac:dyDescent="0.25">
      <c r="A609" s="29"/>
      <c r="B609" s="29"/>
      <c r="C609" s="30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spans="1:21" ht="16.5" customHeight="1" x14ac:dyDescent="0.25">
      <c r="A610" s="29"/>
      <c r="B610" s="29"/>
      <c r="C610" s="30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spans="1:21" ht="16.5" customHeight="1" x14ac:dyDescent="0.25">
      <c r="A611" s="29"/>
      <c r="B611" s="29"/>
      <c r="C611" s="30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spans="1:21" ht="16.5" customHeight="1" x14ac:dyDescent="0.25">
      <c r="A612" s="29"/>
      <c r="B612" s="29"/>
      <c r="C612" s="30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spans="1:21" ht="16.5" customHeight="1" x14ac:dyDescent="0.25">
      <c r="A613" s="29"/>
      <c r="B613" s="29"/>
      <c r="C613" s="30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spans="1:21" ht="16.5" customHeight="1" x14ac:dyDescent="0.25">
      <c r="A614" s="29"/>
      <c r="B614" s="29"/>
      <c r="C614" s="30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spans="1:21" ht="16.5" customHeight="1" x14ac:dyDescent="0.25">
      <c r="A615" s="29"/>
      <c r="B615" s="29"/>
      <c r="C615" s="30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spans="1:21" ht="16.5" customHeight="1" x14ac:dyDescent="0.25">
      <c r="A616" s="29"/>
      <c r="B616" s="29"/>
      <c r="C616" s="30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spans="1:21" ht="16.5" customHeight="1" x14ac:dyDescent="0.25">
      <c r="A617" s="29"/>
      <c r="B617" s="29"/>
      <c r="C617" s="30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spans="1:21" ht="16.5" customHeight="1" x14ac:dyDescent="0.25">
      <c r="A618" s="29"/>
      <c r="B618" s="29"/>
      <c r="C618" s="30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spans="1:21" ht="16.5" customHeight="1" x14ac:dyDescent="0.25">
      <c r="A619" s="29"/>
      <c r="B619" s="29"/>
      <c r="C619" s="30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spans="1:21" ht="16.5" customHeight="1" x14ac:dyDescent="0.25">
      <c r="A620" s="29"/>
      <c r="B620" s="29"/>
      <c r="C620" s="30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spans="1:21" ht="16.5" customHeight="1" x14ac:dyDescent="0.25">
      <c r="A621" s="29"/>
      <c r="B621" s="29"/>
      <c r="C621" s="30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spans="1:21" ht="16.5" customHeight="1" x14ac:dyDescent="0.25">
      <c r="A622" s="29"/>
      <c r="B622" s="29"/>
      <c r="C622" s="30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spans="1:21" ht="16.5" customHeight="1" x14ac:dyDescent="0.25">
      <c r="A623" s="29"/>
      <c r="B623" s="29"/>
      <c r="C623" s="30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spans="1:21" ht="16.5" customHeight="1" x14ac:dyDescent="0.25">
      <c r="A624" s="29"/>
      <c r="B624" s="29"/>
      <c r="C624" s="30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spans="1:21" ht="16.5" customHeight="1" x14ac:dyDescent="0.25">
      <c r="A625" s="29"/>
      <c r="B625" s="29"/>
      <c r="C625" s="30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spans="1:21" ht="16.5" customHeight="1" x14ac:dyDescent="0.25">
      <c r="A626" s="29"/>
      <c r="B626" s="29"/>
      <c r="C626" s="30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spans="1:21" ht="16.5" customHeight="1" x14ac:dyDescent="0.25">
      <c r="A627" s="29"/>
      <c r="B627" s="29"/>
      <c r="C627" s="30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spans="1:21" ht="16.5" customHeight="1" x14ac:dyDescent="0.25">
      <c r="A628" s="29"/>
      <c r="B628" s="29"/>
      <c r="C628" s="30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spans="1:21" ht="16.5" customHeight="1" x14ac:dyDescent="0.25">
      <c r="A629" s="29"/>
      <c r="B629" s="29"/>
      <c r="C629" s="30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spans="1:21" ht="16.5" customHeight="1" x14ac:dyDescent="0.25">
      <c r="A630" s="29"/>
      <c r="B630" s="29"/>
      <c r="C630" s="30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spans="1:21" ht="16.5" customHeight="1" x14ac:dyDescent="0.25">
      <c r="A631" s="29"/>
      <c r="B631" s="29"/>
      <c r="C631" s="30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spans="1:21" ht="16.5" customHeight="1" x14ac:dyDescent="0.25">
      <c r="A632" s="29"/>
      <c r="B632" s="29"/>
      <c r="C632" s="30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spans="1:21" ht="16.5" customHeight="1" x14ac:dyDescent="0.25">
      <c r="A633" s="29"/>
      <c r="B633" s="29"/>
      <c r="C633" s="30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spans="1:21" ht="16.5" customHeight="1" x14ac:dyDescent="0.25">
      <c r="A634" s="29"/>
      <c r="B634" s="29"/>
      <c r="C634" s="30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spans="1:21" ht="16.5" customHeight="1" x14ac:dyDescent="0.25">
      <c r="A635" s="29"/>
      <c r="B635" s="29"/>
      <c r="C635" s="30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spans="1:21" ht="16.5" customHeight="1" x14ac:dyDescent="0.25">
      <c r="A636" s="29"/>
      <c r="B636" s="29"/>
      <c r="C636" s="30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spans="1:21" ht="16.5" customHeight="1" x14ac:dyDescent="0.25">
      <c r="A637" s="29"/>
      <c r="B637" s="29"/>
      <c r="C637" s="30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spans="1:21" ht="16.5" customHeight="1" x14ac:dyDescent="0.25">
      <c r="A638" s="29"/>
      <c r="B638" s="29"/>
      <c r="C638" s="30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spans="1:21" ht="16.5" customHeight="1" x14ac:dyDescent="0.25">
      <c r="A639" s="29"/>
      <c r="B639" s="29"/>
      <c r="C639" s="30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spans="1:21" ht="16.5" customHeight="1" x14ac:dyDescent="0.25">
      <c r="A640" s="29"/>
      <c r="B640" s="29"/>
      <c r="C640" s="30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spans="1:21" ht="16.5" customHeight="1" x14ac:dyDescent="0.25">
      <c r="A641" s="29"/>
      <c r="B641" s="29"/>
      <c r="C641" s="30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spans="1:21" ht="16.5" customHeight="1" x14ac:dyDescent="0.25">
      <c r="A642" s="29"/>
      <c r="B642" s="29"/>
      <c r="C642" s="30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spans="1:21" ht="16.5" customHeight="1" x14ac:dyDescent="0.25">
      <c r="A643" s="29"/>
      <c r="B643" s="29"/>
      <c r="C643" s="30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spans="1:21" ht="16.5" customHeight="1" x14ac:dyDescent="0.25">
      <c r="A644" s="29"/>
      <c r="B644" s="29"/>
      <c r="C644" s="30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spans="1:21" ht="16.5" customHeight="1" x14ac:dyDescent="0.25">
      <c r="A645" s="29"/>
      <c r="B645" s="29"/>
      <c r="C645" s="30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spans="1:21" ht="16.5" customHeight="1" x14ac:dyDescent="0.25">
      <c r="A646" s="29"/>
      <c r="B646" s="29"/>
      <c r="C646" s="30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spans="1:21" ht="16.5" customHeight="1" x14ac:dyDescent="0.25">
      <c r="A647" s="29"/>
      <c r="B647" s="29"/>
      <c r="C647" s="30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spans="1:21" ht="16.5" customHeight="1" x14ac:dyDescent="0.25">
      <c r="A648" s="29"/>
      <c r="B648" s="29"/>
      <c r="C648" s="30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spans="1:21" ht="16.5" customHeight="1" x14ac:dyDescent="0.25">
      <c r="A649" s="29"/>
      <c r="B649" s="29"/>
      <c r="C649" s="30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spans="1:21" ht="16.5" customHeight="1" x14ac:dyDescent="0.25">
      <c r="A650" s="29"/>
      <c r="B650" s="29"/>
      <c r="C650" s="30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spans="1:21" ht="16.5" customHeight="1" x14ac:dyDescent="0.25">
      <c r="A651" s="29"/>
      <c r="B651" s="29"/>
      <c r="C651" s="30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spans="1:21" ht="16.5" customHeight="1" x14ac:dyDescent="0.25">
      <c r="A652" s="29"/>
      <c r="B652" s="29"/>
      <c r="C652" s="30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spans="1:21" ht="16.5" customHeight="1" x14ac:dyDescent="0.25">
      <c r="A653" s="29"/>
      <c r="B653" s="29"/>
      <c r="C653" s="30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spans="1:21" ht="16.5" customHeight="1" x14ac:dyDescent="0.25">
      <c r="A654" s="29"/>
      <c r="B654" s="29"/>
      <c r="C654" s="30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spans="1:21" ht="16.5" customHeight="1" x14ac:dyDescent="0.25">
      <c r="A655" s="29"/>
      <c r="B655" s="29"/>
      <c r="C655" s="30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spans="1:21" ht="16.5" customHeight="1" x14ac:dyDescent="0.25">
      <c r="A656" s="29"/>
      <c r="B656" s="29"/>
      <c r="C656" s="30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spans="1:21" ht="16.5" customHeight="1" x14ac:dyDescent="0.25">
      <c r="A657" s="29"/>
      <c r="B657" s="29"/>
      <c r="C657" s="30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spans="1:21" ht="16.5" customHeight="1" x14ac:dyDescent="0.25">
      <c r="A658" s="29"/>
      <c r="B658" s="29"/>
      <c r="C658" s="30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spans="1:21" ht="16.5" customHeight="1" x14ac:dyDescent="0.25">
      <c r="A659" s="29"/>
      <c r="B659" s="29"/>
      <c r="C659" s="30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spans="1:21" ht="16.5" customHeight="1" x14ac:dyDescent="0.25">
      <c r="A660" s="29"/>
      <c r="B660" s="29"/>
      <c r="C660" s="30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spans="1:21" ht="16.5" customHeight="1" x14ac:dyDescent="0.25">
      <c r="A661" s="29"/>
      <c r="B661" s="29"/>
      <c r="C661" s="30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spans="1:21" ht="16.5" customHeight="1" x14ac:dyDescent="0.25">
      <c r="A662" s="29"/>
      <c r="B662" s="29"/>
      <c r="C662" s="30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spans="1:21" ht="16.5" customHeight="1" x14ac:dyDescent="0.25">
      <c r="A663" s="29"/>
      <c r="B663" s="29"/>
      <c r="C663" s="30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spans="1:21" ht="16.5" customHeight="1" x14ac:dyDescent="0.25">
      <c r="A664" s="29"/>
      <c r="B664" s="29"/>
      <c r="C664" s="30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spans="1:21" ht="16.5" customHeight="1" x14ac:dyDescent="0.25">
      <c r="A665" s="29"/>
      <c r="B665" s="29"/>
      <c r="C665" s="30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spans="1:21" ht="16.5" customHeight="1" x14ac:dyDescent="0.25">
      <c r="A666" s="29"/>
      <c r="B666" s="29"/>
      <c r="C666" s="30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spans="1:21" ht="16.5" customHeight="1" x14ac:dyDescent="0.25">
      <c r="A667" s="29"/>
      <c r="B667" s="29"/>
      <c r="C667" s="30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spans="1:21" ht="16.5" customHeight="1" x14ac:dyDescent="0.25">
      <c r="A668" s="29"/>
      <c r="B668" s="29"/>
      <c r="C668" s="30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spans="1:21" ht="16.5" customHeight="1" x14ac:dyDescent="0.25">
      <c r="A669" s="29"/>
      <c r="B669" s="29"/>
      <c r="C669" s="30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spans="1:21" ht="16.5" customHeight="1" x14ac:dyDescent="0.25">
      <c r="A670" s="29"/>
      <c r="B670" s="29"/>
      <c r="C670" s="30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spans="1:21" ht="16.5" customHeight="1" x14ac:dyDescent="0.25">
      <c r="A671" s="29"/>
      <c r="B671" s="29"/>
      <c r="C671" s="30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spans="1:21" ht="16.5" customHeight="1" x14ac:dyDescent="0.25">
      <c r="A672" s="29"/>
      <c r="B672" s="29"/>
      <c r="C672" s="30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spans="1:21" ht="16.5" customHeight="1" x14ac:dyDescent="0.25">
      <c r="A673" s="29"/>
      <c r="B673" s="29"/>
      <c r="C673" s="30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spans="1:21" ht="16.5" customHeight="1" x14ac:dyDescent="0.25">
      <c r="A674" s="29"/>
      <c r="B674" s="29"/>
      <c r="C674" s="30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spans="1:21" ht="16.5" customHeight="1" x14ac:dyDescent="0.25">
      <c r="A675" s="29"/>
      <c r="B675" s="29"/>
      <c r="C675" s="30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spans="1:21" ht="16.5" customHeight="1" x14ac:dyDescent="0.25">
      <c r="A676" s="29"/>
      <c r="B676" s="29"/>
      <c r="C676" s="30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spans="1:21" ht="16.5" customHeight="1" x14ac:dyDescent="0.25">
      <c r="A677" s="29"/>
      <c r="B677" s="29"/>
      <c r="C677" s="30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spans="1:21" ht="16.5" customHeight="1" x14ac:dyDescent="0.25">
      <c r="A678" s="29"/>
      <c r="B678" s="29"/>
      <c r="C678" s="30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spans="1:21" ht="16.5" customHeight="1" x14ac:dyDescent="0.25">
      <c r="A679" s="29"/>
      <c r="B679" s="29"/>
      <c r="C679" s="30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spans="1:21" ht="16.5" customHeight="1" x14ac:dyDescent="0.25">
      <c r="A680" s="29"/>
      <c r="B680" s="29"/>
      <c r="C680" s="30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spans="1:21" ht="16.5" customHeight="1" x14ac:dyDescent="0.25">
      <c r="A681" s="29"/>
      <c r="B681" s="29"/>
      <c r="C681" s="30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spans="1:21" ht="16.5" customHeight="1" x14ac:dyDescent="0.25">
      <c r="A682" s="29"/>
      <c r="B682" s="29"/>
      <c r="C682" s="30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spans="1:21" ht="16.5" customHeight="1" x14ac:dyDescent="0.25">
      <c r="A683" s="29"/>
      <c r="B683" s="29"/>
      <c r="C683" s="30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spans="1:21" ht="16.5" customHeight="1" x14ac:dyDescent="0.25">
      <c r="A684" s="29"/>
      <c r="B684" s="29"/>
      <c r="C684" s="30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spans="1:21" ht="16.5" customHeight="1" x14ac:dyDescent="0.25">
      <c r="A685" s="29"/>
      <c r="B685" s="29"/>
      <c r="C685" s="30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spans="1:21" ht="16.5" customHeight="1" x14ac:dyDescent="0.25">
      <c r="A686" s="29"/>
      <c r="B686" s="29"/>
      <c r="C686" s="30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spans="1:21" ht="16.5" customHeight="1" x14ac:dyDescent="0.25">
      <c r="A687" s="29"/>
      <c r="B687" s="29"/>
      <c r="C687" s="30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spans="1:21" ht="16.5" customHeight="1" x14ac:dyDescent="0.25">
      <c r="A688" s="29"/>
      <c r="B688" s="29"/>
      <c r="C688" s="30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spans="1:21" ht="16.5" customHeight="1" x14ac:dyDescent="0.25">
      <c r="A689" s="29"/>
      <c r="B689" s="29"/>
      <c r="C689" s="30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spans="1:21" ht="16.5" customHeight="1" x14ac:dyDescent="0.25">
      <c r="A690" s="29"/>
      <c r="B690" s="29"/>
      <c r="C690" s="30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spans="1:21" ht="16.5" customHeight="1" x14ac:dyDescent="0.25">
      <c r="A691" s="29"/>
      <c r="B691" s="29"/>
      <c r="C691" s="30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spans="1:21" ht="16.5" customHeight="1" x14ac:dyDescent="0.25">
      <c r="A692" s="29"/>
      <c r="B692" s="29"/>
      <c r="C692" s="30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spans="1:21" ht="16.5" customHeight="1" x14ac:dyDescent="0.25">
      <c r="A693" s="29"/>
      <c r="B693" s="29"/>
      <c r="C693" s="30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spans="1:21" ht="16.5" customHeight="1" x14ac:dyDescent="0.25">
      <c r="A694" s="29"/>
      <c r="B694" s="29"/>
      <c r="C694" s="30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spans="1:21" ht="16.5" customHeight="1" x14ac:dyDescent="0.25">
      <c r="A695" s="29"/>
      <c r="B695" s="29"/>
      <c r="C695" s="30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spans="1:21" ht="16.5" customHeight="1" x14ac:dyDescent="0.25">
      <c r="A696" s="29"/>
      <c r="B696" s="29"/>
      <c r="C696" s="30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spans="1:21" ht="16.5" customHeight="1" x14ac:dyDescent="0.25">
      <c r="A697" s="29"/>
      <c r="B697" s="29"/>
      <c r="C697" s="30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spans="1:21" ht="16.5" customHeight="1" x14ac:dyDescent="0.25">
      <c r="A698" s="29"/>
      <c r="B698" s="29"/>
      <c r="C698" s="30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spans="1:21" ht="16.5" customHeight="1" x14ac:dyDescent="0.25">
      <c r="A699" s="29"/>
      <c r="B699" s="29"/>
      <c r="C699" s="30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spans="1:21" ht="16.5" customHeight="1" x14ac:dyDescent="0.25">
      <c r="A700" s="29"/>
      <c r="B700" s="29"/>
      <c r="C700" s="30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spans="1:21" ht="16.5" customHeight="1" x14ac:dyDescent="0.25">
      <c r="A701" s="29"/>
      <c r="B701" s="29"/>
      <c r="C701" s="30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spans="1:21" ht="16.5" customHeight="1" x14ac:dyDescent="0.25">
      <c r="A702" s="29"/>
      <c r="B702" s="29"/>
      <c r="C702" s="30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spans="1:21" ht="16.5" customHeight="1" x14ac:dyDescent="0.25">
      <c r="A703" s="29"/>
      <c r="B703" s="29"/>
      <c r="C703" s="30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spans="1:21" ht="16.5" customHeight="1" x14ac:dyDescent="0.25">
      <c r="A704" s="29"/>
      <c r="B704" s="29"/>
      <c r="C704" s="30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spans="1:21" ht="16.5" customHeight="1" x14ac:dyDescent="0.25">
      <c r="A705" s="29"/>
      <c r="B705" s="29"/>
      <c r="C705" s="30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spans="1:21" ht="16.5" customHeight="1" x14ac:dyDescent="0.25">
      <c r="A706" s="29"/>
      <c r="B706" s="29"/>
      <c r="C706" s="30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spans="1:21" ht="16.5" customHeight="1" x14ac:dyDescent="0.25">
      <c r="A707" s="29"/>
      <c r="B707" s="29"/>
      <c r="C707" s="30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spans="1:21" ht="16.5" customHeight="1" x14ac:dyDescent="0.25">
      <c r="A708" s="29"/>
      <c r="B708" s="29"/>
      <c r="C708" s="30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spans="1:21" ht="16.5" customHeight="1" x14ac:dyDescent="0.25">
      <c r="A709" s="29"/>
      <c r="B709" s="29"/>
      <c r="C709" s="30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spans="1:21" ht="16.5" customHeight="1" x14ac:dyDescent="0.25">
      <c r="A710" s="29"/>
      <c r="B710" s="29"/>
      <c r="C710" s="30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spans="1:21" ht="16.5" customHeight="1" x14ac:dyDescent="0.25">
      <c r="A711" s="29"/>
      <c r="B711" s="29"/>
      <c r="C711" s="30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spans="1:21" ht="16.5" customHeight="1" x14ac:dyDescent="0.25">
      <c r="A712" s="29"/>
      <c r="B712" s="29"/>
      <c r="C712" s="30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spans="1:21" ht="16.5" customHeight="1" x14ac:dyDescent="0.25">
      <c r="A713" s="29"/>
      <c r="B713" s="29"/>
      <c r="C713" s="30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spans="1:21" ht="16.5" customHeight="1" x14ac:dyDescent="0.25">
      <c r="A714" s="29"/>
      <c r="B714" s="29"/>
      <c r="C714" s="30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spans="1:21" ht="16.5" customHeight="1" x14ac:dyDescent="0.25">
      <c r="A715" s="29"/>
      <c r="B715" s="29"/>
      <c r="C715" s="30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spans="1:21" ht="16.5" customHeight="1" x14ac:dyDescent="0.25">
      <c r="A716" s="29"/>
      <c r="B716" s="29"/>
      <c r="C716" s="30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spans="1:21" ht="16.5" customHeight="1" x14ac:dyDescent="0.25">
      <c r="A717" s="29"/>
      <c r="B717" s="29"/>
      <c r="C717" s="30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spans="1:21" ht="16.5" customHeight="1" x14ac:dyDescent="0.25">
      <c r="A718" s="29"/>
      <c r="B718" s="29"/>
      <c r="C718" s="30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spans="1:21" ht="16.5" customHeight="1" x14ac:dyDescent="0.25">
      <c r="A719" s="29"/>
      <c r="B719" s="29"/>
      <c r="C719" s="30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spans="1:21" ht="16.5" customHeight="1" x14ac:dyDescent="0.25">
      <c r="A720" s="29"/>
      <c r="B720" s="29"/>
      <c r="C720" s="30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spans="1:21" ht="16.5" customHeight="1" x14ac:dyDescent="0.25">
      <c r="A721" s="29"/>
      <c r="B721" s="29"/>
      <c r="C721" s="30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spans="1:21" ht="16.5" customHeight="1" x14ac:dyDescent="0.25">
      <c r="A722" s="29"/>
      <c r="B722" s="29"/>
      <c r="C722" s="30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spans="1:21" ht="16.5" customHeight="1" x14ac:dyDescent="0.25">
      <c r="A723" s="29"/>
      <c r="B723" s="29"/>
      <c r="C723" s="30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spans="1:21" ht="16.5" customHeight="1" x14ac:dyDescent="0.25">
      <c r="A724" s="29"/>
      <c r="B724" s="29"/>
      <c r="C724" s="30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spans="1:21" ht="16.5" customHeight="1" x14ac:dyDescent="0.25">
      <c r="A725" s="29"/>
      <c r="B725" s="29"/>
      <c r="C725" s="30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spans="1:21" ht="16.5" customHeight="1" x14ac:dyDescent="0.25">
      <c r="A726" s="29"/>
      <c r="B726" s="29"/>
      <c r="C726" s="30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spans="1:21" ht="16.5" customHeight="1" x14ac:dyDescent="0.25">
      <c r="A727" s="29"/>
      <c r="B727" s="29"/>
      <c r="C727" s="30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spans="1:21" ht="16.5" customHeight="1" x14ac:dyDescent="0.25">
      <c r="A728" s="29"/>
      <c r="B728" s="29"/>
      <c r="C728" s="30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spans="1:21" ht="16.5" customHeight="1" x14ac:dyDescent="0.25">
      <c r="A729" s="29"/>
      <c r="B729" s="29"/>
      <c r="C729" s="30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spans="1:21" ht="16.5" customHeight="1" x14ac:dyDescent="0.25">
      <c r="A730" s="29"/>
      <c r="B730" s="29"/>
      <c r="C730" s="30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spans="1:21" ht="16.5" customHeight="1" x14ac:dyDescent="0.25">
      <c r="A731" s="29"/>
      <c r="B731" s="29"/>
      <c r="C731" s="30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spans="1:21" ht="16.5" customHeight="1" x14ac:dyDescent="0.25">
      <c r="A732" s="29"/>
      <c r="B732" s="29"/>
      <c r="C732" s="30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spans="1:21" ht="16.5" customHeight="1" x14ac:dyDescent="0.25">
      <c r="A733" s="29"/>
      <c r="B733" s="29"/>
      <c r="C733" s="30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spans="1:21" ht="16.5" customHeight="1" x14ac:dyDescent="0.25">
      <c r="A734" s="29"/>
      <c r="B734" s="29"/>
      <c r="C734" s="30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spans="1:21" ht="16.5" customHeight="1" x14ac:dyDescent="0.25">
      <c r="A735" s="29"/>
      <c r="B735" s="29"/>
      <c r="C735" s="30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spans="1:21" ht="16.5" customHeight="1" x14ac:dyDescent="0.25">
      <c r="A736" s="29"/>
      <c r="B736" s="29"/>
      <c r="C736" s="30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spans="1:21" ht="16.5" customHeight="1" x14ac:dyDescent="0.25">
      <c r="A737" s="29"/>
      <c r="B737" s="29"/>
      <c r="C737" s="30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spans="1:21" ht="16.5" customHeight="1" x14ac:dyDescent="0.25">
      <c r="A738" s="29"/>
      <c r="B738" s="29"/>
      <c r="C738" s="30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spans="1:21" ht="16.5" customHeight="1" x14ac:dyDescent="0.25">
      <c r="A739" s="29"/>
      <c r="B739" s="29"/>
      <c r="C739" s="30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spans="1:21" ht="16.5" customHeight="1" x14ac:dyDescent="0.25">
      <c r="A740" s="29"/>
      <c r="B740" s="29"/>
      <c r="C740" s="30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spans="1:21" ht="16.5" customHeight="1" x14ac:dyDescent="0.25">
      <c r="A741" s="29"/>
      <c r="B741" s="29"/>
      <c r="C741" s="30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spans="1:21" ht="16.5" customHeight="1" x14ac:dyDescent="0.25">
      <c r="A742" s="29"/>
      <c r="B742" s="29"/>
      <c r="C742" s="30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spans="1:21" ht="16.5" customHeight="1" x14ac:dyDescent="0.25">
      <c r="A743" s="29"/>
      <c r="B743" s="29"/>
      <c r="C743" s="30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spans="1:21" ht="16.5" customHeight="1" x14ac:dyDescent="0.25">
      <c r="A744" s="29"/>
      <c r="B744" s="29"/>
      <c r="C744" s="30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spans="1:21" ht="16.5" customHeight="1" x14ac:dyDescent="0.25">
      <c r="A745" s="29"/>
      <c r="B745" s="29"/>
      <c r="C745" s="30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spans="1:21" ht="16.5" customHeight="1" x14ac:dyDescent="0.25">
      <c r="A746" s="29"/>
      <c r="B746" s="29"/>
      <c r="C746" s="30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spans="1:21" ht="16.5" customHeight="1" x14ac:dyDescent="0.25">
      <c r="A747" s="29"/>
      <c r="B747" s="29"/>
      <c r="C747" s="30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spans="1:21" ht="16.5" customHeight="1" x14ac:dyDescent="0.25">
      <c r="A748" s="29"/>
      <c r="B748" s="29"/>
      <c r="C748" s="30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spans="1:21" ht="16.5" customHeight="1" x14ac:dyDescent="0.25">
      <c r="A749" s="29"/>
      <c r="B749" s="29"/>
      <c r="C749" s="30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spans="1:21" ht="16.5" customHeight="1" x14ac:dyDescent="0.25">
      <c r="A750" s="29"/>
      <c r="B750" s="29"/>
      <c r="C750" s="30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spans="1:21" ht="16.5" customHeight="1" x14ac:dyDescent="0.25">
      <c r="A751" s="29"/>
      <c r="B751" s="29"/>
      <c r="C751" s="30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spans="1:21" ht="16.5" customHeight="1" x14ac:dyDescent="0.25">
      <c r="A752" s="29"/>
      <c r="B752" s="29"/>
      <c r="C752" s="30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spans="1:21" ht="16.5" customHeight="1" x14ac:dyDescent="0.25">
      <c r="A753" s="29"/>
      <c r="B753" s="29"/>
      <c r="C753" s="30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spans="1:21" ht="16.5" customHeight="1" x14ac:dyDescent="0.25">
      <c r="A754" s="29"/>
      <c r="B754" s="29"/>
      <c r="C754" s="30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spans="1:21" ht="16.5" customHeight="1" x14ac:dyDescent="0.25">
      <c r="A755" s="29"/>
      <c r="B755" s="29"/>
      <c r="C755" s="30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spans="1:21" ht="16.5" customHeight="1" x14ac:dyDescent="0.25">
      <c r="A756" s="29"/>
      <c r="B756" s="29"/>
      <c r="C756" s="30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spans="1:21" ht="16.5" customHeight="1" x14ac:dyDescent="0.25">
      <c r="A757" s="29"/>
      <c r="B757" s="29"/>
      <c r="C757" s="30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spans="1:21" ht="16.5" customHeight="1" x14ac:dyDescent="0.25">
      <c r="A758" s="29"/>
      <c r="B758" s="29"/>
      <c r="C758" s="30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spans="1:21" ht="16.5" customHeight="1" x14ac:dyDescent="0.25">
      <c r="A759" s="29"/>
      <c r="B759" s="29"/>
      <c r="C759" s="30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spans="1:21" ht="16.5" customHeight="1" x14ac:dyDescent="0.25">
      <c r="A760" s="29"/>
      <c r="B760" s="29"/>
      <c r="C760" s="30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spans="1:21" ht="16.5" customHeight="1" x14ac:dyDescent="0.25">
      <c r="A761" s="29"/>
      <c r="B761" s="29"/>
      <c r="C761" s="30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spans="1:21" ht="16.5" customHeight="1" x14ac:dyDescent="0.25">
      <c r="A762" s="29"/>
      <c r="B762" s="29"/>
      <c r="C762" s="30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spans="1:21" ht="16.5" customHeight="1" x14ac:dyDescent="0.25">
      <c r="A763" s="29"/>
      <c r="B763" s="29"/>
      <c r="C763" s="30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spans="1:21" ht="16.5" customHeight="1" x14ac:dyDescent="0.25">
      <c r="A764" s="29"/>
      <c r="B764" s="29"/>
      <c r="C764" s="30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spans="1:21" ht="16.5" customHeight="1" x14ac:dyDescent="0.25">
      <c r="A765" s="29"/>
      <c r="B765" s="29"/>
      <c r="C765" s="30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spans="1:21" ht="16.5" customHeight="1" x14ac:dyDescent="0.25">
      <c r="A766" s="29"/>
      <c r="B766" s="29"/>
      <c r="C766" s="30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spans="1:21" ht="16.5" customHeight="1" x14ac:dyDescent="0.25">
      <c r="A767" s="29"/>
      <c r="B767" s="29"/>
      <c r="C767" s="30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spans="1:21" ht="16.5" customHeight="1" x14ac:dyDescent="0.25">
      <c r="A768" s="29"/>
      <c r="B768" s="29"/>
      <c r="C768" s="30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spans="1:21" ht="16.5" customHeight="1" x14ac:dyDescent="0.25">
      <c r="A769" s="29"/>
      <c r="B769" s="29"/>
      <c r="C769" s="30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spans="1:21" ht="16.5" customHeight="1" x14ac:dyDescent="0.25">
      <c r="A770" s="29"/>
      <c r="B770" s="29"/>
      <c r="C770" s="30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spans="1:21" ht="16.5" customHeight="1" x14ac:dyDescent="0.25">
      <c r="A771" s="29"/>
      <c r="B771" s="29"/>
      <c r="C771" s="30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spans="1:21" ht="16.5" customHeight="1" x14ac:dyDescent="0.25">
      <c r="A772" s="29"/>
      <c r="B772" s="29"/>
      <c r="C772" s="30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spans="1:21" ht="16.5" customHeight="1" x14ac:dyDescent="0.25">
      <c r="A773" s="29"/>
      <c r="B773" s="29"/>
      <c r="C773" s="30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spans="1:21" ht="16.5" customHeight="1" x14ac:dyDescent="0.25">
      <c r="A774" s="29"/>
      <c r="B774" s="29"/>
      <c r="C774" s="30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spans="1:21" ht="16.5" customHeight="1" x14ac:dyDescent="0.25">
      <c r="A775" s="29"/>
      <c r="B775" s="29"/>
      <c r="C775" s="30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spans="1:21" ht="16.5" customHeight="1" x14ac:dyDescent="0.25">
      <c r="A776" s="29"/>
      <c r="B776" s="29"/>
      <c r="C776" s="30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spans="1:21" ht="16.5" customHeight="1" x14ac:dyDescent="0.25">
      <c r="A777" s="29"/>
      <c r="B777" s="29"/>
      <c r="C777" s="30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spans="1:21" ht="16.5" customHeight="1" x14ac:dyDescent="0.25">
      <c r="A778" s="29"/>
      <c r="B778" s="29"/>
      <c r="C778" s="30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spans="1:21" ht="16.5" customHeight="1" x14ac:dyDescent="0.25">
      <c r="A779" s="29"/>
      <c r="B779" s="29"/>
      <c r="C779" s="30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spans="1:21" ht="16.5" customHeight="1" x14ac:dyDescent="0.25">
      <c r="A780" s="29"/>
      <c r="B780" s="29"/>
      <c r="C780" s="30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spans="1:21" ht="16.5" customHeight="1" x14ac:dyDescent="0.25">
      <c r="A781" s="29"/>
      <c r="B781" s="29"/>
      <c r="C781" s="30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spans="1:21" ht="16.5" customHeight="1" x14ac:dyDescent="0.25">
      <c r="A782" s="29"/>
      <c r="B782" s="29"/>
      <c r="C782" s="30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spans="1:21" ht="16.5" customHeight="1" x14ac:dyDescent="0.25">
      <c r="A783" s="29"/>
      <c r="B783" s="29"/>
      <c r="C783" s="30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spans="1:21" ht="16.5" customHeight="1" x14ac:dyDescent="0.25">
      <c r="A784" s="29"/>
      <c r="B784" s="29"/>
      <c r="C784" s="30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spans="1:21" ht="16.5" customHeight="1" x14ac:dyDescent="0.25">
      <c r="A785" s="29"/>
      <c r="B785" s="29"/>
      <c r="C785" s="30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spans="1:21" ht="16.5" customHeight="1" x14ac:dyDescent="0.25">
      <c r="A786" s="29"/>
      <c r="B786" s="29"/>
      <c r="C786" s="30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spans="1:21" ht="16.5" customHeight="1" x14ac:dyDescent="0.25">
      <c r="A787" s="29"/>
      <c r="B787" s="29"/>
      <c r="C787" s="30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spans="1:21" ht="16.5" customHeight="1" x14ac:dyDescent="0.25">
      <c r="A788" s="29"/>
      <c r="B788" s="29"/>
      <c r="C788" s="30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spans="1:21" ht="16.5" customHeight="1" x14ac:dyDescent="0.25">
      <c r="A789" s="29"/>
      <c r="B789" s="29"/>
      <c r="C789" s="30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spans="1:21" ht="16.5" customHeight="1" x14ac:dyDescent="0.25">
      <c r="A790" s="29"/>
      <c r="B790" s="29"/>
      <c r="C790" s="30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spans="1:21" ht="16.5" customHeight="1" x14ac:dyDescent="0.25">
      <c r="A791" s="29"/>
      <c r="B791" s="29"/>
      <c r="C791" s="30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spans="1:21" ht="16.5" customHeight="1" x14ac:dyDescent="0.25">
      <c r="A792" s="29"/>
      <c r="B792" s="29"/>
      <c r="C792" s="30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spans="1:21" ht="16.5" customHeight="1" x14ac:dyDescent="0.25">
      <c r="A793" s="29"/>
      <c r="B793" s="29"/>
      <c r="C793" s="30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spans="1:21" ht="16.5" customHeight="1" x14ac:dyDescent="0.25">
      <c r="A794" s="29"/>
      <c r="B794" s="29"/>
      <c r="C794" s="30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spans="1:21" ht="16.5" customHeight="1" x14ac:dyDescent="0.25">
      <c r="A795" s="29"/>
      <c r="B795" s="29"/>
      <c r="C795" s="30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spans="1:21" ht="16.5" customHeight="1" x14ac:dyDescent="0.25">
      <c r="A796" s="29"/>
      <c r="B796" s="29"/>
      <c r="C796" s="30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spans="1:21" ht="16.5" customHeight="1" x14ac:dyDescent="0.25">
      <c r="A797" s="29"/>
      <c r="B797" s="29"/>
      <c r="C797" s="30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spans="1:21" ht="16.5" customHeight="1" x14ac:dyDescent="0.25">
      <c r="A798" s="29"/>
      <c r="B798" s="29"/>
      <c r="C798" s="30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spans="1:21" ht="16.5" customHeight="1" x14ac:dyDescent="0.25">
      <c r="A799" s="29"/>
      <c r="B799" s="29"/>
      <c r="C799" s="30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spans="1:21" ht="16.5" customHeight="1" x14ac:dyDescent="0.25">
      <c r="A800" s="29"/>
      <c r="B800" s="29"/>
      <c r="C800" s="30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spans="1:21" ht="16.5" customHeight="1" x14ac:dyDescent="0.25">
      <c r="A801" s="29"/>
      <c r="B801" s="29"/>
      <c r="C801" s="30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spans="1:21" ht="16.5" customHeight="1" x14ac:dyDescent="0.25">
      <c r="A802" s="29"/>
      <c r="B802" s="29"/>
      <c r="C802" s="30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spans="1:21" ht="16.5" customHeight="1" x14ac:dyDescent="0.25">
      <c r="A803" s="29"/>
      <c r="B803" s="29"/>
      <c r="C803" s="30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spans="1:21" ht="16.5" customHeight="1" x14ac:dyDescent="0.25">
      <c r="A804" s="29"/>
      <c r="B804" s="29"/>
      <c r="C804" s="30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spans="1:21" ht="16.5" customHeight="1" x14ac:dyDescent="0.25">
      <c r="A805" s="29"/>
      <c r="B805" s="29"/>
      <c r="C805" s="30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spans="1:21" ht="16.5" customHeight="1" x14ac:dyDescent="0.25">
      <c r="A806" s="29"/>
      <c r="B806" s="29"/>
      <c r="C806" s="30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spans="1:21" ht="16.5" customHeight="1" x14ac:dyDescent="0.25">
      <c r="A807" s="29"/>
      <c r="B807" s="29"/>
      <c r="C807" s="30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spans="1:21" ht="16.5" customHeight="1" x14ac:dyDescent="0.25">
      <c r="A808" s="29"/>
      <c r="B808" s="29"/>
      <c r="C808" s="30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spans="1:21" ht="16.5" customHeight="1" x14ac:dyDescent="0.25">
      <c r="A809" s="29"/>
      <c r="B809" s="29"/>
      <c r="C809" s="30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spans="1:21" ht="16.5" customHeight="1" x14ac:dyDescent="0.25">
      <c r="A810" s="29"/>
      <c r="B810" s="29"/>
      <c r="C810" s="30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spans="1:21" ht="16.5" customHeight="1" x14ac:dyDescent="0.25">
      <c r="A811" s="29"/>
      <c r="B811" s="29"/>
      <c r="C811" s="30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spans="1:21" ht="16.5" customHeight="1" x14ac:dyDescent="0.25">
      <c r="A812" s="29"/>
      <c r="B812" s="29"/>
      <c r="C812" s="3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spans="1:21" ht="16.5" customHeight="1" x14ac:dyDescent="0.25">
      <c r="A813" s="29"/>
      <c r="B813" s="29"/>
      <c r="C813" s="30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spans="1:21" ht="16.5" customHeight="1" x14ac:dyDescent="0.25">
      <c r="A814" s="29"/>
      <c r="B814" s="29"/>
      <c r="C814" s="30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spans="1:21" ht="16.5" customHeight="1" x14ac:dyDescent="0.25">
      <c r="A815" s="29"/>
      <c r="B815" s="29"/>
      <c r="C815" s="30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spans="1:21" ht="16.5" customHeight="1" x14ac:dyDescent="0.25">
      <c r="A816" s="29"/>
      <c r="B816" s="29"/>
      <c r="C816" s="30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spans="1:21" ht="16.5" customHeight="1" x14ac:dyDescent="0.25">
      <c r="A817" s="29"/>
      <c r="B817" s="29"/>
      <c r="C817" s="30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spans="1:21" ht="16.5" customHeight="1" x14ac:dyDescent="0.25">
      <c r="A818" s="29"/>
      <c r="B818" s="29"/>
      <c r="C818" s="30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spans="1:21" ht="16.5" customHeight="1" x14ac:dyDescent="0.25">
      <c r="A819" s="29"/>
      <c r="B819" s="29"/>
      <c r="C819" s="30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spans="1:21" ht="16.5" customHeight="1" x14ac:dyDescent="0.25">
      <c r="A820" s="29"/>
      <c r="B820" s="29"/>
      <c r="C820" s="30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spans="1:21" ht="16.5" customHeight="1" x14ac:dyDescent="0.25">
      <c r="A821" s="29"/>
      <c r="B821" s="29"/>
      <c r="C821" s="30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spans="1:21" ht="16.5" customHeight="1" x14ac:dyDescent="0.25">
      <c r="A822" s="29"/>
      <c r="B822" s="29"/>
      <c r="C822" s="30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spans="1:21" ht="16.5" customHeight="1" x14ac:dyDescent="0.25">
      <c r="A823" s="29"/>
      <c r="B823" s="29"/>
      <c r="C823" s="30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spans="1:21" ht="16.5" customHeight="1" x14ac:dyDescent="0.25">
      <c r="A824" s="29"/>
      <c r="B824" s="29"/>
      <c r="C824" s="30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spans="1:21" ht="16.5" customHeight="1" x14ac:dyDescent="0.25">
      <c r="A825" s="29"/>
      <c r="B825" s="29"/>
      <c r="C825" s="30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spans="1:21" ht="16.5" customHeight="1" x14ac:dyDescent="0.25">
      <c r="A826" s="29"/>
      <c r="B826" s="29"/>
      <c r="C826" s="30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spans="1:21" ht="16.5" customHeight="1" x14ac:dyDescent="0.25">
      <c r="A827" s="29"/>
      <c r="B827" s="29"/>
      <c r="C827" s="30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spans="1:21" ht="16.5" customHeight="1" x14ac:dyDescent="0.25">
      <c r="A828" s="29"/>
      <c r="B828" s="29"/>
      <c r="C828" s="30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spans="1:21" ht="16.5" customHeight="1" x14ac:dyDescent="0.25">
      <c r="A829" s="29"/>
      <c r="B829" s="29"/>
      <c r="C829" s="30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spans="1:21" ht="16.5" customHeight="1" x14ac:dyDescent="0.25">
      <c r="A830" s="29"/>
      <c r="B830" s="29"/>
      <c r="C830" s="30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spans="1:21" ht="16.5" customHeight="1" x14ac:dyDescent="0.25">
      <c r="A831" s="29"/>
      <c r="B831" s="29"/>
      <c r="C831" s="30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spans="1:21" ht="16.5" customHeight="1" x14ac:dyDescent="0.25">
      <c r="A832" s="29"/>
      <c r="B832" s="29"/>
      <c r="C832" s="30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spans="1:21" ht="16.5" customHeight="1" x14ac:dyDescent="0.25">
      <c r="A833" s="29"/>
      <c r="B833" s="29"/>
      <c r="C833" s="30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spans="1:21" ht="16.5" customHeight="1" x14ac:dyDescent="0.25">
      <c r="A834" s="29"/>
      <c r="B834" s="29"/>
      <c r="C834" s="30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spans="1:21" ht="16.5" customHeight="1" x14ac:dyDescent="0.25">
      <c r="A835" s="29"/>
      <c r="B835" s="29"/>
      <c r="C835" s="30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spans="1:21" ht="16.5" customHeight="1" x14ac:dyDescent="0.25">
      <c r="A836" s="29"/>
      <c r="B836" s="29"/>
      <c r="C836" s="30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spans="1:21" ht="16.5" customHeight="1" x14ac:dyDescent="0.25">
      <c r="A837" s="29"/>
      <c r="B837" s="29"/>
      <c r="C837" s="30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spans="1:21" ht="16.5" customHeight="1" x14ac:dyDescent="0.25">
      <c r="A838" s="29"/>
      <c r="B838" s="29"/>
      <c r="C838" s="30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spans="1:21" ht="16.5" customHeight="1" x14ac:dyDescent="0.25">
      <c r="A839" s="29"/>
      <c r="B839" s="29"/>
      <c r="C839" s="30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spans="1:21" ht="16.5" customHeight="1" x14ac:dyDescent="0.25">
      <c r="A840" s="29"/>
      <c r="B840" s="29"/>
      <c r="C840" s="30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spans="1:21" ht="16.5" customHeight="1" x14ac:dyDescent="0.25">
      <c r="A841" s="29"/>
      <c r="B841" s="29"/>
      <c r="C841" s="30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spans="1:21" ht="16.5" customHeight="1" x14ac:dyDescent="0.25">
      <c r="A842" s="29"/>
      <c r="B842" s="29"/>
      <c r="C842" s="30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spans="1:21" ht="16.5" customHeight="1" x14ac:dyDescent="0.25">
      <c r="A843" s="29"/>
      <c r="B843" s="29"/>
      <c r="C843" s="3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spans="1:21" ht="16.5" customHeight="1" x14ac:dyDescent="0.25">
      <c r="A844" s="29"/>
      <c r="B844" s="29"/>
      <c r="C844" s="30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spans="1:21" ht="16.5" customHeight="1" x14ac:dyDescent="0.25">
      <c r="A845" s="29"/>
      <c r="B845" s="29"/>
      <c r="C845" s="30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spans="1:21" ht="16.5" customHeight="1" x14ac:dyDescent="0.25">
      <c r="A846" s="29"/>
      <c r="B846" s="29"/>
      <c r="C846" s="30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spans="1:21" ht="16.5" customHeight="1" x14ac:dyDescent="0.25">
      <c r="A847" s="29"/>
      <c r="B847" s="29"/>
      <c r="C847" s="30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spans="1:21" ht="16.5" customHeight="1" x14ac:dyDescent="0.25">
      <c r="A848" s="29"/>
      <c r="B848" s="29"/>
      <c r="C848" s="30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spans="1:21" ht="16.5" customHeight="1" x14ac:dyDescent="0.25">
      <c r="A849" s="29"/>
      <c r="B849" s="29"/>
      <c r="C849" s="30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spans="1:21" ht="16.5" customHeight="1" x14ac:dyDescent="0.25">
      <c r="A850" s="29"/>
      <c r="B850" s="29"/>
      <c r="C850" s="30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spans="1:21" ht="16.5" customHeight="1" x14ac:dyDescent="0.25">
      <c r="A851" s="29"/>
      <c r="B851" s="29"/>
      <c r="C851" s="30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spans="1:21" ht="16.5" customHeight="1" x14ac:dyDescent="0.25">
      <c r="A852" s="29"/>
      <c r="B852" s="29"/>
      <c r="C852" s="30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spans="1:21" ht="16.5" customHeight="1" x14ac:dyDescent="0.25">
      <c r="A853" s="29"/>
      <c r="B853" s="29"/>
      <c r="C853" s="30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spans="1:21" ht="16.5" customHeight="1" x14ac:dyDescent="0.25">
      <c r="A854" s="29"/>
      <c r="B854" s="29"/>
      <c r="C854" s="30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spans="1:21" ht="16.5" customHeight="1" x14ac:dyDescent="0.25">
      <c r="A855" s="29"/>
      <c r="B855" s="29"/>
      <c r="C855" s="30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spans="1:21" ht="16.5" customHeight="1" x14ac:dyDescent="0.25">
      <c r="A856" s="29"/>
      <c r="B856" s="29"/>
      <c r="C856" s="30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spans="1:21" ht="16.5" customHeight="1" x14ac:dyDescent="0.25">
      <c r="A857" s="29"/>
      <c r="B857" s="29"/>
      <c r="C857" s="30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spans="1:21" ht="16.5" customHeight="1" x14ac:dyDescent="0.25">
      <c r="A858" s="29"/>
      <c r="B858" s="29"/>
      <c r="C858" s="30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spans="1:21" ht="16.5" customHeight="1" x14ac:dyDescent="0.25">
      <c r="A859" s="29"/>
      <c r="B859" s="29"/>
      <c r="C859" s="30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spans="1:21" ht="16.5" customHeight="1" x14ac:dyDescent="0.25">
      <c r="A860" s="29"/>
      <c r="B860" s="29"/>
      <c r="C860" s="30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spans="1:21" ht="16.5" customHeight="1" x14ac:dyDescent="0.25">
      <c r="A861" s="29"/>
      <c r="B861" s="29"/>
      <c r="C861" s="30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spans="1:21" ht="16.5" customHeight="1" x14ac:dyDescent="0.25">
      <c r="A862" s="29"/>
      <c r="B862" s="29"/>
      <c r="C862" s="30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spans="1:21" ht="16.5" customHeight="1" x14ac:dyDescent="0.25">
      <c r="A863" s="29"/>
      <c r="B863" s="29"/>
      <c r="C863" s="30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spans="1:21" ht="16.5" customHeight="1" x14ac:dyDescent="0.25">
      <c r="A864" s="29"/>
      <c r="B864" s="29"/>
      <c r="C864" s="30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spans="1:21" ht="16.5" customHeight="1" x14ac:dyDescent="0.25">
      <c r="A865" s="29"/>
      <c r="B865" s="29"/>
      <c r="C865" s="30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spans="1:21" ht="16.5" customHeight="1" x14ac:dyDescent="0.25">
      <c r="A866" s="29"/>
      <c r="B866" s="29"/>
      <c r="C866" s="30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spans="1:21" ht="16.5" customHeight="1" x14ac:dyDescent="0.25">
      <c r="A867" s="29"/>
      <c r="B867" s="29"/>
      <c r="C867" s="30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spans="1:21" ht="16.5" customHeight="1" x14ac:dyDescent="0.25">
      <c r="A868" s="29"/>
      <c r="B868" s="29"/>
      <c r="C868" s="30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spans="1:21" ht="16.5" customHeight="1" x14ac:dyDescent="0.25">
      <c r="A869" s="29"/>
      <c r="B869" s="29"/>
      <c r="C869" s="30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spans="1:21" ht="16.5" customHeight="1" x14ac:dyDescent="0.25">
      <c r="A870" s="29"/>
      <c r="B870" s="29"/>
      <c r="C870" s="30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spans="1:21" ht="16.5" customHeight="1" x14ac:dyDescent="0.25">
      <c r="A871" s="29"/>
      <c r="B871" s="29"/>
      <c r="C871" s="30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spans="1:21" ht="16.5" customHeight="1" x14ac:dyDescent="0.25">
      <c r="A872" s="29"/>
      <c r="B872" s="29"/>
      <c r="C872" s="30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spans="1:21" ht="16.5" customHeight="1" x14ac:dyDescent="0.25">
      <c r="A873" s="29"/>
      <c r="B873" s="29"/>
      <c r="C873" s="30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spans="1:21" ht="16.5" customHeight="1" x14ac:dyDescent="0.25">
      <c r="A874" s="29"/>
      <c r="B874" s="29"/>
      <c r="C874" s="3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spans="1:21" ht="16.5" customHeight="1" x14ac:dyDescent="0.25">
      <c r="A875" s="29"/>
      <c r="B875" s="29"/>
      <c r="C875" s="30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spans="1:21" ht="16.5" customHeight="1" x14ac:dyDescent="0.25">
      <c r="A876" s="29"/>
      <c r="B876" s="29"/>
      <c r="C876" s="30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spans="1:21" ht="16.5" customHeight="1" x14ac:dyDescent="0.25">
      <c r="A877" s="29"/>
      <c r="B877" s="29"/>
      <c r="C877" s="30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spans="1:21" ht="16.5" customHeight="1" x14ac:dyDescent="0.25">
      <c r="A878" s="29"/>
      <c r="B878" s="29"/>
      <c r="C878" s="30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spans="1:21" ht="16.5" customHeight="1" x14ac:dyDescent="0.25">
      <c r="A879" s="29"/>
      <c r="B879" s="29"/>
      <c r="C879" s="30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spans="1:21" ht="16.5" customHeight="1" x14ac:dyDescent="0.25">
      <c r="A880" s="29"/>
      <c r="B880" s="29"/>
      <c r="C880" s="30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spans="1:21" ht="16.5" customHeight="1" x14ac:dyDescent="0.25">
      <c r="A881" s="29"/>
      <c r="B881" s="29"/>
      <c r="C881" s="30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spans="1:21" ht="16.5" customHeight="1" x14ac:dyDescent="0.25">
      <c r="A882" s="29"/>
      <c r="B882" s="29"/>
      <c r="C882" s="30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spans="1:21" ht="16.5" customHeight="1" x14ac:dyDescent="0.25">
      <c r="A883" s="29"/>
      <c r="B883" s="29"/>
      <c r="C883" s="30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spans="1:21" ht="16.5" customHeight="1" x14ac:dyDescent="0.25">
      <c r="A884" s="29"/>
      <c r="B884" s="29"/>
      <c r="C884" s="30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spans="1:21" ht="16.5" customHeight="1" x14ac:dyDescent="0.25">
      <c r="A885" s="29"/>
      <c r="B885" s="29"/>
      <c r="C885" s="30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spans="1:21" ht="16.5" customHeight="1" x14ac:dyDescent="0.25">
      <c r="A886" s="29"/>
      <c r="B886" s="29"/>
      <c r="C886" s="30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spans="1:21" ht="16.5" customHeight="1" x14ac:dyDescent="0.25">
      <c r="A887" s="29"/>
      <c r="B887" s="29"/>
      <c r="C887" s="3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spans="1:21" ht="16.5" customHeight="1" x14ac:dyDescent="0.25">
      <c r="A888" s="29"/>
      <c r="B888" s="29"/>
      <c r="C888" s="30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spans="1:21" ht="16.5" customHeight="1" x14ac:dyDescent="0.25">
      <c r="A889" s="29"/>
      <c r="B889" s="29"/>
      <c r="C889" s="30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spans="1:21" ht="16.5" customHeight="1" x14ac:dyDescent="0.25">
      <c r="A890" s="29"/>
      <c r="B890" s="29"/>
      <c r="C890" s="30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spans="1:21" ht="16.5" customHeight="1" x14ac:dyDescent="0.25">
      <c r="A891" s="29"/>
      <c r="B891" s="29"/>
      <c r="C891" s="30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spans="1:21" ht="16.5" customHeight="1" x14ac:dyDescent="0.25">
      <c r="A892" s="29"/>
      <c r="B892" s="29"/>
      <c r="C892" s="30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spans="1:21" ht="16.5" customHeight="1" x14ac:dyDescent="0.25">
      <c r="A893" s="29"/>
      <c r="B893" s="29"/>
      <c r="C893" s="30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spans="1:21" ht="16.5" customHeight="1" x14ac:dyDescent="0.25">
      <c r="A894" s="29"/>
      <c r="B894" s="29"/>
      <c r="C894" s="30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spans="1:21" ht="16.5" customHeight="1" x14ac:dyDescent="0.25">
      <c r="A895" s="29"/>
      <c r="B895" s="29"/>
      <c r="C895" s="30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spans="1:21" ht="16.5" customHeight="1" x14ac:dyDescent="0.25">
      <c r="A896" s="29"/>
      <c r="B896" s="29"/>
      <c r="C896" s="30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spans="1:21" ht="16.5" customHeight="1" x14ac:dyDescent="0.25">
      <c r="A897" s="29"/>
      <c r="B897" s="29"/>
      <c r="C897" s="30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spans="1:21" ht="16.5" customHeight="1" x14ac:dyDescent="0.25">
      <c r="A898" s="29"/>
      <c r="B898" s="29"/>
      <c r="C898" s="30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spans="1:21" ht="16.5" customHeight="1" x14ac:dyDescent="0.25">
      <c r="A899" s="29"/>
      <c r="B899" s="29"/>
      <c r="C899" s="30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spans="1:21" ht="16.5" customHeight="1" x14ac:dyDescent="0.25">
      <c r="A900" s="29"/>
      <c r="B900" s="29"/>
      <c r="C900" s="30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spans="1:21" ht="16.5" customHeight="1" x14ac:dyDescent="0.25">
      <c r="A901" s="29"/>
      <c r="B901" s="29"/>
      <c r="C901" s="30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spans="1:21" ht="16.5" customHeight="1" x14ac:dyDescent="0.25">
      <c r="A902" s="29"/>
      <c r="B902" s="29"/>
      <c r="C902" s="30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spans="1:21" ht="16.5" customHeight="1" x14ac:dyDescent="0.25">
      <c r="A903" s="29"/>
      <c r="B903" s="29"/>
      <c r="C903" s="30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spans="1:21" ht="16.5" customHeight="1" x14ac:dyDescent="0.25">
      <c r="A904" s="29"/>
      <c r="B904" s="29"/>
      <c r="C904" s="30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spans="1:21" ht="16.5" customHeight="1" x14ac:dyDescent="0.25">
      <c r="A905" s="29"/>
      <c r="B905" s="29"/>
      <c r="C905" s="30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spans="1:21" ht="16.5" customHeight="1" x14ac:dyDescent="0.25">
      <c r="A906" s="29"/>
      <c r="B906" s="29"/>
      <c r="C906" s="30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spans="1:21" ht="16.5" customHeight="1" x14ac:dyDescent="0.25">
      <c r="A907" s="29"/>
      <c r="B907" s="29"/>
      <c r="C907" s="30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spans="1:21" ht="16.5" customHeight="1" x14ac:dyDescent="0.25">
      <c r="A908" s="29"/>
      <c r="B908" s="29"/>
      <c r="C908" s="3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spans="1:21" ht="16.5" customHeight="1" x14ac:dyDescent="0.25">
      <c r="A909" s="29"/>
      <c r="B909" s="29"/>
      <c r="C909" s="30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spans="1:21" ht="16.5" customHeight="1" x14ac:dyDescent="0.25">
      <c r="A910" s="29"/>
      <c r="B910" s="29"/>
      <c r="C910" s="30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spans="1:21" ht="16.5" customHeight="1" x14ac:dyDescent="0.25">
      <c r="A911" s="29"/>
      <c r="B911" s="29"/>
      <c r="C911" s="30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spans="1:21" ht="16.5" customHeight="1" x14ac:dyDescent="0.25">
      <c r="A912" s="29"/>
      <c r="B912" s="29"/>
      <c r="C912" s="30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spans="1:21" ht="16.5" customHeight="1" x14ac:dyDescent="0.25">
      <c r="A913" s="29"/>
      <c r="B913" s="29"/>
      <c r="C913" s="30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spans="1:21" ht="16.5" customHeight="1" x14ac:dyDescent="0.25">
      <c r="A914" s="29"/>
      <c r="B914" s="29"/>
      <c r="C914" s="30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spans="1:21" ht="16.5" customHeight="1" x14ac:dyDescent="0.25">
      <c r="A915" s="29"/>
      <c r="B915" s="29"/>
      <c r="C915" s="30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spans="1:21" ht="16.5" customHeight="1" x14ac:dyDescent="0.25">
      <c r="A916" s="29"/>
      <c r="B916" s="29"/>
      <c r="C916" s="30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spans="1:21" ht="16.5" customHeight="1" x14ac:dyDescent="0.25">
      <c r="A917" s="29"/>
      <c r="B917" s="29"/>
      <c r="C917" s="3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spans="1:21" ht="16.5" customHeight="1" x14ac:dyDescent="0.25">
      <c r="A918" s="29"/>
      <c r="B918" s="29"/>
      <c r="C918" s="30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spans="1:21" ht="16.5" customHeight="1" x14ac:dyDescent="0.25">
      <c r="A919" s="29"/>
      <c r="B919" s="29"/>
      <c r="C919" s="30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spans="1:21" ht="16.5" customHeight="1" x14ac:dyDescent="0.25">
      <c r="A920" s="29"/>
      <c r="B920" s="29"/>
      <c r="C920" s="30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spans="1:21" ht="16.5" customHeight="1" x14ac:dyDescent="0.25">
      <c r="A921" s="29"/>
      <c r="B921" s="29"/>
      <c r="C921" s="30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spans="1:21" ht="16.5" customHeight="1" x14ac:dyDescent="0.25">
      <c r="A922" s="29"/>
      <c r="B922" s="29"/>
      <c r="C922" s="30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spans="1:21" ht="16.5" customHeight="1" x14ac:dyDescent="0.25">
      <c r="A923" s="29"/>
      <c r="B923" s="29"/>
      <c r="C923" s="30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spans="1:21" ht="16.5" customHeight="1" x14ac:dyDescent="0.25">
      <c r="A924" s="29"/>
      <c r="B924" s="29"/>
      <c r="C924" s="30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spans="1:21" ht="16.5" customHeight="1" x14ac:dyDescent="0.25">
      <c r="A925" s="29"/>
      <c r="B925" s="29"/>
      <c r="C925" s="30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spans="1:21" ht="16.5" customHeight="1" x14ac:dyDescent="0.25">
      <c r="A926" s="29"/>
      <c r="B926" s="29"/>
      <c r="C926" s="30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spans="1:21" ht="16.5" customHeight="1" x14ac:dyDescent="0.25">
      <c r="A927" s="29"/>
      <c r="B927" s="29"/>
      <c r="C927" s="30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spans="1:21" ht="16.5" customHeight="1" x14ac:dyDescent="0.25">
      <c r="A928" s="29"/>
      <c r="B928" s="29"/>
      <c r="C928" s="30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spans="1:21" ht="16.5" customHeight="1" x14ac:dyDescent="0.25">
      <c r="A929" s="29"/>
      <c r="B929" s="29"/>
      <c r="C929" s="30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spans="1:21" ht="16.5" customHeight="1" x14ac:dyDescent="0.25">
      <c r="A930" s="29"/>
      <c r="B930" s="29"/>
      <c r="C930" s="30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  <row r="931" spans="1:21" ht="16.5" customHeight="1" x14ac:dyDescent="0.25">
      <c r="A931" s="29"/>
      <c r="B931" s="29"/>
      <c r="C931" s="30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</row>
    <row r="932" spans="1:21" ht="16.5" customHeight="1" x14ac:dyDescent="0.25">
      <c r="A932" s="29"/>
      <c r="B932" s="29"/>
      <c r="C932" s="30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</row>
    <row r="933" spans="1:21" ht="16.5" customHeight="1" x14ac:dyDescent="0.25">
      <c r="A933" s="29"/>
      <c r="B933" s="29"/>
      <c r="C933" s="30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</row>
    <row r="934" spans="1:21" ht="16.5" customHeight="1" x14ac:dyDescent="0.25">
      <c r="A934" s="29"/>
      <c r="B934" s="29"/>
      <c r="C934" s="30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</row>
    <row r="935" spans="1:21" ht="16.5" customHeight="1" x14ac:dyDescent="0.25">
      <c r="A935" s="29"/>
      <c r="B935" s="29"/>
      <c r="C935" s="30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</row>
    <row r="936" spans="1:21" ht="16.5" customHeight="1" x14ac:dyDescent="0.25">
      <c r="A936" s="29"/>
      <c r="B936" s="29"/>
      <c r="C936" s="30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</row>
    <row r="937" spans="1:21" ht="16.5" customHeight="1" x14ac:dyDescent="0.25">
      <c r="A937" s="29"/>
      <c r="B937" s="29"/>
      <c r="C937" s="30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</row>
    <row r="938" spans="1:21" ht="16.5" customHeight="1" x14ac:dyDescent="0.25">
      <c r="A938" s="29"/>
      <c r="B938" s="29"/>
      <c r="C938" s="30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</row>
    <row r="939" spans="1:21" ht="16.5" customHeight="1" x14ac:dyDescent="0.25">
      <c r="A939" s="29"/>
      <c r="B939" s="29"/>
      <c r="C939" s="30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</row>
    <row r="940" spans="1:21" ht="16.5" customHeight="1" x14ac:dyDescent="0.25">
      <c r="A940" s="29"/>
      <c r="B940" s="29"/>
      <c r="C940" s="3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</row>
    <row r="941" spans="1:21" ht="16.5" customHeight="1" x14ac:dyDescent="0.25">
      <c r="A941" s="29"/>
      <c r="B941" s="29"/>
      <c r="C941" s="30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</row>
    <row r="942" spans="1:21" ht="16.5" customHeight="1" x14ac:dyDescent="0.25">
      <c r="A942" s="29"/>
      <c r="B942" s="29"/>
      <c r="C942" s="30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</row>
    <row r="943" spans="1:21" ht="16.5" customHeight="1" x14ac:dyDescent="0.25">
      <c r="A943" s="29"/>
      <c r="B943" s="29"/>
      <c r="C943" s="30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</row>
    <row r="944" spans="1:21" ht="16.5" customHeight="1" x14ac:dyDescent="0.25">
      <c r="A944" s="29"/>
      <c r="B944" s="29"/>
      <c r="C944" s="30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</row>
    <row r="945" spans="1:21" ht="16.5" customHeight="1" x14ac:dyDescent="0.25">
      <c r="A945" s="29"/>
      <c r="B945" s="29"/>
      <c r="C945" s="30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</row>
    <row r="946" spans="1:21" ht="16.5" customHeight="1" x14ac:dyDescent="0.25">
      <c r="A946" s="29"/>
      <c r="B946" s="29"/>
      <c r="C946" s="30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</row>
    <row r="947" spans="1:21" ht="16.5" customHeight="1" x14ac:dyDescent="0.25">
      <c r="A947" s="29"/>
      <c r="B947" s="29"/>
      <c r="C947" s="30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</row>
    <row r="948" spans="1:21" ht="16.5" customHeight="1" x14ac:dyDescent="0.25">
      <c r="A948" s="29"/>
      <c r="B948" s="29"/>
      <c r="C948" s="30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</row>
    <row r="949" spans="1:21" ht="16.5" customHeight="1" x14ac:dyDescent="0.25">
      <c r="A949" s="29"/>
      <c r="B949" s="29"/>
      <c r="C949" s="30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</row>
    <row r="950" spans="1:21" ht="16.5" customHeight="1" x14ac:dyDescent="0.25">
      <c r="A950" s="29"/>
      <c r="B950" s="29"/>
      <c r="C950" s="30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</row>
    <row r="951" spans="1:21" ht="16.5" customHeight="1" x14ac:dyDescent="0.25">
      <c r="A951" s="29"/>
      <c r="B951" s="29"/>
      <c r="C951" s="30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</row>
    <row r="952" spans="1:21" ht="16.5" customHeight="1" x14ac:dyDescent="0.25">
      <c r="A952" s="29"/>
      <c r="B952" s="29"/>
      <c r="C952" s="3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</row>
  </sheetData>
  <printOptions horizontalCentered="1"/>
  <pageMargins left="3.937007874015748E-2" right="3.937007874015748E-2" top="0.31496062992125984" bottom="0.15748031496062992" header="0" footer="0"/>
  <pageSetup paperSize="14" scale="89" fitToHeight="0" orientation="portrait" r:id="rId1"/>
  <headerFooter>
    <oddFooter>&amp;R&amp;P of</oddFooter>
  </headerFooter>
  <rowBreaks count="1" manualBreakCount="1">
    <brk id="6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9873-F06D-4DA7-BA23-EA0B28D53526}">
  <dimension ref="A1:P208"/>
  <sheetViews>
    <sheetView view="pageBreakPreview" topLeftCell="A55" zoomScaleNormal="100" zoomScaleSheetLayoutView="100" workbookViewId="0">
      <selection activeCell="E67" sqref="E67"/>
    </sheetView>
  </sheetViews>
  <sheetFormatPr defaultRowHeight="15" x14ac:dyDescent="0.25"/>
  <cols>
    <col min="1" max="1" width="2.85546875" style="106" customWidth="1"/>
    <col min="2" max="2" width="6.140625" style="12" customWidth="1"/>
    <col min="3" max="3" width="42.7109375" style="56" customWidth="1"/>
    <col min="4" max="4" width="24.140625" style="197" customWidth="1"/>
    <col min="5" max="5" width="31.7109375" style="94" customWidth="1"/>
    <col min="6" max="6" width="3.85546875" style="92" customWidth="1"/>
    <col min="7" max="7" width="36.85546875" style="133" customWidth="1"/>
    <col min="8" max="16384" width="9.140625" style="3"/>
  </cols>
  <sheetData>
    <row r="1" spans="1:16" customFormat="1" ht="27" customHeight="1" x14ac:dyDescent="0.25">
      <c r="A1" s="103"/>
      <c r="B1" s="1"/>
      <c r="C1" s="2" t="s">
        <v>0</v>
      </c>
      <c r="D1" s="197"/>
      <c r="E1" s="94"/>
      <c r="F1" s="90"/>
      <c r="G1" s="132"/>
    </row>
    <row r="2" spans="1:16" s="7" customFormat="1" ht="14.25" customHeight="1" x14ac:dyDescent="0.2">
      <c r="A2" s="104"/>
      <c r="B2" s="5"/>
      <c r="C2" s="6" t="s">
        <v>474</v>
      </c>
      <c r="D2" s="197"/>
      <c r="E2" s="94"/>
      <c r="F2" s="91"/>
      <c r="G2" s="133"/>
    </row>
    <row r="3" spans="1:16" customFormat="1" ht="17.25" x14ac:dyDescent="0.25">
      <c r="A3" s="103"/>
      <c r="B3" s="1"/>
      <c r="C3" s="9" t="s">
        <v>2</v>
      </c>
      <c r="D3" s="197"/>
      <c r="E3" s="94"/>
      <c r="F3" s="90"/>
      <c r="G3" s="132"/>
    </row>
    <row r="4" spans="1:16" customFormat="1" x14ac:dyDescent="0.25">
      <c r="A4" s="105"/>
      <c r="B4" s="10"/>
      <c r="C4" s="11" t="s">
        <v>3</v>
      </c>
      <c r="D4" s="197"/>
      <c r="E4" s="94"/>
      <c r="F4" s="90"/>
      <c r="G4" s="134"/>
    </row>
    <row r="5" spans="1:16" customFormat="1" x14ac:dyDescent="0.25">
      <c r="A5" s="95"/>
      <c r="C5" s="110"/>
      <c r="D5" s="198"/>
      <c r="E5" s="90"/>
      <c r="F5" s="90"/>
      <c r="G5" s="132"/>
    </row>
    <row r="6" spans="1:16" ht="19.5" x14ac:dyDescent="0.25">
      <c r="A6" s="252" t="s">
        <v>570</v>
      </c>
      <c r="B6" s="252"/>
      <c r="C6" s="252"/>
      <c r="D6" s="252"/>
      <c r="E6" s="252"/>
      <c r="F6" s="252"/>
    </row>
    <row r="7" spans="1:16" ht="15.75" x14ac:dyDescent="0.25">
      <c r="A7" s="248"/>
      <c r="B7" s="248"/>
      <c r="C7" s="248"/>
      <c r="D7" s="248"/>
      <c r="E7" s="248"/>
      <c r="F7" s="248"/>
    </row>
    <row r="8" spans="1:16" ht="7.5" customHeight="1" x14ac:dyDescent="0.25">
      <c r="A8" s="106" t="s">
        <v>5</v>
      </c>
      <c r="D8" s="4"/>
      <c r="E8" s="3"/>
    </row>
    <row r="9" spans="1:16" ht="18.75" customHeight="1" x14ac:dyDescent="0.25">
      <c r="D9" s="101" t="s">
        <v>570</v>
      </c>
      <c r="E9" s="131" t="s">
        <v>571</v>
      </c>
    </row>
    <row r="10" spans="1:16" ht="19.5" x14ac:dyDescent="0.25">
      <c r="A10" s="205" t="s">
        <v>7</v>
      </c>
      <c r="B10" s="206"/>
      <c r="C10" s="206"/>
      <c r="D10" s="206"/>
      <c r="E10" s="207"/>
      <c r="H10" s="234" t="s">
        <v>578</v>
      </c>
      <c r="I10" s="234" t="s">
        <v>579</v>
      </c>
      <c r="J10" s="234" t="s">
        <v>577</v>
      </c>
      <c r="K10" s="234" t="s">
        <v>576</v>
      </c>
      <c r="L10" s="234" t="s">
        <v>575</v>
      </c>
      <c r="M10" s="234" t="s">
        <v>580</v>
      </c>
      <c r="N10" s="234" t="s">
        <v>572</v>
      </c>
      <c r="O10" s="234" t="s">
        <v>573</v>
      </c>
      <c r="P10" s="235" t="s">
        <v>466</v>
      </c>
    </row>
    <row r="11" spans="1:16" ht="22.5" customHeight="1" x14ac:dyDescent="0.25">
      <c r="A11" s="107">
        <v>1</v>
      </c>
      <c r="B11" s="14" t="s">
        <v>9</v>
      </c>
      <c r="C11" s="111" t="s">
        <v>10</v>
      </c>
      <c r="D11" s="201" t="s">
        <v>572</v>
      </c>
      <c r="E11" s="97"/>
      <c r="F11" s="91"/>
      <c r="H11" s="232">
        <v>10</v>
      </c>
      <c r="I11" s="232">
        <v>3</v>
      </c>
      <c r="J11" s="232">
        <v>44</v>
      </c>
      <c r="K11" s="232">
        <v>33</v>
      </c>
      <c r="L11" s="232">
        <v>7</v>
      </c>
      <c r="M11" s="232">
        <v>4</v>
      </c>
      <c r="N11" s="232">
        <v>25</v>
      </c>
      <c r="O11" s="232">
        <v>10</v>
      </c>
      <c r="P11" s="233">
        <f>SUM(H11:O11)</f>
        <v>136</v>
      </c>
    </row>
    <row r="12" spans="1:16" ht="22.5" customHeight="1" x14ac:dyDescent="0.25">
      <c r="A12" s="107">
        <f>A11+1</f>
        <v>2</v>
      </c>
      <c r="B12" s="14" t="s">
        <v>17</v>
      </c>
      <c r="C12" s="109" t="s">
        <v>18</v>
      </c>
      <c r="D12" s="201" t="s">
        <v>573</v>
      </c>
      <c r="E12" s="97"/>
      <c r="F12" s="93"/>
    </row>
    <row r="13" spans="1:16" ht="22.5" customHeight="1" x14ac:dyDescent="0.25">
      <c r="A13" s="107">
        <f>A12+1</f>
        <v>3</v>
      </c>
      <c r="B13" s="14" t="s">
        <v>21</v>
      </c>
      <c r="C13" s="111" t="s">
        <v>22</v>
      </c>
      <c r="D13" s="201" t="s">
        <v>574</v>
      </c>
      <c r="E13" s="97"/>
      <c r="F13" s="93"/>
    </row>
    <row r="14" spans="1:16" ht="22.5" customHeight="1" x14ac:dyDescent="0.25">
      <c r="A14" s="107">
        <f>A13+1</f>
        <v>4</v>
      </c>
      <c r="B14" s="14" t="s">
        <v>23</v>
      </c>
      <c r="C14" s="111" t="s">
        <v>24</v>
      </c>
      <c r="D14" s="201" t="s">
        <v>575</v>
      </c>
      <c r="E14" s="97"/>
      <c r="F14" s="93"/>
    </row>
    <row r="15" spans="1:16" x14ac:dyDescent="0.25">
      <c r="F15" s="93"/>
    </row>
    <row r="16" spans="1:16" ht="19.5" x14ac:dyDescent="0.25">
      <c r="A16" s="208" t="s">
        <v>25</v>
      </c>
      <c r="B16" s="209"/>
      <c r="C16" s="209"/>
      <c r="D16" s="209"/>
      <c r="E16" s="210"/>
    </row>
    <row r="17" spans="1:6" ht="22.5" customHeight="1" x14ac:dyDescent="0.25">
      <c r="A17" s="107">
        <v>1</v>
      </c>
      <c r="B17" s="14" t="s">
        <v>210</v>
      </c>
      <c r="C17" s="109" t="s">
        <v>211</v>
      </c>
      <c r="D17" s="201" t="s">
        <v>572</v>
      </c>
      <c r="E17" s="97"/>
    </row>
    <row r="18" spans="1:6" ht="22.5" customHeight="1" x14ac:dyDescent="0.25">
      <c r="A18" s="107">
        <f>A17+1</f>
        <v>2</v>
      </c>
      <c r="B18" s="14" t="s">
        <v>26</v>
      </c>
      <c r="C18" s="109" t="s">
        <v>27</v>
      </c>
      <c r="D18" s="201" t="s">
        <v>576</v>
      </c>
      <c r="E18" s="97"/>
    </row>
    <row r="19" spans="1:6" x14ac:dyDescent="0.25">
      <c r="A19" s="211" t="s">
        <v>28</v>
      </c>
      <c r="B19" s="211"/>
      <c r="C19" s="211"/>
      <c r="D19" s="211"/>
      <c r="E19" s="211"/>
    </row>
    <row r="20" spans="1:6" ht="22.5" customHeight="1" x14ac:dyDescent="0.25">
      <c r="A20" s="107">
        <f>A18+1</f>
        <v>3</v>
      </c>
      <c r="B20" s="14" t="s">
        <v>29</v>
      </c>
      <c r="C20" s="109" t="s">
        <v>30</v>
      </c>
      <c r="D20" s="201" t="s">
        <v>573</v>
      </c>
      <c r="E20" s="97"/>
    </row>
    <row r="21" spans="1:6" ht="22.5" customHeight="1" x14ac:dyDescent="0.25">
      <c r="A21" s="107">
        <f>A20+1</f>
        <v>4</v>
      </c>
      <c r="B21" s="14" t="s">
        <v>32</v>
      </c>
      <c r="C21" s="111" t="s">
        <v>33</v>
      </c>
      <c r="D21" s="201" t="s">
        <v>576</v>
      </c>
      <c r="E21" s="97"/>
    </row>
    <row r="22" spans="1:6" ht="22.5" customHeight="1" x14ac:dyDescent="0.25">
      <c r="A22" s="107">
        <f>A21+1</f>
        <v>5</v>
      </c>
      <c r="B22" s="14" t="s">
        <v>36</v>
      </c>
      <c r="C22" s="112" t="s">
        <v>37</v>
      </c>
      <c r="D22" s="201" t="s">
        <v>577</v>
      </c>
      <c r="E22" s="97"/>
      <c r="F22" s="93"/>
    </row>
    <row r="23" spans="1:6" ht="22.5" customHeight="1" x14ac:dyDescent="0.25">
      <c r="A23" s="107">
        <f>A22+1</f>
        <v>6</v>
      </c>
      <c r="B23" s="14" t="s">
        <v>511</v>
      </c>
      <c r="C23" s="112" t="s">
        <v>380</v>
      </c>
      <c r="D23" s="201" t="s">
        <v>577</v>
      </c>
      <c r="E23" s="97"/>
      <c r="F23" s="93"/>
    </row>
    <row r="24" spans="1:6" ht="22.5" customHeight="1" x14ac:dyDescent="0.25">
      <c r="A24" s="107">
        <f>A23+1</f>
        <v>7</v>
      </c>
      <c r="B24" s="14" t="s">
        <v>38</v>
      </c>
      <c r="C24" s="112" t="s">
        <v>39</v>
      </c>
      <c r="D24" s="201" t="s">
        <v>577</v>
      </c>
      <c r="E24" s="97"/>
      <c r="F24" s="93"/>
    </row>
    <row r="25" spans="1:6" ht="22.5" customHeight="1" x14ac:dyDescent="0.25">
      <c r="A25" s="107">
        <f>A24+1</f>
        <v>8</v>
      </c>
      <c r="B25" s="14" t="s">
        <v>41</v>
      </c>
      <c r="C25" s="112" t="s">
        <v>42</v>
      </c>
      <c r="D25" s="201" t="s">
        <v>575</v>
      </c>
      <c r="E25" s="97"/>
      <c r="F25" s="93"/>
    </row>
    <row r="26" spans="1:6" x14ac:dyDescent="0.25">
      <c r="A26" s="211" t="s">
        <v>44</v>
      </c>
      <c r="B26" s="211"/>
      <c r="C26" s="211"/>
      <c r="D26" s="211"/>
      <c r="E26" s="211"/>
    </row>
    <row r="27" spans="1:6" x14ac:dyDescent="0.25">
      <c r="A27" s="212" t="s">
        <v>45</v>
      </c>
      <c r="B27" s="213"/>
      <c r="C27" s="213"/>
      <c r="D27" s="213"/>
      <c r="E27" s="214"/>
    </row>
    <row r="28" spans="1:6" ht="22.5" customHeight="1" x14ac:dyDescent="0.25">
      <c r="A28" s="107">
        <f>A25+1</f>
        <v>9</v>
      </c>
      <c r="B28" s="14" t="s">
        <v>46</v>
      </c>
      <c r="C28" s="112" t="s">
        <v>47</v>
      </c>
      <c r="D28" s="201" t="s">
        <v>576</v>
      </c>
      <c r="E28" s="97"/>
    </row>
    <row r="29" spans="1:6" ht="22.5" customHeight="1" x14ac:dyDescent="0.25">
      <c r="A29" s="107">
        <f>A28+1</f>
        <v>10</v>
      </c>
      <c r="B29" s="14" t="s">
        <v>49</v>
      </c>
      <c r="C29" s="109" t="s">
        <v>50</v>
      </c>
      <c r="D29" s="201" t="s">
        <v>578</v>
      </c>
      <c r="E29" s="97"/>
    </row>
    <row r="30" spans="1:6" ht="22.5" customHeight="1" x14ac:dyDescent="0.25">
      <c r="A30" s="107">
        <f>A29+1</f>
        <v>11</v>
      </c>
      <c r="B30" s="14" t="s">
        <v>51</v>
      </c>
      <c r="C30" s="111" t="s">
        <v>52</v>
      </c>
      <c r="D30" s="201" t="s">
        <v>572</v>
      </c>
      <c r="E30" s="97"/>
    </row>
    <row r="31" spans="1:6" ht="22.5" customHeight="1" x14ac:dyDescent="0.25">
      <c r="A31" s="107">
        <f>A30+1</f>
        <v>12</v>
      </c>
      <c r="B31" s="14" t="s">
        <v>53</v>
      </c>
      <c r="C31" s="109" t="s">
        <v>54</v>
      </c>
      <c r="D31" s="201" t="s">
        <v>572</v>
      </c>
      <c r="E31" s="97"/>
    </row>
    <row r="32" spans="1:6" x14ac:dyDescent="0.25">
      <c r="A32" s="212" t="s">
        <v>55</v>
      </c>
      <c r="B32" s="213"/>
      <c r="C32" s="213"/>
      <c r="D32" s="213"/>
      <c r="E32" s="214"/>
    </row>
    <row r="33" spans="1:6" ht="22.5" customHeight="1" x14ac:dyDescent="0.25">
      <c r="A33" s="107">
        <f>A31+1</f>
        <v>13</v>
      </c>
      <c r="B33" s="14" t="s">
        <v>56</v>
      </c>
      <c r="C33" s="111" t="s">
        <v>57</v>
      </c>
      <c r="D33" s="201" t="s">
        <v>572</v>
      </c>
      <c r="E33" s="97"/>
    </row>
    <row r="34" spans="1:6" ht="22.5" customHeight="1" x14ac:dyDescent="0.25">
      <c r="A34" s="107">
        <f>A33+1</f>
        <v>14</v>
      </c>
      <c r="B34" s="14" t="s">
        <v>58</v>
      </c>
      <c r="C34" s="112" t="s">
        <v>59</v>
      </c>
      <c r="D34" s="201" t="s">
        <v>577</v>
      </c>
      <c r="E34" s="97"/>
      <c r="F34" s="93"/>
    </row>
    <row r="35" spans="1:6" x14ac:dyDescent="0.25">
      <c r="A35" s="212" t="s">
        <v>61</v>
      </c>
      <c r="B35" s="213"/>
      <c r="C35" s="213"/>
      <c r="D35" s="213"/>
      <c r="E35" s="214"/>
    </row>
    <row r="36" spans="1:6" ht="22.5" customHeight="1" x14ac:dyDescent="0.25">
      <c r="A36" s="107">
        <f>A34+1</f>
        <v>15</v>
      </c>
      <c r="B36" s="14" t="s">
        <v>62</v>
      </c>
      <c r="C36" s="112" t="s">
        <v>63</v>
      </c>
      <c r="D36" s="201" t="s">
        <v>572</v>
      </c>
      <c r="E36" s="97"/>
      <c r="F36" s="93"/>
    </row>
    <row r="37" spans="1:6" ht="22.5" customHeight="1" x14ac:dyDescent="0.25">
      <c r="A37" s="107">
        <f>A36+1</f>
        <v>16</v>
      </c>
      <c r="B37" s="14">
        <v>529551</v>
      </c>
      <c r="C37" s="112" t="s">
        <v>64</v>
      </c>
      <c r="D37" s="201" t="s">
        <v>577</v>
      </c>
      <c r="E37" s="97"/>
      <c r="F37" s="93"/>
    </row>
    <row r="38" spans="1:6" x14ac:dyDescent="0.25">
      <c r="A38" s="211" t="s">
        <v>66</v>
      </c>
      <c r="B38" s="211"/>
      <c r="C38" s="211"/>
      <c r="D38" s="211"/>
      <c r="E38" s="211"/>
    </row>
    <row r="39" spans="1:6" ht="22.5" customHeight="1" x14ac:dyDescent="0.25">
      <c r="A39" s="107">
        <f>A37+1</f>
        <v>17</v>
      </c>
      <c r="B39" s="14" t="s">
        <v>67</v>
      </c>
      <c r="C39" s="109" t="s">
        <v>68</v>
      </c>
      <c r="D39" s="201" t="s">
        <v>576</v>
      </c>
      <c r="E39" s="97"/>
    </row>
    <row r="40" spans="1:6" ht="22.5" customHeight="1" x14ac:dyDescent="0.25">
      <c r="A40" s="107">
        <f>A39+1</f>
        <v>18</v>
      </c>
      <c r="B40" s="14" t="s">
        <v>70</v>
      </c>
      <c r="C40" s="109" t="s">
        <v>71</v>
      </c>
      <c r="D40" s="201" t="s">
        <v>573</v>
      </c>
      <c r="E40" s="97"/>
    </row>
    <row r="41" spans="1:6" ht="22.5" customHeight="1" x14ac:dyDescent="0.25">
      <c r="A41" s="138">
        <f>A40+1</f>
        <v>19</v>
      </c>
      <c r="B41" s="139" t="s">
        <v>73</v>
      </c>
      <c r="C41" s="140" t="s">
        <v>74</v>
      </c>
      <c r="D41" s="202" t="s">
        <v>577</v>
      </c>
      <c r="E41" s="142"/>
      <c r="F41" s="93"/>
    </row>
    <row r="42" spans="1:6" x14ac:dyDescent="0.25">
      <c r="B42" s="15"/>
      <c r="C42" s="113"/>
      <c r="D42" s="203"/>
      <c r="F42" s="93"/>
    </row>
    <row r="43" spans="1:6" ht="19.5" x14ac:dyDescent="0.25">
      <c r="A43" s="215" t="s">
        <v>75</v>
      </c>
      <c r="B43" s="216"/>
      <c r="C43" s="216"/>
      <c r="D43" s="216"/>
      <c r="E43" s="217"/>
    </row>
    <row r="44" spans="1:6" ht="22.5" customHeight="1" x14ac:dyDescent="0.25">
      <c r="A44" s="107">
        <v>1</v>
      </c>
      <c r="B44" s="14" t="s">
        <v>532</v>
      </c>
      <c r="C44" s="109" t="s">
        <v>503</v>
      </c>
      <c r="D44" s="204" t="s">
        <v>577</v>
      </c>
      <c r="E44" s="97"/>
      <c r="F44" s="93"/>
    </row>
    <row r="45" spans="1:6" ht="22.5" customHeight="1" x14ac:dyDescent="0.25">
      <c r="A45" s="107">
        <f>A44+1</f>
        <v>2</v>
      </c>
      <c r="B45" s="14" t="s">
        <v>76</v>
      </c>
      <c r="C45" s="109" t="s">
        <v>77</v>
      </c>
      <c r="D45" s="201" t="s">
        <v>576</v>
      </c>
      <c r="E45" s="97"/>
      <c r="F45" s="93"/>
    </row>
    <row r="46" spans="1:6" x14ac:dyDescent="0.25">
      <c r="A46" s="196" t="s">
        <v>487</v>
      </c>
      <c r="B46" s="196"/>
      <c r="C46" s="196"/>
      <c r="D46" s="196"/>
      <c r="E46" s="196"/>
    </row>
    <row r="47" spans="1:6" ht="22.5" customHeight="1" x14ac:dyDescent="0.25">
      <c r="A47" s="107">
        <f>A45+1</f>
        <v>3</v>
      </c>
      <c r="B47" s="14" t="s">
        <v>78</v>
      </c>
      <c r="C47" s="111" t="s">
        <v>79</v>
      </c>
      <c r="D47" s="201" t="s">
        <v>575</v>
      </c>
      <c r="E47" s="97"/>
      <c r="F47" s="93"/>
    </row>
    <row r="48" spans="1:6" ht="22.5" customHeight="1" x14ac:dyDescent="0.25">
      <c r="A48" s="107">
        <f>A47+1</f>
        <v>4</v>
      </c>
      <c r="B48" s="14" t="s">
        <v>81</v>
      </c>
      <c r="C48" s="111" t="s">
        <v>82</v>
      </c>
      <c r="D48" s="201" t="s">
        <v>573</v>
      </c>
      <c r="E48" s="97"/>
      <c r="F48" s="93"/>
    </row>
    <row r="49" spans="1:7" x14ac:dyDescent="0.25">
      <c r="A49" s="218" t="s">
        <v>488</v>
      </c>
      <c r="B49" s="218"/>
      <c r="C49" s="218"/>
      <c r="D49" s="218"/>
      <c r="E49" s="218"/>
    </row>
    <row r="50" spans="1:7" ht="22.5" customHeight="1" x14ac:dyDescent="0.25">
      <c r="A50" s="107">
        <f>A48+1</f>
        <v>5</v>
      </c>
      <c r="B50" s="14" t="s">
        <v>353</v>
      </c>
      <c r="C50" s="111" t="s">
        <v>86</v>
      </c>
      <c r="D50" s="201" t="s">
        <v>577</v>
      </c>
      <c r="E50" s="97"/>
      <c r="F50" s="93"/>
    </row>
    <row r="51" spans="1:7" ht="22.5" customHeight="1" x14ac:dyDescent="0.25">
      <c r="A51" s="107">
        <f>A50+1</f>
        <v>6</v>
      </c>
      <c r="B51" s="14" t="s">
        <v>87</v>
      </c>
      <c r="C51" s="111" t="s">
        <v>88</v>
      </c>
      <c r="D51" s="201" t="s">
        <v>573</v>
      </c>
      <c r="E51" s="97"/>
      <c r="F51" s="93"/>
    </row>
    <row r="52" spans="1:7" ht="22.5" customHeight="1" x14ac:dyDescent="0.25">
      <c r="A52" s="107">
        <f>A51+1</f>
        <v>7</v>
      </c>
      <c r="B52" s="14" t="s">
        <v>512</v>
      </c>
      <c r="C52" s="112" t="s">
        <v>382</v>
      </c>
      <c r="D52" s="201" t="s">
        <v>578</v>
      </c>
      <c r="E52" s="97"/>
      <c r="F52" s="93"/>
    </row>
    <row r="53" spans="1:7" x14ac:dyDescent="0.25">
      <c r="A53" s="218" t="s">
        <v>89</v>
      </c>
      <c r="B53" s="218"/>
      <c r="C53" s="218"/>
      <c r="D53" s="218"/>
      <c r="E53" s="218"/>
    </row>
    <row r="54" spans="1:7" ht="22.5" customHeight="1" x14ac:dyDescent="0.25">
      <c r="A54" s="107">
        <f>A52+1</f>
        <v>8</v>
      </c>
      <c r="B54" s="15" t="s">
        <v>90</v>
      </c>
      <c r="C54" s="109" t="s">
        <v>91</v>
      </c>
      <c r="D54" s="201" t="s">
        <v>577</v>
      </c>
      <c r="E54" s="97"/>
    </row>
    <row r="55" spans="1:7" ht="22.5" customHeight="1" x14ac:dyDescent="0.25">
      <c r="A55" s="107">
        <f>A54+1</f>
        <v>9</v>
      </c>
      <c r="B55" s="14" t="s">
        <v>93</v>
      </c>
      <c r="C55" s="109" t="s">
        <v>94</v>
      </c>
      <c r="D55" s="201" t="s">
        <v>577</v>
      </c>
      <c r="E55" s="97"/>
      <c r="F55" s="91"/>
    </row>
    <row r="56" spans="1:7" ht="22.5" customHeight="1" x14ac:dyDescent="0.25">
      <c r="A56" s="107">
        <f>A55+1</f>
        <v>10</v>
      </c>
      <c r="B56" s="14" t="s">
        <v>83</v>
      </c>
      <c r="C56" s="111" t="s">
        <v>84</v>
      </c>
      <c r="D56" s="201" t="s">
        <v>572</v>
      </c>
      <c r="E56" s="97"/>
      <c r="F56" s="93"/>
    </row>
    <row r="57" spans="1:7" x14ac:dyDescent="0.25">
      <c r="B57" s="15"/>
      <c r="C57" s="114"/>
      <c r="D57" s="203"/>
    </row>
    <row r="58" spans="1:7" ht="19.5" x14ac:dyDescent="0.25">
      <c r="A58" s="219" t="s">
        <v>95</v>
      </c>
      <c r="B58" s="220"/>
      <c r="C58" s="220"/>
      <c r="D58" s="220"/>
      <c r="E58" s="221"/>
    </row>
    <row r="59" spans="1:7" ht="23.25" customHeight="1" x14ac:dyDescent="0.25">
      <c r="A59" s="107">
        <v>1</v>
      </c>
      <c r="B59" s="14" t="s">
        <v>96</v>
      </c>
      <c r="C59" s="111" t="s">
        <v>97</v>
      </c>
      <c r="D59" s="201" t="s">
        <v>572</v>
      </c>
      <c r="E59" s="97"/>
      <c r="F59" s="93"/>
    </row>
    <row r="60" spans="1:7" ht="23.25" customHeight="1" x14ac:dyDescent="0.25">
      <c r="A60" s="107">
        <v>2</v>
      </c>
      <c r="B60" s="14" t="s">
        <v>581</v>
      </c>
      <c r="C60" s="111" t="s">
        <v>568</v>
      </c>
      <c r="D60" s="204" t="s">
        <v>573</v>
      </c>
      <c r="E60" s="97"/>
      <c r="F60" s="93"/>
    </row>
    <row r="61" spans="1:7" x14ac:dyDescent="0.25">
      <c r="A61" s="222" t="s">
        <v>100</v>
      </c>
      <c r="B61" s="222"/>
      <c r="C61" s="222"/>
      <c r="D61" s="222"/>
      <c r="E61" s="222"/>
    </row>
    <row r="62" spans="1:7" ht="23.25" customHeight="1" x14ac:dyDescent="0.25">
      <c r="A62" s="107">
        <v>3</v>
      </c>
      <c r="B62" s="14" t="s">
        <v>101</v>
      </c>
      <c r="C62" s="109" t="s">
        <v>102</v>
      </c>
      <c r="D62" s="201" t="s">
        <v>576</v>
      </c>
      <c r="E62" s="97"/>
      <c r="F62" s="93"/>
    </row>
    <row r="63" spans="1:7" x14ac:dyDescent="0.25">
      <c r="A63" s="223" t="s">
        <v>104</v>
      </c>
      <c r="B63" s="224"/>
      <c r="C63" s="224"/>
      <c r="D63" s="224"/>
      <c r="E63" s="225"/>
    </row>
    <row r="64" spans="1:7" ht="22.5" customHeight="1" x14ac:dyDescent="0.25">
      <c r="A64" s="107">
        <f>A62+1</f>
        <v>4</v>
      </c>
      <c r="B64" s="14" t="s">
        <v>105</v>
      </c>
      <c r="C64" s="109" t="s">
        <v>106</v>
      </c>
      <c r="D64" s="201" t="s">
        <v>574</v>
      </c>
      <c r="E64" s="97"/>
      <c r="G64" s="135"/>
    </row>
    <row r="65" spans="1:7" ht="22.5" customHeight="1" x14ac:dyDescent="0.25">
      <c r="A65" s="107">
        <f>A64+1</f>
        <v>5</v>
      </c>
      <c r="B65" s="14" t="s">
        <v>107</v>
      </c>
      <c r="C65" s="109" t="s">
        <v>108</v>
      </c>
      <c r="D65" s="201" t="s">
        <v>577</v>
      </c>
      <c r="E65" s="97"/>
    </row>
    <row r="66" spans="1:7" ht="22.5" customHeight="1" x14ac:dyDescent="0.25">
      <c r="A66" s="107">
        <f>A65+1</f>
        <v>6</v>
      </c>
      <c r="B66" s="14" t="s">
        <v>110</v>
      </c>
      <c r="C66" s="109" t="s">
        <v>111</v>
      </c>
      <c r="D66" s="201" t="s">
        <v>577</v>
      </c>
      <c r="E66" s="97"/>
    </row>
    <row r="67" spans="1:7" ht="22.5" customHeight="1" x14ac:dyDescent="0.25">
      <c r="A67" s="107">
        <f>A66+1</f>
        <v>7</v>
      </c>
      <c r="B67" s="14" t="s">
        <v>112</v>
      </c>
      <c r="C67" s="109" t="s">
        <v>113</v>
      </c>
      <c r="D67" s="201" t="s">
        <v>576</v>
      </c>
      <c r="E67" s="97"/>
    </row>
    <row r="68" spans="1:7" ht="22.5" customHeight="1" x14ac:dyDescent="0.25">
      <c r="A68" s="107">
        <f t="shared" ref="A68:A86" si="0">A67+1</f>
        <v>8</v>
      </c>
      <c r="B68" s="14" t="s">
        <v>114</v>
      </c>
      <c r="C68" s="109" t="s">
        <v>115</v>
      </c>
      <c r="D68" s="201" t="s">
        <v>576</v>
      </c>
      <c r="E68" s="97"/>
    </row>
    <row r="69" spans="1:7" ht="22.5" customHeight="1" x14ac:dyDescent="0.25">
      <c r="A69" s="107">
        <f t="shared" si="0"/>
        <v>9</v>
      </c>
      <c r="B69" s="14" t="s">
        <v>117</v>
      </c>
      <c r="C69" s="109" t="s">
        <v>118</v>
      </c>
      <c r="D69" s="201" t="s">
        <v>577</v>
      </c>
      <c r="E69" s="97"/>
    </row>
    <row r="70" spans="1:7" ht="22.5" customHeight="1" x14ac:dyDescent="0.25">
      <c r="A70" s="107">
        <f t="shared" si="0"/>
        <v>10</v>
      </c>
      <c r="B70" s="14" t="s">
        <v>120</v>
      </c>
      <c r="C70" s="109" t="s">
        <v>121</v>
      </c>
      <c r="D70" s="201" t="s">
        <v>577</v>
      </c>
      <c r="E70" s="97"/>
    </row>
    <row r="71" spans="1:7" s="13" customFormat="1" ht="22.5" customHeight="1" x14ac:dyDescent="0.25">
      <c r="A71" s="107">
        <f t="shared" si="0"/>
        <v>11</v>
      </c>
      <c r="B71" s="14" t="s">
        <v>122</v>
      </c>
      <c r="C71" s="109" t="s">
        <v>123</v>
      </c>
      <c r="D71" s="201" t="s">
        <v>576</v>
      </c>
      <c r="E71" s="97"/>
      <c r="F71" s="92"/>
      <c r="G71" s="133"/>
    </row>
    <row r="72" spans="1:7" s="13" customFormat="1" ht="22.5" customHeight="1" x14ac:dyDescent="0.25">
      <c r="A72" s="107">
        <f t="shared" si="0"/>
        <v>12</v>
      </c>
      <c r="B72" s="14" t="s">
        <v>124</v>
      </c>
      <c r="C72" s="109" t="s">
        <v>125</v>
      </c>
      <c r="D72" s="201" t="s">
        <v>578</v>
      </c>
      <c r="E72" s="97"/>
      <c r="F72" s="92"/>
      <c r="G72" s="133"/>
    </row>
    <row r="73" spans="1:7" s="13" customFormat="1" ht="22.5" customHeight="1" x14ac:dyDescent="0.25">
      <c r="A73" s="107">
        <f t="shared" si="0"/>
        <v>13</v>
      </c>
      <c r="B73" s="14" t="s">
        <v>126</v>
      </c>
      <c r="C73" s="109" t="s">
        <v>127</v>
      </c>
      <c r="D73" s="201" t="s">
        <v>577</v>
      </c>
      <c r="E73" s="97"/>
      <c r="F73" s="92"/>
      <c r="G73" s="133"/>
    </row>
    <row r="74" spans="1:7" s="13" customFormat="1" ht="22.5" customHeight="1" x14ac:dyDescent="0.25">
      <c r="A74" s="107">
        <f t="shared" si="0"/>
        <v>14</v>
      </c>
      <c r="B74" s="14" t="s">
        <v>129</v>
      </c>
      <c r="C74" s="109" t="s">
        <v>130</v>
      </c>
      <c r="D74" s="201" t="s">
        <v>576</v>
      </c>
      <c r="E74" s="97"/>
      <c r="F74" s="92"/>
      <c r="G74" s="133"/>
    </row>
    <row r="75" spans="1:7" s="13" customFormat="1" ht="22.5" customHeight="1" x14ac:dyDescent="0.25">
      <c r="A75" s="107">
        <f t="shared" si="0"/>
        <v>15</v>
      </c>
      <c r="B75" s="14" t="s">
        <v>131</v>
      </c>
      <c r="C75" s="109" t="s">
        <v>132</v>
      </c>
      <c r="D75" s="201" t="s">
        <v>576</v>
      </c>
      <c r="E75" s="97"/>
      <c r="F75" s="92"/>
      <c r="G75" s="133"/>
    </row>
    <row r="76" spans="1:7" s="13" customFormat="1" ht="22.5" customHeight="1" x14ac:dyDescent="0.25">
      <c r="A76" s="107">
        <f t="shared" si="0"/>
        <v>16</v>
      </c>
      <c r="B76" s="14" t="s">
        <v>134</v>
      </c>
      <c r="C76" s="109" t="s">
        <v>135</v>
      </c>
      <c r="D76" s="201" t="s">
        <v>577</v>
      </c>
      <c r="E76" s="97"/>
      <c r="F76" s="92"/>
      <c r="G76" s="133"/>
    </row>
    <row r="77" spans="1:7" s="13" customFormat="1" ht="22.5" customHeight="1" x14ac:dyDescent="0.25">
      <c r="A77" s="107">
        <f t="shared" si="0"/>
        <v>17</v>
      </c>
      <c r="B77" s="14" t="s">
        <v>513</v>
      </c>
      <c r="C77" s="109" t="s">
        <v>468</v>
      </c>
      <c r="D77" s="201" t="s">
        <v>577</v>
      </c>
      <c r="E77" s="97"/>
      <c r="F77" s="92"/>
      <c r="G77" s="133"/>
    </row>
    <row r="78" spans="1:7" s="13" customFormat="1" ht="22.5" customHeight="1" x14ac:dyDescent="0.25">
      <c r="A78" s="107">
        <f t="shared" si="0"/>
        <v>18</v>
      </c>
      <c r="B78" s="14" t="s">
        <v>136</v>
      </c>
      <c r="C78" s="109" t="s">
        <v>137</v>
      </c>
      <c r="D78" s="201" t="s">
        <v>576</v>
      </c>
      <c r="E78" s="97"/>
      <c r="F78" s="92"/>
      <c r="G78" s="133"/>
    </row>
    <row r="79" spans="1:7" s="13" customFormat="1" ht="22.5" customHeight="1" x14ac:dyDescent="0.25">
      <c r="A79" s="107">
        <f t="shared" si="0"/>
        <v>19</v>
      </c>
      <c r="B79" s="14" t="s">
        <v>138</v>
      </c>
      <c r="C79" s="109" t="s">
        <v>139</v>
      </c>
      <c r="D79" s="201" t="s">
        <v>572</v>
      </c>
      <c r="E79" s="97"/>
      <c r="F79" s="92"/>
      <c r="G79" s="133"/>
    </row>
    <row r="80" spans="1:7" s="13" customFormat="1" ht="22.5" customHeight="1" x14ac:dyDescent="0.25">
      <c r="A80" s="107">
        <f t="shared" si="0"/>
        <v>20</v>
      </c>
      <c r="B80" s="14" t="s">
        <v>142</v>
      </c>
      <c r="C80" s="111" t="s">
        <v>143</v>
      </c>
      <c r="D80" s="201" t="s">
        <v>576</v>
      </c>
      <c r="E80" s="97"/>
      <c r="F80" s="92"/>
      <c r="G80" s="133"/>
    </row>
    <row r="81" spans="1:7" s="13" customFormat="1" ht="22.5" customHeight="1" x14ac:dyDescent="0.25">
      <c r="A81" s="107">
        <f t="shared" si="0"/>
        <v>21</v>
      </c>
      <c r="B81" s="14" t="s">
        <v>145</v>
      </c>
      <c r="C81" s="109" t="s">
        <v>146</v>
      </c>
      <c r="D81" s="201" t="s">
        <v>572</v>
      </c>
      <c r="E81" s="97"/>
      <c r="F81" s="92"/>
      <c r="G81" s="133"/>
    </row>
    <row r="82" spans="1:7" s="13" customFormat="1" ht="22.5" customHeight="1" x14ac:dyDescent="0.25">
      <c r="A82" s="107">
        <f t="shared" si="0"/>
        <v>22</v>
      </c>
      <c r="B82" s="14" t="s">
        <v>147</v>
      </c>
      <c r="C82" s="111" t="s">
        <v>148</v>
      </c>
      <c r="D82" s="201" t="s">
        <v>577</v>
      </c>
      <c r="E82" s="97"/>
      <c r="F82" s="92"/>
      <c r="G82" s="133"/>
    </row>
    <row r="83" spans="1:7" s="13" customFormat="1" ht="22.5" customHeight="1" x14ac:dyDescent="0.25">
      <c r="A83" s="107">
        <f t="shared" si="0"/>
        <v>23</v>
      </c>
      <c r="B83" s="14" t="s">
        <v>149</v>
      </c>
      <c r="C83" s="111" t="s">
        <v>150</v>
      </c>
      <c r="D83" s="201" t="s">
        <v>577</v>
      </c>
      <c r="E83" s="97"/>
      <c r="F83" s="92"/>
      <c r="G83" s="133"/>
    </row>
    <row r="84" spans="1:7" s="13" customFormat="1" ht="22.5" customHeight="1" x14ac:dyDescent="0.25">
      <c r="A84" s="107">
        <f t="shared" si="0"/>
        <v>24</v>
      </c>
      <c r="B84" s="14" t="s">
        <v>151</v>
      </c>
      <c r="C84" s="111" t="s">
        <v>152</v>
      </c>
      <c r="D84" s="201" t="s">
        <v>576</v>
      </c>
      <c r="E84" s="97"/>
      <c r="F84" s="92"/>
      <c r="G84" s="133"/>
    </row>
    <row r="85" spans="1:7" s="13" customFormat="1" ht="22.5" customHeight="1" x14ac:dyDescent="0.25">
      <c r="A85" s="107">
        <f t="shared" si="0"/>
        <v>25</v>
      </c>
      <c r="B85" s="14" t="s">
        <v>154</v>
      </c>
      <c r="C85" s="111" t="s">
        <v>155</v>
      </c>
      <c r="D85" s="201" t="s">
        <v>572</v>
      </c>
      <c r="E85" s="97"/>
      <c r="F85" s="92"/>
      <c r="G85" s="133"/>
    </row>
    <row r="86" spans="1:7" ht="22.5" customHeight="1" x14ac:dyDescent="0.25">
      <c r="A86" s="107">
        <f t="shared" si="0"/>
        <v>26</v>
      </c>
      <c r="B86" s="14" t="s">
        <v>157</v>
      </c>
      <c r="C86" s="109" t="s">
        <v>158</v>
      </c>
      <c r="D86" s="201" t="s">
        <v>576</v>
      </c>
      <c r="E86" s="97"/>
      <c r="F86" s="93"/>
    </row>
    <row r="87" spans="1:7" x14ac:dyDescent="0.25">
      <c r="A87" s="223" t="s">
        <v>160</v>
      </c>
      <c r="B87" s="224"/>
      <c r="C87" s="224"/>
      <c r="D87" s="224"/>
      <c r="E87" s="225"/>
    </row>
    <row r="88" spans="1:7" s="13" customFormat="1" ht="21.75" customHeight="1" x14ac:dyDescent="0.25">
      <c r="A88" s="107">
        <f>A86+1</f>
        <v>27</v>
      </c>
      <c r="B88" s="14" t="s">
        <v>161</v>
      </c>
      <c r="C88" s="117" t="s">
        <v>162</v>
      </c>
      <c r="D88" s="201" t="s">
        <v>577</v>
      </c>
      <c r="E88" s="97"/>
      <c r="F88" s="92"/>
      <c r="G88" s="133"/>
    </row>
    <row r="89" spans="1:7" ht="21.75" customHeight="1" x14ac:dyDescent="0.25">
      <c r="A89" s="107">
        <f>A88+1</f>
        <v>28</v>
      </c>
      <c r="B89" s="14" t="s">
        <v>164</v>
      </c>
      <c r="C89" s="109" t="s">
        <v>165</v>
      </c>
      <c r="D89" s="201" t="s">
        <v>575</v>
      </c>
      <c r="E89" s="97"/>
    </row>
    <row r="90" spans="1:7" ht="21.75" customHeight="1" x14ac:dyDescent="0.25">
      <c r="A90" s="107">
        <f>A89+1</f>
        <v>29</v>
      </c>
      <c r="B90" s="14" t="s">
        <v>167</v>
      </c>
      <c r="C90" s="111" t="s">
        <v>168</v>
      </c>
      <c r="D90" s="201" t="s">
        <v>573</v>
      </c>
      <c r="E90" s="97"/>
      <c r="F90" s="93"/>
    </row>
    <row r="91" spans="1:7" s="13" customFormat="1" ht="21.75" customHeight="1" x14ac:dyDescent="0.25">
      <c r="A91" s="107">
        <f>A90+1</f>
        <v>30</v>
      </c>
      <c r="B91" s="14" t="s">
        <v>170</v>
      </c>
      <c r="C91" s="111" t="s">
        <v>171</v>
      </c>
      <c r="D91" s="201" t="s">
        <v>573</v>
      </c>
      <c r="E91" s="97"/>
      <c r="F91" s="92"/>
      <c r="G91" s="133"/>
    </row>
    <row r="92" spans="1:7" s="13" customFormat="1" ht="21.75" customHeight="1" x14ac:dyDescent="0.25">
      <c r="A92" s="107">
        <f>A91+1</f>
        <v>31</v>
      </c>
      <c r="B92" s="14" t="s">
        <v>172</v>
      </c>
      <c r="C92" s="111" t="s">
        <v>173</v>
      </c>
      <c r="D92" s="201" t="s">
        <v>578</v>
      </c>
      <c r="E92" s="97"/>
      <c r="F92" s="92"/>
      <c r="G92" s="133"/>
    </row>
    <row r="93" spans="1:7" x14ac:dyDescent="0.25">
      <c r="A93" s="222" t="s">
        <v>174</v>
      </c>
      <c r="B93" s="222"/>
      <c r="C93" s="222"/>
      <c r="D93" s="222"/>
      <c r="E93" s="222"/>
    </row>
    <row r="94" spans="1:7" s="13" customFormat="1" ht="22.5" customHeight="1" x14ac:dyDescent="0.25">
      <c r="A94" s="107">
        <f>A92+1</f>
        <v>32</v>
      </c>
      <c r="B94" s="14" t="s">
        <v>175</v>
      </c>
      <c r="C94" s="117" t="s">
        <v>176</v>
      </c>
      <c r="D94" s="201" t="s">
        <v>577</v>
      </c>
      <c r="E94" s="97"/>
      <c r="F94" s="92"/>
      <c r="G94" s="133"/>
    </row>
    <row r="95" spans="1:7" s="13" customFormat="1" ht="22.5" customHeight="1" x14ac:dyDescent="0.25">
      <c r="A95" s="107">
        <f>A94+1</f>
        <v>33</v>
      </c>
      <c r="B95" s="14" t="s">
        <v>177</v>
      </c>
      <c r="C95" s="117" t="s">
        <v>178</v>
      </c>
      <c r="D95" s="201" t="s">
        <v>577</v>
      </c>
      <c r="E95" s="97"/>
      <c r="F95" s="92"/>
      <c r="G95" s="133"/>
    </row>
    <row r="96" spans="1:7" s="13" customFormat="1" ht="22.5" customHeight="1" x14ac:dyDescent="0.25">
      <c r="A96" s="107">
        <f t="shared" ref="A96:A105" si="1">A95+1</f>
        <v>34</v>
      </c>
      <c r="B96" s="14" t="s">
        <v>180</v>
      </c>
      <c r="C96" s="117" t="s">
        <v>181</v>
      </c>
      <c r="D96" s="201" t="s">
        <v>577</v>
      </c>
      <c r="E96" s="97"/>
      <c r="F96" s="92"/>
      <c r="G96" s="133"/>
    </row>
    <row r="97" spans="1:7" s="13" customFormat="1" ht="22.5" customHeight="1" x14ac:dyDescent="0.25">
      <c r="A97" s="107">
        <f t="shared" si="1"/>
        <v>35</v>
      </c>
      <c r="B97" s="14" t="s">
        <v>182</v>
      </c>
      <c r="C97" s="117" t="s">
        <v>183</v>
      </c>
      <c r="D97" s="201" t="s">
        <v>578</v>
      </c>
      <c r="E97" s="97"/>
      <c r="F97" s="92"/>
      <c r="G97" s="133"/>
    </row>
    <row r="98" spans="1:7" s="13" customFormat="1" ht="22.5" customHeight="1" x14ac:dyDescent="0.25">
      <c r="A98" s="107">
        <f t="shared" si="1"/>
        <v>36</v>
      </c>
      <c r="B98" s="14" t="s">
        <v>184</v>
      </c>
      <c r="C98" s="117" t="s">
        <v>185</v>
      </c>
      <c r="D98" s="201" t="s">
        <v>573</v>
      </c>
      <c r="E98" s="97"/>
      <c r="F98" s="92"/>
      <c r="G98" s="133"/>
    </row>
    <row r="99" spans="1:7" s="13" customFormat="1" ht="22.5" customHeight="1" x14ac:dyDescent="0.25">
      <c r="A99" s="107">
        <f t="shared" si="1"/>
        <v>37</v>
      </c>
      <c r="B99" s="14" t="s">
        <v>186</v>
      </c>
      <c r="C99" s="117" t="s">
        <v>187</v>
      </c>
      <c r="D99" s="201" t="s">
        <v>577</v>
      </c>
      <c r="E99" s="97"/>
      <c r="F99" s="92"/>
      <c r="G99" s="133"/>
    </row>
    <row r="100" spans="1:7" s="13" customFormat="1" ht="22.5" customHeight="1" x14ac:dyDescent="0.25">
      <c r="A100" s="107">
        <f>A99+1</f>
        <v>38</v>
      </c>
      <c r="B100" s="14" t="s">
        <v>191</v>
      </c>
      <c r="C100" s="111" t="s">
        <v>192</v>
      </c>
      <c r="D100" s="201" t="s">
        <v>576</v>
      </c>
      <c r="E100" s="97"/>
      <c r="F100" s="92"/>
      <c r="G100" s="133"/>
    </row>
    <row r="101" spans="1:7" s="13" customFormat="1" ht="22.5" customHeight="1" x14ac:dyDescent="0.25">
      <c r="A101" s="107">
        <f>A100+1</f>
        <v>39</v>
      </c>
      <c r="B101" s="14" t="s">
        <v>199</v>
      </c>
      <c r="C101" s="111" t="s">
        <v>200</v>
      </c>
      <c r="D101" s="201" t="s">
        <v>578</v>
      </c>
      <c r="E101" s="97"/>
      <c r="F101" s="92"/>
      <c r="G101" s="133"/>
    </row>
    <row r="102" spans="1:7" s="13" customFormat="1" ht="22.5" customHeight="1" x14ac:dyDescent="0.25">
      <c r="A102" s="107">
        <f>A101+1</f>
        <v>40</v>
      </c>
      <c r="B102" s="14" t="s">
        <v>354</v>
      </c>
      <c r="C102" s="117" t="s">
        <v>189</v>
      </c>
      <c r="D102" s="201" t="s">
        <v>572</v>
      </c>
      <c r="E102" s="97"/>
      <c r="F102" s="92"/>
      <c r="G102" s="133"/>
    </row>
    <row r="103" spans="1:7" s="13" customFormat="1" ht="22.5" customHeight="1" x14ac:dyDescent="0.25">
      <c r="A103" s="107">
        <f>A102+1</f>
        <v>41</v>
      </c>
      <c r="B103" s="14" t="s">
        <v>355</v>
      </c>
      <c r="C103" s="111" t="s">
        <v>195</v>
      </c>
      <c r="D103" s="201" t="s">
        <v>572</v>
      </c>
      <c r="E103" s="97"/>
      <c r="F103" s="92"/>
      <c r="G103" s="133"/>
    </row>
    <row r="104" spans="1:7" s="13" customFormat="1" ht="22.5" customHeight="1" x14ac:dyDescent="0.25">
      <c r="A104" s="107">
        <f t="shared" si="1"/>
        <v>42</v>
      </c>
      <c r="B104" s="14" t="s">
        <v>356</v>
      </c>
      <c r="C104" s="111" t="s">
        <v>196</v>
      </c>
      <c r="D104" s="201" t="s">
        <v>577</v>
      </c>
      <c r="E104" s="97"/>
      <c r="F104" s="92"/>
      <c r="G104" s="133"/>
    </row>
    <row r="105" spans="1:7" s="13" customFormat="1" ht="22.5" customHeight="1" x14ac:dyDescent="0.25">
      <c r="A105" s="107">
        <f t="shared" si="1"/>
        <v>43</v>
      </c>
      <c r="B105" s="14" t="s">
        <v>197</v>
      </c>
      <c r="C105" s="111" t="s">
        <v>198</v>
      </c>
      <c r="D105" s="201" t="s">
        <v>572</v>
      </c>
      <c r="E105" s="97"/>
      <c r="F105" s="92"/>
      <c r="G105" s="133"/>
    </row>
    <row r="106" spans="1:7" s="13" customFormat="1" ht="22.5" customHeight="1" x14ac:dyDescent="0.25">
      <c r="A106" s="107">
        <f>A105+1</f>
        <v>44</v>
      </c>
      <c r="B106" s="14" t="s">
        <v>201</v>
      </c>
      <c r="C106" s="111" t="s">
        <v>202</v>
      </c>
      <c r="D106" s="201" t="s">
        <v>576</v>
      </c>
      <c r="E106" s="97"/>
      <c r="F106" s="92"/>
      <c r="G106" s="133"/>
    </row>
    <row r="107" spans="1:7" s="13" customFormat="1" ht="22.5" customHeight="1" x14ac:dyDescent="0.25">
      <c r="A107" s="107">
        <f>A106+1</f>
        <v>45</v>
      </c>
      <c r="B107" s="14" t="s">
        <v>517</v>
      </c>
      <c r="C107" s="111" t="s">
        <v>384</v>
      </c>
      <c r="D107" s="201" t="s">
        <v>574</v>
      </c>
      <c r="E107" s="97"/>
      <c r="F107" s="92"/>
      <c r="G107" s="136"/>
    </row>
    <row r="108" spans="1:7" s="13" customFormat="1" ht="22.5" customHeight="1" x14ac:dyDescent="0.25">
      <c r="A108" s="107">
        <f>A107+1</f>
        <v>46</v>
      </c>
      <c r="B108" s="14" t="s">
        <v>204</v>
      </c>
      <c r="C108" s="111" t="s">
        <v>205</v>
      </c>
      <c r="D108" s="201" t="s">
        <v>574</v>
      </c>
      <c r="E108" s="97"/>
      <c r="F108" s="93"/>
      <c r="G108" s="133"/>
    </row>
    <row r="110" spans="1:7" ht="19.5" x14ac:dyDescent="0.25">
      <c r="A110" s="226" t="s">
        <v>206</v>
      </c>
      <c r="B110" s="227"/>
      <c r="C110" s="227"/>
      <c r="D110" s="227"/>
      <c r="E110" s="228"/>
    </row>
    <row r="111" spans="1:7" ht="23.25" customHeight="1" x14ac:dyDescent="0.25">
      <c r="A111" s="107"/>
      <c r="B111" s="14" t="s">
        <v>210</v>
      </c>
      <c r="C111" s="109" t="s">
        <v>211</v>
      </c>
      <c r="D111" s="201" t="s">
        <v>572</v>
      </c>
      <c r="E111" s="97"/>
    </row>
    <row r="112" spans="1:7" x14ac:dyDescent="0.25">
      <c r="A112" s="229" t="s">
        <v>207</v>
      </c>
      <c r="B112" s="229"/>
      <c r="C112" s="229"/>
      <c r="D112" s="229"/>
      <c r="E112" s="229"/>
    </row>
    <row r="113" spans="1:6" ht="22.5" customHeight="1" x14ac:dyDescent="0.25">
      <c r="A113" s="107">
        <v>1</v>
      </c>
      <c r="B113" s="14" t="s">
        <v>208</v>
      </c>
      <c r="C113" s="109" t="s">
        <v>542</v>
      </c>
      <c r="D113" s="201" t="s">
        <v>576</v>
      </c>
      <c r="E113" s="97"/>
    </row>
    <row r="114" spans="1:6" ht="22.5" customHeight="1" x14ac:dyDescent="0.25">
      <c r="A114" s="107">
        <f>A113+1</f>
        <v>2</v>
      </c>
      <c r="B114" s="14" t="s">
        <v>213</v>
      </c>
      <c r="C114" s="109" t="s">
        <v>214</v>
      </c>
      <c r="D114" s="201" t="s">
        <v>577</v>
      </c>
      <c r="E114" s="97"/>
    </row>
    <row r="115" spans="1:6" ht="22.5" customHeight="1" x14ac:dyDescent="0.25">
      <c r="A115" s="107">
        <f>A114+1</f>
        <v>3</v>
      </c>
      <c r="B115" s="14" t="s">
        <v>216</v>
      </c>
      <c r="C115" s="111" t="s">
        <v>217</v>
      </c>
      <c r="D115" s="201" t="s">
        <v>578</v>
      </c>
      <c r="E115" s="97"/>
    </row>
    <row r="116" spans="1:6" ht="22.5" customHeight="1" x14ac:dyDescent="0.25">
      <c r="A116" s="107">
        <f t="shared" ref="A116:A128" si="2">A115+1</f>
        <v>4</v>
      </c>
      <c r="B116" s="14" t="s">
        <v>218</v>
      </c>
      <c r="C116" s="111" t="s">
        <v>219</v>
      </c>
      <c r="D116" s="201" t="s">
        <v>575</v>
      </c>
      <c r="E116" s="97"/>
    </row>
    <row r="117" spans="1:6" ht="22.5" customHeight="1" x14ac:dyDescent="0.25">
      <c r="A117" s="107">
        <f t="shared" si="2"/>
        <v>5</v>
      </c>
      <c r="B117" s="14" t="s">
        <v>220</v>
      </c>
      <c r="C117" s="118" t="s">
        <v>221</v>
      </c>
      <c r="D117" s="201" t="s">
        <v>576</v>
      </c>
      <c r="E117" s="97"/>
    </row>
    <row r="118" spans="1:6" ht="22.5" customHeight="1" x14ac:dyDescent="0.25">
      <c r="A118" s="107">
        <f t="shared" si="2"/>
        <v>6</v>
      </c>
      <c r="B118" s="14" t="s">
        <v>358</v>
      </c>
      <c r="C118" s="118" t="s">
        <v>222</v>
      </c>
      <c r="D118" s="201" t="s">
        <v>579</v>
      </c>
      <c r="E118" s="97"/>
    </row>
    <row r="119" spans="1:6" ht="22.5" customHeight="1" x14ac:dyDescent="0.25">
      <c r="A119" s="107">
        <f>A118+1</f>
        <v>7</v>
      </c>
      <c r="B119" s="14" t="s">
        <v>224</v>
      </c>
      <c r="C119" s="111" t="s">
        <v>225</v>
      </c>
      <c r="D119" s="201" t="s">
        <v>579</v>
      </c>
      <c r="E119" s="97"/>
    </row>
    <row r="120" spans="1:6" ht="22.5" customHeight="1" x14ac:dyDescent="0.25">
      <c r="A120" s="107">
        <f>A119+1</f>
        <v>8</v>
      </c>
      <c r="B120" s="14" t="s">
        <v>514</v>
      </c>
      <c r="C120" s="111" t="s">
        <v>467</v>
      </c>
      <c r="D120" s="201" t="s">
        <v>577</v>
      </c>
      <c r="E120" s="97"/>
    </row>
    <row r="121" spans="1:6" ht="22.5" customHeight="1" x14ac:dyDescent="0.25">
      <c r="A121" s="107">
        <f>A120+1</f>
        <v>9</v>
      </c>
      <c r="B121" s="14" t="s">
        <v>226</v>
      </c>
      <c r="C121" s="111" t="s">
        <v>227</v>
      </c>
      <c r="D121" s="201" t="s">
        <v>577</v>
      </c>
      <c r="E121" s="97"/>
    </row>
    <row r="122" spans="1:6" ht="22.5" customHeight="1" x14ac:dyDescent="0.25">
      <c r="A122" s="107">
        <f t="shared" si="2"/>
        <v>10</v>
      </c>
      <c r="B122" s="14" t="s">
        <v>228</v>
      </c>
      <c r="C122" s="111" t="s">
        <v>229</v>
      </c>
      <c r="D122" s="201" t="s">
        <v>576</v>
      </c>
      <c r="E122" s="97"/>
    </row>
    <row r="123" spans="1:6" ht="22.5" customHeight="1" x14ac:dyDescent="0.25">
      <c r="A123" s="107">
        <f t="shared" si="2"/>
        <v>11</v>
      </c>
      <c r="B123" s="14" t="s">
        <v>525</v>
      </c>
      <c r="C123" s="111" t="s">
        <v>524</v>
      </c>
      <c r="D123" s="204" t="s">
        <v>572</v>
      </c>
      <c r="E123" s="97"/>
    </row>
    <row r="124" spans="1:6" ht="22.5" customHeight="1" x14ac:dyDescent="0.25">
      <c r="A124" s="107">
        <f t="shared" si="2"/>
        <v>12</v>
      </c>
      <c r="B124" s="14" t="s">
        <v>230</v>
      </c>
      <c r="C124" s="111" t="s">
        <v>231</v>
      </c>
      <c r="D124" s="201" t="s">
        <v>578</v>
      </c>
      <c r="E124" s="97"/>
    </row>
    <row r="125" spans="1:6" ht="22.5" customHeight="1" x14ac:dyDescent="0.25">
      <c r="A125" s="107">
        <f t="shared" si="2"/>
        <v>13</v>
      </c>
      <c r="B125" s="14" t="s">
        <v>527</v>
      </c>
      <c r="C125" s="111" t="s">
        <v>526</v>
      </c>
      <c r="D125" s="204" t="s">
        <v>577</v>
      </c>
      <c r="E125" s="97"/>
    </row>
    <row r="126" spans="1:6" ht="22.5" customHeight="1" x14ac:dyDescent="0.25">
      <c r="A126" s="107">
        <f t="shared" si="2"/>
        <v>14</v>
      </c>
      <c r="B126" s="14" t="s">
        <v>232</v>
      </c>
      <c r="C126" s="111" t="s">
        <v>233</v>
      </c>
      <c r="D126" s="201" t="s">
        <v>577</v>
      </c>
      <c r="E126" s="97"/>
    </row>
    <row r="127" spans="1:6" ht="22.5" customHeight="1" x14ac:dyDescent="0.25">
      <c r="A127" s="107">
        <f t="shared" si="2"/>
        <v>15</v>
      </c>
      <c r="B127" s="14" t="s">
        <v>519</v>
      </c>
      <c r="C127" s="111" t="s">
        <v>567</v>
      </c>
      <c r="D127" s="204" t="s">
        <v>577</v>
      </c>
      <c r="E127" s="97"/>
      <c r="F127" s="93"/>
    </row>
    <row r="128" spans="1:6" ht="22.5" customHeight="1" x14ac:dyDescent="0.25">
      <c r="A128" s="107">
        <f t="shared" si="2"/>
        <v>16</v>
      </c>
      <c r="B128" s="14" t="s">
        <v>234</v>
      </c>
      <c r="C128" s="111" t="s">
        <v>235</v>
      </c>
      <c r="D128" s="201" t="s">
        <v>577</v>
      </c>
      <c r="E128" s="97"/>
      <c r="F128" s="93"/>
    </row>
    <row r="129" spans="1:7" s="13" customFormat="1" x14ac:dyDescent="0.25">
      <c r="A129" s="229" t="s">
        <v>236</v>
      </c>
      <c r="B129" s="229"/>
      <c r="C129" s="229"/>
      <c r="D129" s="229"/>
      <c r="E129" s="229"/>
      <c r="F129" s="92"/>
      <c r="G129" s="133"/>
    </row>
    <row r="130" spans="1:7" ht="22.5" customHeight="1" x14ac:dyDescent="0.25">
      <c r="A130" s="107">
        <f>A128+1</f>
        <v>17</v>
      </c>
      <c r="B130" s="14" t="s">
        <v>237</v>
      </c>
      <c r="C130" s="109" t="s">
        <v>238</v>
      </c>
      <c r="D130" s="201" t="s">
        <v>576</v>
      </c>
      <c r="E130" s="97"/>
    </row>
    <row r="131" spans="1:7" s="13" customFormat="1" ht="22.5" customHeight="1" x14ac:dyDescent="0.25">
      <c r="A131" s="107">
        <f>A130+1</f>
        <v>18</v>
      </c>
      <c r="B131" s="14" t="s">
        <v>240</v>
      </c>
      <c r="C131" s="118" t="s">
        <v>241</v>
      </c>
      <c r="D131" s="201" t="s">
        <v>576</v>
      </c>
      <c r="E131" s="97"/>
      <c r="F131" s="92"/>
      <c r="G131" s="133"/>
    </row>
    <row r="132" spans="1:7" s="13" customFormat="1" ht="22.5" customHeight="1" x14ac:dyDescent="0.25">
      <c r="A132" s="107">
        <f>A131+1</f>
        <v>19</v>
      </c>
      <c r="B132" s="14" t="s">
        <v>257</v>
      </c>
      <c r="C132" s="118" t="s">
        <v>258</v>
      </c>
      <c r="D132" s="201" t="s">
        <v>576</v>
      </c>
      <c r="E132" s="97"/>
      <c r="F132" s="92"/>
      <c r="G132" s="133"/>
    </row>
    <row r="133" spans="1:7" s="13" customFormat="1" ht="22.5" customHeight="1" x14ac:dyDescent="0.25">
      <c r="A133" s="107">
        <f>A132+1</f>
        <v>20</v>
      </c>
      <c r="B133" s="14" t="s">
        <v>242</v>
      </c>
      <c r="C133" s="109" t="s">
        <v>243</v>
      </c>
      <c r="D133" s="201" t="s">
        <v>576</v>
      </c>
      <c r="E133" s="97"/>
      <c r="F133" s="92"/>
      <c r="G133" s="133"/>
    </row>
    <row r="134" spans="1:7" s="13" customFormat="1" ht="22.5" customHeight="1" x14ac:dyDescent="0.25">
      <c r="A134" s="107">
        <f t="shared" ref="A134:A138" si="3">A133+1</f>
        <v>21</v>
      </c>
      <c r="B134" s="14" t="s">
        <v>245</v>
      </c>
      <c r="C134" s="118" t="s">
        <v>246</v>
      </c>
      <c r="D134" s="201" t="s">
        <v>577</v>
      </c>
      <c r="E134" s="97"/>
      <c r="F134" s="92"/>
      <c r="G134" s="133"/>
    </row>
    <row r="135" spans="1:7" s="13" customFormat="1" ht="22.5" customHeight="1" x14ac:dyDescent="0.25">
      <c r="A135" s="107">
        <f>A134+1</f>
        <v>22</v>
      </c>
      <c r="B135" s="14" t="s">
        <v>248</v>
      </c>
      <c r="C135" s="118" t="s">
        <v>249</v>
      </c>
      <c r="D135" s="201" t="s">
        <v>577</v>
      </c>
      <c r="E135" s="97"/>
      <c r="F135" s="92"/>
      <c r="G135" s="133"/>
    </row>
    <row r="136" spans="1:7" s="13" customFormat="1" ht="22.5" customHeight="1" x14ac:dyDescent="0.25">
      <c r="A136" s="107">
        <f t="shared" si="3"/>
        <v>23</v>
      </c>
      <c r="B136" s="14" t="s">
        <v>251</v>
      </c>
      <c r="C136" s="118" t="s">
        <v>252</v>
      </c>
      <c r="D136" s="201" t="s">
        <v>576</v>
      </c>
      <c r="E136" s="97"/>
      <c r="F136" s="92"/>
      <c r="G136" s="133"/>
    </row>
    <row r="137" spans="1:7" s="13" customFormat="1" ht="22.5" customHeight="1" x14ac:dyDescent="0.25">
      <c r="A137" s="107">
        <f t="shared" si="3"/>
        <v>24</v>
      </c>
      <c r="B137" s="14" t="s">
        <v>253</v>
      </c>
      <c r="C137" s="118" t="s">
        <v>254</v>
      </c>
      <c r="D137" s="201" t="s">
        <v>576</v>
      </c>
      <c r="E137" s="97"/>
      <c r="F137" s="92"/>
      <c r="G137" s="133"/>
    </row>
    <row r="138" spans="1:7" s="13" customFormat="1" ht="22.5" customHeight="1" x14ac:dyDescent="0.25">
      <c r="A138" s="107">
        <f t="shared" si="3"/>
        <v>25</v>
      </c>
      <c r="B138" s="14" t="s">
        <v>255</v>
      </c>
      <c r="C138" s="118" t="s">
        <v>256</v>
      </c>
      <c r="D138" s="201" t="s">
        <v>576</v>
      </c>
      <c r="E138" s="97"/>
      <c r="F138" s="92"/>
      <c r="G138" s="133"/>
    </row>
    <row r="139" spans="1:7" s="13" customFormat="1" ht="22.5" customHeight="1" x14ac:dyDescent="0.25">
      <c r="A139" s="107">
        <f>A138+1</f>
        <v>26</v>
      </c>
      <c r="B139" s="14" t="s">
        <v>357</v>
      </c>
      <c r="C139" s="118" t="s">
        <v>259</v>
      </c>
      <c r="D139" s="201" t="s">
        <v>577</v>
      </c>
      <c r="E139" s="97"/>
      <c r="F139" s="92"/>
      <c r="G139" s="133"/>
    </row>
    <row r="140" spans="1:7" s="13" customFormat="1" ht="22.5" customHeight="1" x14ac:dyDescent="0.25">
      <c r="A140" s="107">
        <f>A139+1</f>
        <v>27</v>
      </c>
      <c r="B140" s="14" t="s">
        <v>515</v>
      </c>
      <c r="C140" s="118" t="s">
        <v>470</v>
      </c>
      <c r="D140" s="201" t="s">
        <v>575</v>
      </c>
      <c r="E140" s="97"/>
      <c r="F140" s="92"/>
      <c r="G140" s="133"/>
    </row>
    <row r="141" spans="1:7" s="13" customFormat="1" ht="22.5" customHeight="1" x14ac:dyDescent="0.25">
      <c r="A141" s="107">
        <f>A140+1</f>
        <v>28</v>
      </c>
      <c r="B141" s="14" t="s">
        <v>260</v>
      </c>
      <c r="C141" s="118" t="s">
        <v>261</v>
      </c>
      <c r="D141" s="201" t="s">
        <v>573</v>
      </c>
      <c r="E141" s="97"/>
      <c r="F141" s="92"/>
      <c r="G141" s="133"/>
    </row>
    <row r="142" spans="1:7" s="13" customFormat="1" ht="22.5" customHeight="1" x14ac:dyDescent="0.25">
      <c r="A142" s="107">
        <f>A141+1</f>
        <v>29</v>
      </c>
      <c r="B142" s="14" t="s">
        <v>193</v>
      </c>
      <c r="C142" s="111" t="s">
        <v>194</v>
      </c>
      <c r="D142" s="201" t="s">
        <v>577</v>
      </c>
      <c r="E142" s="97"/>
      <c r="F142" s="92"/>
      <c r="G142" s="133"/>
    </row>
    <row r="143" spans="1:7" s="13" customFormat="1" ht="22.5" customHeight="1" x14ac:dyDescent="0.25">
      <c r="A143" s="107">
        <f>A142+1</f>
        <v>30</v>
      </c>
      <c r="B143" s="14" t="s">
        <v>262</v>
      </c>
      <c r="C143" s="118" t="s">
        <v>263</v>
      </c>
      <c r="D143" s="201" t="s">
        <v>579</v>
      </c>
      <c r="E143" s="97"/>
      <c r="F143" s="92"/>
      <c r="G143" s="133"/>
    </row>
    <row r="144" spans="1:7" s="13" customFormat="1" x14ac:dyDescent="0.25">
      <c r="A144" s="229" t="s">
        <v>264</v>
      </c>
      <c r="B144" s="229"/>
      <c r="C144" s="229"/>
      <c r="D144" s="229"/>
      <c r="E144" s="229"/>
      <c r="F144" s="92"/>
      <c r="G144" s="133"/>
    </row>
    <row r="145" spans="1:7" s="13" customFormat="1" ht="22.5" customHeight="1" x14ac:dyDescent="0.25">
      <c r="A145" s="107">
        <f>A143+1</f>
        <v>31</v>
      </c>
      <c r="B145" s="14" t="s">
        <v>265</v>
      </c>
      <c r="C145" s="109" t="s">
        <v>266</v>
      </c>
      <c r="D145" s="201" t="s">
        <v>572</v>
      </c>
      <c r="E145" s="97"/>
      <c r="F145" s="92"/>
      <c r="G145" s="133"/>
    </row>
    <row r="146" spans="1:7" s="13" customFormat="1" ht="22.5" customHeight="1" x14ac:dyDescent="0.25">
      <c r="A146" s="107">
        <f>A145+1</f>
        <v>32</v>
      </c>
      <c r="B146" s="14" t="s">
        <v>268</v>
      </c>
      <c r="C146" s="109" t="s">
        <v>269</v>
      </c>
      <c r="D146" s="201" t="s">
        <v>577</v>
      </c>
      <c r="E146" s="97"/>
      <c r="F146" s="92"/>
      <c r="G146" s="133"/>
    </row>
    <row r="147" spans="1:7" s="13" customFormat="1" ht="22.5" customHeight="1" x14ac:dyDescent="0.25">
      <c r="A147" s="107">
        <f>A146+1</f>
        <v>33</v>
      </c>
      <c r="B147" s="14" t="s">
        <v>270</v>
      </c>
      <c r="C147" s="109" t="s">
        <v>271</v>
      </c>
      <c r="D147" s="201" t="s">
        <v>577</v>
      </c>
      <c r="E147" s="97"/>
      <c r="F147" s="92"/>
      <c r="G147" s="133"/>
    </row>
    <row r="148" spans="1:7" ht="22.5" customHeight="1" x14ac:dyDescent="0.25">
      <c r="A148" s="107">
        <f>A147+1</f>
        <v>34</v>
      </c>
      <c r="B148" s="14" t="s">
        <v>13</v>
      </c>
      <c r="C148" s="109" t="s">
        <v>14</v>
      </c>
      <c r="D148" s="201" t="s">
        <v>572</v>
      </c>
      <c r="E148" s="97"/>
      <c r="F148" s="91"/>
    </row>
    <row r="149" spans="1:7" ht="22.5" customHeight="1" x14ac:dyDescent="0.25">
      <c r="A149" s="107">
        <f>A148+1</f>
        <v>35</v>
      </c>
      <c r="B149" s="14" t="s">
        <v>272</v>
      </c>
      <c r="C149" s="111" t="s">
        <v>273</v>
      </c>
      <c r="D149" s="201" t="s">
        <v>577</v>
      </c>
      <c r="E149" s="97"/>
      <c r="F149" s="93"/>
    </row>
    <row r="150" spans="1:7" s="13" customFormat="1" ht="22.5" customHeight="1" x14ac:dyDescent="0.25">
      <c r="A150" s="107">
        <f t="shared" ref="A150:A155" si="4">A149+1</f>
        <v>36</v>
      </c>
      <c r="B150" s="14" t="s">
        <v>275</v>
      </c>
      <c r="C150" s="109" t="s">
        <v>276</v>
      </c>
      <c r="D150" s="201" t="s">
        <v>577</v>
      </c>
      <c r="E150" s="97"/>
      <c r="F150" s="92"/>
      <c r="G150" s="133"/>
    </row>
    <row r="151" spans="1:7" ht="22.5" customHeight="1" x14ac:dyDescent="0.25">
      <c r="A151" s="107">
        <f t="shared" si="4"/>
        <v>37</v>
      </c>
      <c r="B151" s="14" t="s">
        <v>277</v>
      </c>
      <c r="C151" s="109" t="s">
        <v>278</v>
      </c>
      <c r="D151" s="201" t="s">
        <v>576</v>
      </c>
      <c r="E151" s="97"/>
      <c r="G151" s="137"/>
    </row>
    <row r="152" spans="1:7" ht="22.5" customHeight="1" x14ac:dyDescent="0.25">
      <c r="A152" s="107">
        <f t="shared" si="4"/>
        <v>38</v>
      </c>
      <c r="B152" s="14" t="s">
        <v>279</v>
      </c>
      <c r="C152" s="109" t="s">
        <v>280</v>
      </c>
      <c r="D152" s="201" t="s">
        <v>575</v>
      </c>
      <c r="E152" s="97"/>
    </row>
    <row r="153" spans="1:7" ht="22.5" customHeight="1" x14ac:dyDescent="0.25">
      <c r="A153" s="107">
        <f>A152+1</f>
        <v>39</v>
      </c>
      <c r="B153" s="14" t="s">
        <v>281</v>
      </c>
      <c r="C153" s="111" t="s">
        <v>282</v>
      </c>
      <c r="D153" s="201" t="s">
        <v>578</v>
      </c>
      <c r="E153" s="97"/>
      <c r="F153" s="93"/>
    </row>
    <row r="154" spans="1:7" ht="22.5" customHeight="1" x14ac:dyDescent="0.25">
      <c r="A154" s="107">
        <f>A153+1</f>
        <v>40</v>
      </c>
      <c r="B154" s="14" t="s">
        <v>283</v>
      </c>
      <c r="C154" s="111" t="s">
        <v>284</v>
      </c>
      <c r="D154" s="201" t="s">
        <v>572</v>
      </c>
      <c r="E154" s="97"/>
      <c r="F154" s="93"/>
    </row>
    <row r="155" spans="1:7" ht="22.5" customHeight="1" x14ac:dyDescent="0.25">
      <c r="A155" s="107">
        <f t="shared" si="4"/>
        <v>41</v>
      </c>
      <c r="B155" s="14" t="s">
        <v>285</v>
      </c>
      <c r="C155" s="111" t="s">
        <v>286</v>
      </c>
      <c r="D155" s="201" t="s">
        <v>577</v>
      </c>
      <c r="E155" s="97"/>
      <c r="F155" s="93"/>
    </row>
    <row r="156" spans="1:7" ht="22.5" customHeight="1" x14ac:dyDescent="0.25">
      <c r="A156" s="107">
        <f>A155+1</f>
        <v>42</v>
      </c>
      <c r="B156" s="14" t="s">
        <v>516</v>
      </c>
      <c r="C156" s="111" t="s">
        <v>469</v>
      </c>
      <c r="D156" s="201" t="s">
        <v>577</v>
      </c>
      <c r="E156" s="97"/>
      <c r="F156" s="93"/>
    </row>
    <row r="157" spans="1:7" ht="22.5" customHeight="1" x14ac:dyDescent="0.25">
      <c r="A157" s="107">
        <f>A156+1</f>
        <v>43</v>
      </c>
      <c r="B157" s="14" t="s">
        <v>287</v>
      </c>
      <c r="C157" s="111" t="s">
        <v>288</v>
      </c>
      <c r="D157" s="201" t="s">
        <v>578</v>
      </c>
      <c r="E157" s="97"/>
      <c r="F157" s="93"/>
    </row>
    <row r="159" spans="1:7" ht="19.5" x14ac:dyDescent="0.25">
      <c r="A159" s="230" t="s">
        <v>289</v>
      </c>
      <c r="B159" s="230"/>
      <c r="C159" s="230"/>
      <c r="D159" s="230"/>
      <c r="E159" s="100"/>
    </row>
    <row r="160" spans="1:7" ht="22.5" customHeight="1" x14ac:dyDescent="0.25">
      <c r="A160" s="107">
        <v>1</v>
      </c>
      <c r="B160" s="14" t="s">
        <v>290</v>
      </c>
      <c r="C160" s="112" t="s">
        <v>543</v>
      </c>
      <c r="D160" s="201" t="s">
        <v>577</v>
      </c>
      <c r="E160" s="97"/>
    </row>
    <row r="161" spans="1:7" x14ac:dyDescent="0.25">
      <c r="A161" s="231" t="s">
        <v>292</v>
      </c>
      <c r="B161" s="231"/>
      <c r="C161" s="231"/>
      <c r="D161" s="231"/>
      <c r="E161" s="231"/>
    </row>
    <row r="162" spans="1:7" ht="22.5" customHeight="1" x14ac:dyDescent="0.25">
      <c r="A162" s="107">
        <v>2</v>
      </c>
      <c r="B162" s="14" t="s">
        <v>293</v>
      </c>
      <c r="C162" s="112" t="s">
        <v>294</v>
      </c>
      <c r="D162" s="201" t="s">
        <v>572</v>
      </c>
      <c r="E162" s="97"/>
    </row>
    <row r="163" spans="1:7" ht="22.5" customHeight="1" x14ac:dyDescent="0.25">
      <c r="A163" s="107">
        <v>3</v>
      </c>
      <c r="B163" s="14" t="s">
        <v>295</v>
      </c>
      <c r="C163" s="112" t="s">
        <v>296</v>
      </c>
      <c r="D163" s="201" t="s">
        <v>576</v>
      </c>
      <c r="E163" s="97"/>
    </row>
    <row r="164" spans="1:7" ht="22.5" customHeight="1" x14ac:dyDescent="0.25">
      <c r="A164" s="107">
        <f>A163+1</f>
        <v>4</v>
      </c>
      <c r="B164" s="14" t="s">
        <v>518</v>
      </c>
      <c r="C164" s="112" t="s">
        <v>383</v>
      </c>
      <c r="D164" s="201" t="s">
        <v>576</v>
      </c>
      <c r="E164" s="97"/>
    </row>
    <row r="165" spans="1:7" ht="22.5" customHeight="1" x14ac:dyDescent="0.25">
      <c r="A165" s="107">
        <f>A164+1</f>
        <v>5</v>
      </c>
      <c r="B165" s="14" t="s">
        <v>297</v>
      </c>
      <c r="C165" s="112" t="s">
        <v>298</v>
      </c>
      <c r="D165" s="201" t="s">
        <v>572</v>
      </c>
      <c r="E165" s="97"/>
    </row>
    <row r="166" spans="1:7" ht="22.5" customHeight="1" x14ac:dyDescent="0.25">
      <c r="A166" s="107">
        <f>A165+1</f>
        <v>6</v>
      </c>
      <c r="B166" s="14" t="s">
        <v>299</v>
      </c>
      <c r="C166" s="112" t="s">
        <v>300</v>
      </c>
      <c r="D166" s="201" t="s">
        <v>577</v>
      </c>
      <c r="E166" s="97"/>
    </row>
    <row r="167" spans="1:7" x14ac:dyDescent="0.25">
      <c r="A167" s="231" t="s">
        <v>302</v>
      </c>
      <c r="B167" s="231"/>
      <c r="C167" s="231"/>
      <c r="D167" s="231"/>
      <c r="E167" s="231"/>
    </row>
    <row r="168" spans="1:7" s="13" customFormat="1" ht="22.5" customHeight="1" x14ac:dyDescent="0.25">
      <c r="A168" s="107">
        <f>A166+1</f>
        <v>7</v>
      </c>
      <c r="B168" s="14" t="s">
        <v>303</v>
      </c>
      <c r="C168" s="111" t="s">
        <v>304</v>
      </c>
      <c r="D168" s="201" t="s">
        <v>572</v>
      </c>
      <c r="E168" s="97"/>
      <c r="F168" s="92"/>
      <c r="G168" s="133"/>
    </row>
    <row r="169" spans="1:7" x14ac:dyDescent="0.25">
      <c r="A169" s="231" t="s">
        <v>174</v>
      </c>
      <c r="B169" s="231"/>
      <c r="C169" s="231"/>
      <c r="D169" s="231"/>
      <c r="E169" s="231"/>
    </row>
    <row r="170" spans="1:7" s="13" customFormat="1" ht="22.5" customHeight="1" x14ac:dyDescent="0.25">
      <c r="A170" s="107">
        <f>A168+1</f>
        <v>8</v>
      </c>
      <c r="B170" s="14" t="s">
        <v>305</v>
      </c>
      <c r="C170" s="109" t="s">
        <v>306</v>
      </c>
      <c r="D170" s="201" t="s">
        <v>572</v>
      </c>
      <c r="E170" s="97"/>
      <c r="F170" s="92"/>
      <c r="G170" s="133"/>
    </row>
    <row r="171" spans="1:7" s="13" customFormat="1" ht="22.5" customHeight="1" x14ac:dyDescent="0.25">
      <c r="A171" s="107">
        <f>A170+1</f>
        <v>9</v>
      </c>
      <c r="B171" s="14" t="s">
        <v>307</v>
      </c>
      <c r="C171" s="117" t="s">
        <v>308</v>
      </c>
      <c r="D171" s="201" t="s">
        <v>576</v>
      </c>
      <c r="E171" s="97"/>
      <c r="F171" s="92"/>
      <c r="G171" s="133"/>
    </row>
    <row r="172" spans="1:7" s="13" customFormat="1" ht="22.5" customHeight="1" x14ac:dyDescent="0.25">
      <c r="A172" s="107">
        <f>A171+1</f>
        <v>10</v>
      </c>
      <c r="B172" s="14" t="s">
        <v>310</v>
      </c>
      <c r="C172" s="111" t="s">
        <v>311</v>
      </c>
      <c r="D172" s="201" t="s">
        <v>575</v>
      </c>
      <c r="E172" s="97"/>
      <c r="F172" s="92"/>
      <c r="G172" s="133"/>
    </row>
    <row r="173" spans="1:7" x14ac:dyDescent="0.25">
      <c r="A173" s="231" t="s">
        <v>312</v>
      </c>
      <c r="B173" s="231"/>
      <c r="C173" s="231"/>
      <c r="D173" s="231"/>
      <c r="E173" s="231"/>
    </row>
    <row r="174" spans="1:7" ht="22.5" customHeight="1" x14ac:dyDescent="0.25">
      <c r="A174" s="107">
        <f>A172+1</f>
        <v>11</v>
      </c>
      <c r="B174" s="14" t="s">
        <v>313</v>
      </c>
      <c r="C174" s="118" t="s">
        <v>314</v>
      </c>
      <c r="D174" s="201" t="s">
        <v>576</v>
      </c>
      <c r="E174" s="97"/>
    </row>
    <row r="175" spans="1:7" ht="22.5" customHeight="1" x14ac:dyDescent="0.25">
      <c r="A175" s="107">
        <f>A174+1</f>
        <v>12</v>
      </c>
      <c r="B175" s="14" t="s">
        <v>315</v>
      </c>
      <c r="C175" s="118" t="s">
        <v>316</v>
      </c>
      <c r="D175" s="201" t="s">
        <v>576</v>
      </c>
      <c r="E175" s="97"/>
    </row>
    <row r="176" spans="1:7" ht="22.5" customHeight="1" x14ac:dyDescent="0.25">
      <c r="A176" s="107">
        <f>A175+1</f>
        <v>13</v>
      </c>
      <c r="B176" s="14" t="s">
        <v>317</v>
      </c>
      <c r="C176" s="118" t="s">
        <v>318</v>
      </c>
      <c r="D176" s="201" t="s">
        <v>572</v>
      </c>
      <c r="E176" s="97"/>
    </row>
    <row r="177" spans="1:6" x14ac:dyDescent="0.25">
      <c r="A177" s="231" t="s">
        <v>264</v>
      </c>
      <c r="B177" s="231"/>
      <c r="C177" s="231"/>
      <c r="D177" s="231"/>
      <c r="E177" s="231"/>
    </row>
    <row r="178" spans="1:6" ht="22.5" customHeight="1" x14ac:dyDescent="0.25">
      <c r="A178" s="107">
        <f>A176+1</f>
        <v>14</v>
      </c>
      <c r="B178" s="14" t="s">
        <v>319</v>
      </c>
      <c r="C178" s="111" t="s">
        <v>320</v>
      </c>
      <c r="D178" s="201" t="s">
        <v>572</v>
      </c>
      <c r="E178" s="97"/>
      <c r="F178" s="93"/>
    </row>
    <row r="179" spans="1:6" x14ac:dyDescent="0.25">
      <c r="B179" s="15"/>
      <c r="C179" s="113"/>
      <c r="D179" s="203"/>
      <c r="F179" s="93"/>
    </row>
    <row r="181" spans="1:6" ht="19.5" x14ac:dyDescent="0.25">
      <c r="B181" s="16"/>
      <c r="C181" s="119"/>
      <c r="F181" s="93"/>
    </row>
    <row r="182" spans="1:6" ht="19.5" hidden="1" x14ac:dyDescent="0.25">
      <c r="A182" s="252"/>
      <c r="B182" s="252"/>
      <c r="C182" s="252"/>
      <c r="D182" s="252"/>
      <c r="E182" s="252"/>
      <c r="F182" s="252"/>
    </row>
    <row r="183" spans="1:6" ht="15.75" hidden="1" x14ac:dyDescent="0.25">
      <c r="A183" s="248"/>
      <c r="B183" s="248"/>
      <c r="C183" s="248"/>
      <c r="D183" s="248"/>
      <c r="E183" s="248"/>
      <c r="F183" s="248"/>
    </row>
    <row r="184" spans="1:6" hidden="1" x14ac:dyDescent="0.25">
      <c r="A184" s="107"/>
      <c r="B184" s="14"/>
      <c r="C184" s="109"/>
      <c r="D184" s="201"/>
      <c r="E184" s="97"/>
      <c r="F184" s="93"/>
    </row>
    <row r="185" spans="1:6" hidden="1" x14ac:dyDescent="0.25">
      <c r="A185" s="107"/>
      <c r="B185" s="14"/>
      <c r="C185" s="109"/>
      <c r="D185" s="201"/>
      <c r="E185" s="97"/>
      <c r="F185" s="93"/>
    </row>
    <row r="186" spans="1:6" hidden="1" x14ac:dyDescent="0.25">
      <c r="A186" s="107"/>
      <c r="B186" s="14"/>
      <c r="C186" s="109"/>
      <c r="D186" s="201"/>
      <c r="E186" s="97"/>
      <c r="F186" s="93"/>
    </row>
    <row r="187" spans="1:6" hidden="1" x14ac:dyDescent="0.25">
      <c r="A187" s="107"/>
      <c r="B187" s="14"/>
      <c r="C187" s="109"/>
      <c r="D187" s="201"/>
      <c r="E187" s="97"/>
      <c r="F187" s="93"/>
    </row>
    <row r="188" spans="1:6" hidden="1" x14ac:dyDescent="0.25">
      <c r="B188" s="15"/>
      <c r="C188" s="120"/>
      <c r="D188" s="203"/>
      <c r="F188" s="93"/>
    </row>
    <row r="189" spans="1:6" s="133" customFormat="1" ht="15.75" hidden="1" x14ac:dyDescent="0.25">
      <c r="A189" s="96"/>
      <c r="B189" s="24"/>
      <c r="C189" s="121"/>
      <c r="D189" s="129"/>
      <c r="E189" s="101"/>
      <c r="F189" s="94"/>
    </row>
    <row r="190" spans="1:6" s="133" customFormat="1" ht="15.75" x14ac:dyDescent="0.25">
      <c r="A190" s="96"/>
      <c r="B190" s="24"/>
      <c r="C190" s="56"/>
      <c r="D190" s="129"/>
      <c r="E190" s="101"/>
      <c r="F190" s="94"/>
    </row>
    <row r="191" spans="1:6" s="133" customFormat="1" x14ac:dyDescent="0.25">
      <c r="A191" s="96"/>
      <c r="B191" s="17"/>
      <c r="C191" s="122"/>
      <c r="D191" s="197"/>
      <c r="E191" s="94"/>
      <c r="F191" s="94"/>
    </row>
    <row r="192" spans="1:6" s="133" customFormat="1" x14ac:dyDescent="0.25">
      <c r="A192" s="96"/>
      <c r="B192" s="17"/>
      <c r="C192" s="122"/>
      <c r="D192" s="197"/>
      <c r="E192" s="94"/>
      <c r="F192" s="94"/>
    </row>
    <row r="193" spans="1:6" s="133" customFormat="1" ht="13.5" x14ac:dyDescent="0.25">
      <c r="A193" s="96"/>
      <c r="B193" s="114"/>
      <c r="C193" s="149"/>
      <c r="D193" s="199"/>
      <c r="E193" s="94"/>
      <c r="F193" s="94"/>
    </row>
    <row r="194" spans="1:6" s="133" customFormat="1" ht="13.5" x14ac:dyDescent="0.25">
      <c r="A194" s="96"/>
      <c r="B194" s="114"/>
      <c r="C194" s="149"/>
      <c r="D194" s="199"/>
      <c r="E194" s="94"/>
      <c r="F194" s="94"/>
    </row>
    <row r="195" spans="1:6" s="133" customFormat="1" ht="13.5" x14ac:dyDescent="0.25">
      <c r="A195" s="96"/>
      <c r="B195" s="114"/>
      <c r="C195" s="149"/>
      <c r="D195" s="199"/>
      <c r="E195" s="94"/>
      <c r="F195" s="94"/>
    </row>
    <row r="196" spans="1:6" s="133" customFormat="1" ht="13.5" x14ac:dyDescent="0.25">
      <c r="A196" s="96"/>
      <c r="B196" s="150"/>
      <c r="C196" s="149"/>
      <c r="D196" s="151"/>
      <c r="E196" s="94"/>
      <c r="F196" s="94"/>
    </row>
    <row r="197" spans="1:6" s="133" customFormat="1" ht="13.5" x14ac:dyDescent="0.25">
      <c r="A197" s="96"/>
      <c r="B197" s="59"/>
      <c r="C197" s="149"/>
      <c r="D197" s="199"/>
      <c r="E197" s="94"/>
      <c r="F197" s="94"/>
    </row>
    <row r="198" spans="1:6" s="133" customFormat="1" ht="13.5" x14ac:dyDescent="0.25">
      <c r="A198" s="96"/>
      <c r="B198" s="59"/>
      <c r="C198" s="151"/>
      <c r="D198" s="199"/>
      <c r="E198" s="101"/>
      <c r="F198" s="94"/>
    </row>
    <row r="199" spans="1:6" s="133" customFormat="1" ht="15.75" x14ac:dyDescent="0.25">
      <c r="A199" s="96"/>
      <c r="B199" s="24"/>
      <c r="C199" s="121"/>
      <c r="D199" s="129"/>
      <c r="E199" s="101"/>
      <c r="F199" s="94"/>
    </row>
    <row r="200" spans="1:6" s="133" customFormat="1" ht="13.5" x14ac:dyDescent="0.25">
      <c r="A200" s="96"/>
      <c r="B200" s="114"/>
      <c r="C200" s="149"/>
      <c r="D200" s="199"/>
      <c r="E200" s="94"/>
      <c r="F200" s="94"/>
    </row>
    <row r="201" spans="1:6" s="133" customFormat="1" x14ac:dyDescent="0.25">
      <c r="A201" s="106"/>
      <c r="B201" s="3"/>
      <c r="C201" s="56"/>
      <c r="D201" s="197"/>
      <c r="E201" s="94"/>
      <c r="F201" s="92"/>
    </row>
    <row r="202" spans="1:6" s="133" customFormat="1" x14ac:dyDescent="0.25">
      <c r="A202" s="106"/>
      <c r="B202" s="3"/>
      <c r="C202" s="56"/>
      <c r="D202" s="197"/>
      <c r="E202" s="94"/>
      <c r="F202" s="92"/>
    </row>
    <row r="203" spans="1:6" s="133" customFormat="1" ht="13.5" x14ac:dyDescent="0.25">
      <c r="A203" s="96"/>
      <c r="B203" s="150"/>
      <c r="C203" s="149"/>
      <c r="D203" s="151"/>
      <c r="E203" s="94"/>
      <c r="F203" s="94"/>
    </row>
    <row r="204" spans="1:6" s="133" customFormat="1" ht="13.5" x14ac:dyDescent="0.25">
      <c r="A204" s="96"/>
      <c r="B204" s="59"/>
      <c r="C204" s="149"/>
      <c r="D204" s="199"/>
      <c r="E204" s="94"/>
      <c r="F204" s="94"/>
    </row>
    <row r="205" spans="1:6" s="133" customFormat="1" ht="13.5" x14ac:dyDescent="0.25">
      <c r="A205" s="96"/>
      <c r="B205" s="59"/>
      <c r="C205" s="149"/>
      <c r="D205" s="199"/>
      <c r="E205" s="94"/>
      <c r="F205" s="94"/>
    </row>
    <row r="208" spans="1:6" s="133" customFormat="1" x14ac:dyDescent="0.25">
      <c r="A208" s="108"/>
      <c r="B208" s="3"/>
      <c r="C208" s="56"/>
      <c r="D208" s="200"/>
      <c r="E208" s="102"/>
      <c r="F208" s="91"/>
    </row>
  </sheetData>
  <autoFilter ref="D10:D178" xr:uid="{2E999873-F06D-4DA7-BA23-EA0B28D53526}"/>
  <mergeCells count="4">
    <mergeCell ref="A6:F6"/>
    <mergeCell ref="A7:F7"/>
    <mergeCell ref="A183:F183"/>
    <mergeCell ref="A182:F182"/>
  </mergeCells>
  <printOptions horizontalCentered="1"/>
  <pageMargins left="0.31496062992125984" right="0.11811023622047245" top="0.27559055118110237" bottom="0.35433070866141736" header="0.31496062992125984" footer="0.31496062992125984"/>
  <pageSetup paperSize="14" scale="92" orientation="portrait" r:id="rId1"/>
  <rowBreaks count="3" manualBreakCount="3">
    <brk id="56" max="5" man="1"/>
    <brk id="103" max="5" man="1"/>
    <brk id="150" max="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70F9-0CFC-4749-B8DA-868CB27973F3}">
  <dimension ref="A1:J2"/>
  <sheetViews>
    <sheetView workbookViewId="0">
      <selection activeCell="H2" sqref="A1:H2"/>
    </sheetView>
  </sheetViews>
  <sheetFormatPr defaultRowHeight="15" x14ac:dyDescent="0.25"/>
  <sheetData>
    <row r="1" spans="1:10" x14ac:dyDescent="0.25">
      <c r="A1" t="s">
        <v>578</v>
      </c>
      <c r="B1" t="s">
        <v>579</v>
      </c>
      <c r="C1" t="s">
        <v>577</v>
      </c>
      <c r="D1" t="s">
        <v>576</v>
      </c>
      <c r="E1" t="s">
        <v>575</v>
      </c>
      <c r="F1" t="s">
        <v>580</v>
      </c>
      <c r="G1" t="s">
        <v>572</v>
      </c>
      <c r="H1" t="s">
        <v>573</v>
      </c>
    </row>
    <row r="2" spans="1:10" x14ac:dyDescent="0.25">
      <c r="A2">
        <v>10</v>
      </c>
      <c r="B2">
        <v>3</v>
      </c>
      <c r="C2">
        <v>44</v>
      </c>
      <c r="D2">
        <v>33</v>
      </c>
      <c r="E2">
        <v>7</v>
      </c>
      <c r="F2">
        <v>4</v>
      </c>
      <c r="G2">
        <v>25</v>
      </c>
      <c r="H2">
        <v>10</v>
      </c>
      <c r="J2">
        <f>SUM(A2:H2)</f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total number as of 15Feb2025</vt:lpstr>
      <vt:lpstr>Masterlist as of 15Feb2026</vt:lpstr>
      <vt:lpstr>Masterlist for 201files (15Feb)</vt:lpstr>
      <vt:lpstr>TShirt Zize</vt:lpstr>
      <vt:lpstr>Sheet1</vt:lpstr>
      <vt:lpstr>'Masterlist as of 15Feb2026'!Print_Area</vt:lpstr>
      <vt:lpstr>'Masterlist for 201files (15Feb)'!Print_Area</vt:lpstr>
      <vt:lpstr>'TShirt Zize'!Print_Area</vt:lpstr>
      <vt:lpstr>'Masterlist as of 15Feb2026'!Print_Titles</vt:lpstr>
      <vt:lpstr>'Masterlist for 201files (15Feb)'!Print_Titles</vt:lpstr>
      <vt:lpstr>'TShirt Zize'!Print_Titles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Marc David Orogo</cp:lastModifiedBy>
  <cp:lastPrinted>2026-03-04T01:43:29Z</cp:lastPrinted>
  <dcterms:created xsi:type="dcterms:W3CDTF">2025-03-17T01:46:43Z</dcterms:created>
  <dcterms:modified xsi:type="dcterms:W3CDTF">2026-03-06T07:12:54Z</dcterms:modified>
</cp:coreProperties>
</file>