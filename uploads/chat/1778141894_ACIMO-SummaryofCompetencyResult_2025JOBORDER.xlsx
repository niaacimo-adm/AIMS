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a01\Documents\"/>
    </mc:Choice>
  </mc:AlternateContent>
  <xr:revisionPtr revIDLastSave="0" documentId="13_ncr:1_{79A8622A-AA1A-42AC-9A13-A9039018FA66}" xr6:coauthVersionLast="47" xr6:coauthVersionMax="47" xr10:uidLastSave="{00000000-0000-0000-0000-000000000000}"/>
  <bookViews>
    <workbookView xWindow="-120" yWindow="-120" windowWidth="29040" windowHeight="15720" xr2:uid="{43A754A8-E8F2-437E-8E38-A59E5D78EFF1}"/>
  </bookViews>
  <sheets>
    <sheet name="Sheet1" sheetId="1" r:id="rId1"/>
  </sheets>
  <definedNames>
    <definedName name="_xlnm._FilterDatabase" localSheetId="0" hidden="1">Sheet1!$A$2:$BS$2</definedName>
    <definedName name="_xlnm.Print_Area" localSheetId="0">Sheet1!$A$1:$BS$86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0" i="1" l="1" a="1"/>
  <c r="A300" i="1" s="1"/>
  <c r="AN300" i="1" s="1"/>
  <c r="A329" i="1" a="1"/>
  <c r="A329" i="1" s="1"/>
  <c r="AN329" i="1" s="1"/>
  <c r="A313" i="1" a="1"/>
  <c r="A313" i="1" s="1"/>
  <c r="AN313" i="1" s="1"/>
  <c r="AN301" i="1" l="1"/>
  <c r="AN305" i="1" s="1"/>
  <c r="AN302" i="1"/>
  <c r="AN306" i="1" s="1"/>
  <c r="AN303" i="1"/>
  <c r="AN337" i="1"/>
  <c r="AN347" i="1"/>
  <c r="AN346" i="1"/>
  <c r="AN345" i="1"/>
  <c r="AN344" i="1"/>
  <c r="AN343" i="1"/>
  <c r="AN342" i="1"/>
  <c r="AN341" i="1"/>
  <c r="AN340" i="1"/>
  <c r="AN326" i="1"/>
  <c r="AN316" i="1"/>
  <c r="AN332" i="1"/>
  <c r="AN336" i="1"/>
  <c r="AN335" i="1"/>
  <c r="AN334" i="1"/>
  <c r="AN325" i="1"/>
  <c r="AN333" i="1"/>
  <c r="AN324" i="1"/>
  <c r="AN323" i="1"/>
  <c r="AN331" i="1"/>
  <c r="AN322" i="1"/>
  <c r="AN330" i="1"/>
  <c r="AN318" i="1"/>
  <c r="AN317" i="1"/>
  <c r="AN315" i="1"/>
  <c r="AN314" i="1"/>
  <c r="AN339" i="1"/>
  <c r="AN338" i="1"/>
  <c r="AN321" i="1"/>
  <c r="AN320" i="1"/>
  <c r="AN319" i="1"/>
  <c r="AN307" i="1" l="1"/>
  <c r="AN304" i="1"/>
  <c r="AN310" i="1" s="1"/>
  <c r="AN308" i="1" l="1"/>
  <c r="AN309" i="1"/>
  <c r="AN3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<sst xmlns="http://schemas.openxmlformats.org/spreadsheetml/2006/main" count="1226" uniqueCount="397">
  <si>
    <t>GENERAL INFORMATION</t>
  </si>
  <si>
    <r>
      <t>REQUIRED COMPETENCY</t>
    </r>
    <r>
      <rPr>
        <b/>
        <sz val="22"/>
        <color rgb="FFFF0000"/>
        <rFont val="Cambria"/>
        <family val="1"/>
      </rPr>
      <t xml:space="preserve">
REMINDER: Do not edit columns "J" to "AO"</t>
    </r>
  </si>
  <si>
    <t>GENERATED ACTUAL COMPETENCY RESULTS</t>
  </si>
  <si>
    <t>EMPLOYMENT STATUS</t>
  </si>
  <si>
    <t>Accountability</t>
  </si>
  <si>
    <t>Interpersonal Communication</t>
  </si>
  <si>
    <t>Organizational Awareness</t>
  </si>
  <si>
    <t>Accounting Acumen</t>
  </si>
  <si>
    <t>Analytical and Creative Thinking</t>
  </si>
  <si>
    <t>Asset Management</t>
  </si>
  <si>
    <t>Budget Management</t>
  </si>
  <si>
    <t>Community Organizing</t>
  </si>
  <si>
    <t>Computer Literacy</t>
  </si>
  <si>
    <t>Construction Supervision</t>
  </si>
  <si>
    <t>Designing and Managing Training</t>
  </si>
  <si>
    <t>Engineering Design</t>
  </si>
  <si>
    <t>Financial Reporting</t>
  </si>
  <si>
    <t>HR Service Excellence</t>
  </si>
  <si>
    <t>Information Management</t>
  </si>
  <si>
    <t>Irrigation System Management</t>
  </si>
  <si>
    <t>IT Expertise</t>
  </si>
  <si>
    <t>Learning Facilitation</t>
  </si>
  <si>
    <t>Making Presentations (Presenting Effectively)</t>
  </si>
  <si>
    <t>Monitoring and Evaluation</t>
  </si>
  <si>
    <t>Problem Solving and Decision Making</t>
  </si>
  <si>
    <t>Procurement Management</t>
  </si>
  <si>
    <t>Program Delivery and Administration</t>
  </si>
  <si>
    <t>Project Management</t>
  </si>
  <si>
    <t>Project Planning and Development</t>
  </si>
  <si>
    <t>Property Administration</t>
  </si>
  <si>
    <t>Technical Writing</t>
  </si>
  <si>
    <t>Conflict Management</t>
  </si>
  <si>
    <t>Leading and Managing Change</t>
  </si>
  <si>
    <t>People Management</t>
  </si>
  <si>
    <t>Stakeholder Engagement</t>
  </si>
  <si>
    <t>Strategic Thinking and Visioning</t>
  </si>
  <si>
    <r>
      <t xml:space="preserve">POSITION TITLE
</t>
    </r>
    <r>
      <rPr>
        <i/>
        <sz val="12"/>
        <rFont val="Cambria"/>
        <family val="1"/>
      </rPr>
      <t>(pls. encode; do not abbreviate)</t>
    </r>
  </si>
  <si>
    <r>
      <t xml:space="preserve">DIVISION
</t>
    </r>
    <r>
      <rPr>
        <i/>
        <u/>
        <sz val="12"/>
        <rFont val="Cambria"/>
        <family val="1"/>
      </rPr>
      <t xml:space="preserve">
Note: Please encode in full; do not abbreviate/write acronym</t>
    </r>
  </si>
  <si>
    <r>
      <t xml:space="preserve">SECTION
</t>
    </r>
    <r>
      <rPr>
        <i/>
        <u/>
        <sz val="12"/>
        <rFont val="Cambria"/>
        <family val="1"/>
      </rPr>
      <t>Note: Please encode in full; do not abbreviate/write acronym</t>
    </r>
  </si>
  <si>
    <r>
      <t xml:space="preserve">UNIT
</t>
    </r>
    <r>
      <rPr>
        <i/>
        <u/>
        <sz val="12"/>
        <rFont val="Cambria"/>
        <family val="1"/>
      </rPr>
      <t>Note: Please encode in full; do not abbreviate/write acronym</t>
    </r>
  </si>
  <si>
    <r>
      <t xml:space="preserve">REMARKS
</t>
    </r>
    <r>
      <rPr>
        <i/>
        <sz val="12"/>
        <rFont val="Cambria"/>
        <family val="1"/>
      </rPr>
      <t>(indicate whether reassigned to or from another region/project or any other relevant information)</t>
    </r>
  </si>
  <si>
    <t>Administrative Section</t>
  </si>
  <si>
    <r>
      <t xml:space="preserve">NAME
</t>
    </r>
    <r>
      <rPr>
        <i/>
        <sz val="12"/>
        <rFont val="Cambria"/>
        <family val="1"/>
      </rPr>
      <t xml:space="preserve">(Last Name, First Name, Extension Name (if any), Middle Initial)
</t>
    </r>
    <r>
      <rPr>
        <i/>
        <u/>
        <sz val="12"/>
        <rFont val="Cambria"/>
        <family val="1"/>
      </rPr>
      <t>Note: Please follow the sample format below and do not write in ALL CAPS.</t>
    </r>
  </si>
  <si>
    <t>Irrigation Management Office</t>
  </si>
  <si>
    <t>Administrative Services Assistant B</t>
  </si>
  <si>
    <t>Clerk Processor A</t>
  </si>
  <si>
    <t>Driver-Mechanic B</t>
  </si>
  <si>
    <t>Clerk Processor B</t>
  </si>
  <si>
    <t>Foreman C</t>
  </si>
  <si>
    <t>Clerk Processor C</t>
  </si>
  <si>
    <t>Utility Worker A</t>
  </si>
  <si>
    <t>Utility Worker B</t>
  </si>
  <si>
    <t>Engineer A</t>
  </si>
  <si>
    <t>Engineer B</t>
  </si>
  <si>
    <t>Environmental Analyst</t>
  </si>
  <si>
    <t>Irrigators Development Officer A</t>
  </si>
  <si>
    <t>Engineering Assistant A</t>
  </si>
  <si>
    <t>Research Assistant A</t>
  </si>
  <si>
    <t>Engineering Assistant B</t>
  </si>
  <si>
    <t>Research Assistant B</t>
  </si>
  <si>
    <t>Welder A</t>
  </si>
  <si>
    <t>Survey Aide A</t>
  </si>
  <si>
    <t>Survey Aide B</t>
  </si>
  <si>
    <t xml:space="preserve">Data Encoder </t>
  </si>
  <si>
    <t>Albay-Catanduanes Irrigation Management Office</t>
  </si>
  <si>
    <t>Engineering Section</t>
  </si>
  <si>
    <t>Operations &amp; Maintenance Section</t>
  </si>
  <si>
    <t>Catanduanes Field Office</t>
  </si>
  <si>
    <t>Finance Section</t>
  </si>
  <si>
    <t>AGRIPA, John Lloyd M.</t>
  </si>
  <si>
    <t>ALVAREZ, Ma. Cristina R.</t>
  </si>
  <si>
    <t>Corporate Budget Assistant</t>
  </si>
  <si>
    <t>AMADOS, Jeric A.</t>
  </si>
  <si>
    <t>ARCILLA, Francis B.</t>
  </si>
  <si>
    <t>ARCILLA, Ma. Elaine E.</t>
  </si>
  <si>
    <t>ATANANTE, Jay Ar P.</t>
  </si>
  <si>
    <t>AYCARDO, Raymond Gil C.</t>
  </si>
  <si>
    <t>AYDALLA, Ramon Jr. C.</t>
  </si>
  <si>
    <t>AZUTEA, Mark Charl's N.</t>
  </si>
  <si>
    <t>BANGA, Arnulfo Natividad B.</t>
  </si>
  <si>
    <t>BEO, Edilberto Jr. R.</t>
  </si>
  <si>
    <t>BERZUELA, Jose Domingo C.</t>
  </si>
  <si>
    <t>BOMBITA, Jerwin P.</t>
  </si>
  <si>
    <t>BONAPOS, Reese P.</t>
  </si>
  <si>
    <t>BRIOSO, John Learry A.</t>
  </si>
  <si>
    <t>CABILES, John Patrick B.</t>
  </si>
  <si>
    <t>CALABINES, Lyle Kenneth A.</t>
  </si>
  <si>
    <t>CAPINO, Hendryx D.</t>
  </si>
  <si>
    <t>CELLANO, Jhedson S.</t>
  </si>
  <si>
    <t>CONCEPCION, Don R.</t>
  </si>
  <si>
    <t>CREDO, Patricia Gillyn L.</t>
  </si>
  <si>
    <t>Administrative Services Officer II</t>
  </si>
  <si>
    <t>CULLAT, Isagani C.</t>
  </si>
  <si>
    <t>Administrative Services Aide</t>
  </si>
  <si>
    <t>DAGUMBOY, Frederick V.</t>
  </si>
  <si>
    <t>DINGLASAN, Bryann Frederick R.</t>
  </si>
  <si>
    <t>DOLZ, Jevielyn A.</t>
  </si>
  <si>
    <t>ESTRADA, Sheena Mae N.</t>
  </si>
  <si>
    <t>GESTIADA, Froilan S.</t>
  </si>
  <si>
    <t>GUADALUPE, Ulysses</t>
  </si>
  <si>
    <t>GUARIN, Amielle</t>
  </si>
  <si>
    <t>JACOB, Gail Nicole J.</t>
  </si>
  <si>
    <t>JUAREZ, Francisco Jr. B.</t>
  </si>
  <si>
    <t>JUAREZ, Julie Anne D.</t>
  </si>
  <si>
    <t>LLEVA, Ronald A.</t>
  </si>
  <si>
    <t>LONTAC, Christian Levy Jr. B.</t>
  </si>
  <si>
    <t>LUMBAO, Joshua A.</t>
  </si>
  <si>
    <t>MANLANGIT, Dindo Z.</t>
  </si>
  <si>
    <t>MANLANGIT, Gio Dominick M.</t>
  </si>
  <si>
    <t>MARBELLA, Mark Christian R.</t>
  </si>
  <si>
    <t>MARIÑAS, Rejean L.</t>
  </si>
  <si>
    <t>Sr. Data Encoder</t>
  </si>
  <si>
    <t>MATOCINOS, Harrish O.</t>
  </si>
  <si>
    <t>MAYOR, Darlene Mae C.</t>
  </si>
  <si>
    <t>Sr. Accounting Processor A</t>
  </si>
  <si>
    <t>MELGAR, Frederick T.</t>
  </si>
  <si>
    <t>Sr. Irrigators Development Officer</t>
  </si>
  <si>
    <t>MESTIOLA, Marvin A.</t>
  </si>
  <si>
    <t>MONILLA, Christian Joshua T.</t>
  </si>
  <si>
    <t>MORAL, Joseph</t>
  </si>
  <si>
    <t>NAVARRO, Gerald M.</t>
  </si>
  <si>
    <t>NAVARRO, Mark Renen Q.</t>
  </si>
  <si>
    <t>NAYVE, Nando M.</t>
  </si>
  <si>
    <t>OCAMPO, Gregory Mark</t>
  </si>
  <si>
    <t>OLAGUER, Francis B.</t>
  </si>
  <si>
    <t>OLIVERA, Loewe Mae B.</t>
  </si>
  <si>
    <t>OROGO, Marc David O.</t>
  </si>
  <si>
    <t>PAGAL, Diane Rose P.</t>
  </si>
  <si>
    <t>PAJE, John Kenneth P.</t>
  </si>
  <si>
    <t>PAPA, John Paul R.</t>
  </si>
  <si>
    <t>PELIGAN, Eduardo J.</t>
  </si>
  <si>
    <t>PELIGAN, Sammy P.</t>
  </si>
  <si>
    <t>PEÑAFIEL, Jun Shane M.</t>
  </si>
  <si>
    <t>PEÑAFLOR, Jessica V.</t>
  </si>
  <si>
    <t>Information Officer B</t>
  </si>
  <si>
    <t>PEPAÑO, Raymond B.</t>
  </si>
  <si>
    <t>PERALTA, Von Jayvee A.</t>
  </si>
  <si>
    <t>PETILLA, Crisna</t>
  </si>
  <si>
    <t>POLIDARIO, Haji P.</t>
  </si>
  <si>
    <t>POLIDARIO, Mark Angelo P.</t>
  </si>
  <si>
    <t>POLIDARIO, Rizaldy P.</t>
  </si>
  <si>
    <t>PORTUGUEZ, Armando S.</t>
  </si>
  <si>
    <t>PROPOGO, Luisito P.</t>
  </si>
  <si>
    <t>RAFOLS, Clarisse B.</t>
  </si>
  <si>
    <t>RAMOS, Ramon A.</t>
  </si>
  <si>
    <t>RAÑOLA, Raynald R.</t>
  </si>
  <si>
    <t>RAPOSA, Albert S.</t>
  </si>
  <si>
    <t>RENEGADO, Christian P.</t>
  </si>
  <si>
    <t>REORA, Cesar M.</t>
  </si>
  <si>
    <t>RINGAD, Ella N.</t>
  </si>
  <si>
    <t>Data Analyst-Encoder</t>
  </si>
  <si>
    <t>ROBAS, Maria Beatrice</t>
  </si>
  <si>
    <t>RODA, April Jane B.</t>
  </si>
  <si>
    <t>Sr. Bookkeeper</t>
  </si>
  <si>
    <t>SIGUENZA, Jewel A.</t>
  </si>
  <si>
    <t>TAPIA, Kayceelyn M.</t>
  </si>
  <si>
    <t>TORIO, Jomel M.</t>
  </si>
  <si>
    <t>TURREDA, Diane V</t>
  </si>
  <si>
    <t>VIBAR, Donel P.</t>
  </si>
  <si>
    <t>VIÑAS, Noel Z.</t>
  </si>
  <si>
    <t>VIÑAS, Raymond R.</t>
  </si>
  <si>
    <t>Operations Unit</t>
  </si>
  <si>
    <t>Job Order</t>
  </si>
  <si>
    <t>Equipment Unit</t>
  </si>
  <si>
    <t>Budget Unit</t>
  </si>
  <si>
    <t>Planning &amp; Design Unit</t>
  </si>
  <si>
    <t>Procurement Unit</t>
  </si>
  <si>
    <t>Administrative Unit</t>
  </si>
  <si>
    <t>Construction Unit</t>
  </si>
  <si>
    <t>Institutional Development Unit</t>
  </si>
  <si>
    <t>Cashering Unit</t>
  </si>
  <si>
    <t>Accounting Unit</t>
  </si>
  <si>
    <t>SO, Mark Cloyd G.</t>
  </si>
  <si>
    <t>Supervising Engineer A</t>
  </si>
  <si>
    <t>Irrigation Management Office Manager</t>
  </si>
  <si>
    <t>Permanent</t>
  </si>
  <si>
    <t>BELGADO, Ma. Dolores S.</t>
  </si>
  <si>
    <t>Casual - Standard Position</t>
  </si>
  <si>
    <t>Administrative Services Chief C</t>
  </si>
  <si>
    <t>Supervising Irrigators Development Officer</t>
  </si>
  <si>
    <t>Administrative Services Officer A</t>
  </si>
  <si>
    <t>ARABACA, Gilbert S.</t>
  </si>
  <si>
    <t>Senior Engineer A</t>
  </si>
  <si>
    <t>COMPLETO, Jessica B.</t>
  </si>
  <si>
    <t>Senior Engineer A (Geodetic)</t>
  </si>
  <si>
    <t>MARQUEZ, Angelo V.</t>
  </si>
  <si>
    <t>NASH, Noel B.</t>
  </si>
  <si>
    <t>PARAISO, Rosemarie A.</t>
  </si>
  <si>
    <t>Industrial Relations Management/Development Officer A</t>
  </si>
  <si>
    <t>Administrative Officer IV</t>
  </si>
  <si>
    <t>Industrial Design Specialist II</t>
  </si>
  <si>
    <t>Project Planning and Development Officer A</t>
  </si>
  <si>
    <t>Senior Engineer B</t>
  </si>
  <si>
    <t>Senior Corporate Accounts Analyst</t>
  </si>
  <si>
    <t>ETCOBANEZ, Myra M.</t>
  </si>
  <si>
    <t>Administrative Services Officer B</t>
  </si>
  <si>
    <t>Agriculturist A</t>
  </si>
  <si>
    <t>Architect A</t>
  </si>
  <si>
    <t>Cashier B</t>
  </si>
  <si>
    <t>Community Relations Officer A</t>
  </si>
  <si>
    <t>Construction Foreman B</t>
  </si>
  <si>
    <t>Draftsman  IV</t>
  </si>
  <si>
    <t>ALNAS, Mark Anjo T.</t>
  </si>
  <si>
    <t>Construction/Contract Management Unit</t>
  </si>
  <si>
    <t xml:space="preserve"> </t>
  </si>
  <si>
    <t>FRANCIA, Aldrin P.</t>
  </si>
  <si>
    <t>Engineer A (Mechanical)</t>
  </si>
  <si>
    <t>PANTE, Lech Fidel C.</t>
  </si>
  <si>
    <t>REBADAJO, Don A.</t>
  </si>
  <si>
    <t>RONCESVALLES, Jordan O.</t>
  </si>
  <si>
    <t>DAYUPAY, Jenimel</t>
  </si>
  <si>
    <t>Hydrologist A</t>
  </si>
  <si>
    <t>Mechanical Foreman</t>
  </si>
  <si>
    <t>Architect B</t>
  </si>
  <si>
    <t>Economist A</t>
  </si>
  <si>
    <t>Financial Planning Analyst</t>
  </si>
  <si>
    <t>Industrial Relations Management Officer B</t>
  </si>
  <si>
    <t>Project Planning and Development Officer B</t>
  </si>
  <si>
    <t>Public Relations Officer B</t>
  </si>
  <si>
    <t>Administration Services Assistant A</t>
  </si>
  <si>
    <t>Agronomist B</t>
  </si>
  <si>
    <t>Auto-CAD Operator</t>
  </si>
  <si>
    <t>Community Relations Officer B</t>
  </si>
  <si>
    <t>SARION, Jane Amy R.</t>
  </si>
  <si>
    <t>JACOB, Elizabeth J.</t>
  </si>
  <si>
    <t>Senior Irrigators Development Officer A</t>
  </si>
  <si>
    <t>Casual - Project-Charged</t>
  </si>
  <si>
    <t>NATE, Modesto Harley S.</t>
  </si>
  <si>
    <t>PONGPONG, Carlito C.</t>
  </si>
  <si>
    <t>PONTILLAS, Segfrido A.</t>
  </si>
  <si>
    <t>REYES, Conchita R.</t>
  </si>
  <si>
    <t>Contractual</t>
  </si>
  <si>
    <t>ROBLEDO, Marilou A</t>
  </si>
  <si>
    <t>DEDASE, Luisito O.</t>
  </si>
  <si>
    <t>Property Officer B</t>
  </si>
  <si>
    <t>Property/Procurement Unit</t>
  </si>
  <si>
    <t>Right-of-Way Officer</t>
  </si>
  <si>
    <t>PITALLANO, Vida E.</t>
  </si>
  <si>
    <t>Senior Accounting Processor A</t>
  </si>
  <si>
    <t>BERDIN, Ian Feliciano III P.</t>
  </si>
  <si>
    <t>Senior Water Resources Facilities Technician</t>
  </si>
  <si>
    <t>DACILLO, Milany B.</t>
  </si>
  <si>
    <t>Computer Maintenance Technologist I</t>
  </si>
  <si>
    <t>Computer Programmer II</t>
  </si>
  <si>
    <t>Construction and Maintenance General Foreman</t>
  </si>
  <si>
    <t>Draftsman III</t>
  </si>
  <si>
    <t>Economist B</t>
  </si>
  <si>
    <t>Irrigators Development Officer B</t>
  </si>
  <si>
    <t>Industrial Design Analyst</t>
  </si>
  <si>
    <t>Industrial Relations Management Officer C</t>
  </si>
  <si>
    <t>Industrial Relations Management/Development Officer</t>
  </si>
  <si>
    <t>Information Officer C</t>
  </si>
  <si>
    <t>ABILA, Ela Mae S.</t>
  </si>
  <si>
    <t>Procurement Analyst B</t>
  </si>
  <si>
    <t>Procurement Assistant B</t>
  </si>
  <si>
    <t>Public Relations Officer C</t>
  </si>
  <si>
    <t>Research Analyst B</t>
  </si>
  <si>
    <t>RENON, Regine C.</t>
  </si>
  <si>
    <t>Senior Draftsman</t>
  </si>
  <si>
    <t>Engineering &amp; Operations Section</t>
  </si>
  <si>
    <t>Senior Instrument Technician</t>
  </si>
  <si>
    <t>Water Resources Facilities Technician</t>
  </si>
  <si>
    <t>Administration Services Assistant B</t>
  </si>
  <si>
    <t>Automotive Mechanic B</t>
  </si>
  <si>
    <t>Collection Representative A</t>
  </si>
  <si>
    <t>Community Relations Assistant</t>
  </si>
  <si>
    <t>Data Encoder-Controller</t>
  </si>
  <si>
    <t>LANUZO, Rey B.</t>
  </si>
  <si>
    <t>RASTRULLO, Coleen M.</t>
  </si>
  <si>
    <t>DELA CRUZ, Alexandra Mae L.</t>
  </si>
  <si>
    <t>Industrial Relations Management Assistant</t>
  </si>
  <si>
    <t>Laboratory Technician A</t>
  </si>
  <si>
    <t>Mechanic B</t>
  </si>
  <si>
    <t>Plant Mechanic B</t>
  </si>
  <si>
    <t>Property Assitant II</t>
  </si>
  <si>
    <t>Property Officer C</t>
  </si>
  <si>
    <t>Property/Supply Officer C</t>
  </si>
  <si>
    <t>PEÑAFLOR, Jemar B.</t>
  </si>
  <si>
    <t>Right-of-Way Assistant A</t>
  </si>
  <si>
    <t>MANLANGIT, Vilma M.</t>
  </si>
  <si>
    <t>Senior Accounting Processor B</t>
  </si>
  <si>
    <t>Cashiering Unit</t>
  </si>
  <si>
    <t>Senior Mason</t>
  </si>
  <si>
    <t>Supervising Metal Worker</t>
  </si>
  <si>
    <t>Supply Officer I</t>
  </si>
  <si>
    <t>Collection Representative I</t>
  </si>
  <si>
    <t>Automotive Mechanic A</t>
  </si>
  <si>
    <t>Automotive Mechanic III</t>
  </si>
  <si>
    <t>Computer Operator</t>
  </si>
  <si>
    <t>Driver-Mechanic A</t>
  </si>
  <si>
    <t>REODIQUE, Nestor S.</t>
  </si>
  <si>
    <t>Heavy Equipment Operator</t>
  </si>
  <si>
    <t>Heavy Equipment Operator III</t>
  </si>
  <si>
    <t>Procurement Assistant A</t>
  </si>
  <si>
    <t>Secretary A</t>
  </si>
  <si>
    <t>Senior Data Encoder</t>
  </si>
  <si>
    <t>Senior Water Resources Facilities Operator B</t>
  </si>
  <si>
    <t>Storekeeper B</t>
  </si>
  <si>
    <t>Accounting Processor A (Billing Clerk)</t>
  </si>
  <si>
    <t xml:space="preserve">Accounting Processor A </t>
  </si>
  <si>
    <t>Administration Services Assistant C</t>
  </si>
  <si>
    <t>Administrative Assistant</t>
  </si>
  <si>
    <t>Cashiering Assistant</t>
  </si>
  <si>
    <t>NACARIO, Richard S.</t>
  </si>
  <si>
    <t>Community Relations Assistant B</t>
  </si>
  <si>
    <t>Confidential Assistant I</t>
  </si>
  <si>
    <t>Data Encoder II</t>
  </si>
  <si>
    <t>Data/Securities Assistant I</t>
  </si>
  <si>
    <t>Draftsman A</t>
  </si>
  <si>
    <t>ORAYE, Noel Jr. B.</t>
  </si>
  <si>
    <t>Foreman A</t>
  </si>
  <si>
    <t>MASAGCA, Richiel A.</t>
  </si>
  <si>
    <t>Foreman B</t>
  </si>
  <si>
    <t>Industrial Relations Management Assistant B</t>
  </si>
  <si>
    <t>ADELANTE, Isagani Jr. P.</t>
  </si>
  <si>
    <t>Industrial Security Guard A</t>
  </si>
  <si>
    <t>BALITA, Marcos B.</t>
  </si>
  <si>
    <t>BALONDO, Senen A.</t>
  </si>
  <si>
    <t>PAJE, Jojo O.</t>
  </si>
  <si>
    <t>SAN BUENAVENTURA, Dante A.</t>
  </si>
  <si>
    <t xml:space="preserve">Instrument Man </t>
  </si>
  <si>
    <t>Instrument Technician A</t>
  </si>
  <si>
    <t>Internal Control Assistant B</t>
  </si>
  <si>
    <t>Liaison Officer</t>
  </si>
  <si>
    <t>Plant Electrician C</t>
  </si>
  <si>
    <t>Plant Mechanic C</t>
  </si>
  <si>
    <t>Plant/Substation Helper A</t>
  </si>
  <si>
    <t>Pollution Control Officer</t>
  </si>
  <si>
    <t>Property/Supply Assistant B</t>
  </si>
  <si>
    <t>Public Relations Assistant B</t>
  </si>
  <si>
    <t>Records Assistant</t>
  </si>
  <si>
    <t>Right-of-Way Assistant B</t>
  </si>
  <si>
    <t xml:space="preserve">Senior Carpenter </t>
  </si>
  <si>
    <t xml:space="preserve">Senior Metal Worker </t>
  </si>
  <si>
    <t>Statistical Assistant B</t>
  </si>
  <si>
    <t>Transmission Lineman C</t>
  </si>
  <si>
    <t>NACARIO, John Bernard S.</t>
  </si>
  <si>
    <t>Water Resources Facilities Operator A</t>
  </si>
  <si>
    <t>Permanent (Temporary)</t>
  </si>
  <si>
    <t>Auto-Electrician B</t>
  </si>
  <si>
    <t>CALPE, Amy B.</t>
  </si>
  <si>
    <t>Data Encoder</t>
  </si>
  <si>
    <t>DELGADO, Alexandra Joy M.</t>
  </si>
  <si>
    <t>LLAVE, Rodolfo Jr. G.</t>
  </si>
  <si>
    <t>RULL, Alexander E.</t>
  </si>
  <si>
    <t>LONTAC, Carl Louie B.</t>
  </si>
  <si>
    <t>SALEM, Mark L.</t>
  </si>
  <si>
    <t>Laboratory Technician</t>
  </si>
  <si>
    <t>Watchman III</t>
  </si>
  <si>
    <t>Accounting Clerk II</t>
  </si>
  <si>
    <t>Accounting Processor B</t>
  </si>
  <si>
    <t>Agricultural Technician I</t>
  </si>
  <si>
    <t>Automotive Mechanic II</t>
  </si>
  <si>
    <t>Automotive Electrician</t>
  </si>
  <si>
    <t>Building Electrician B</t>
  </si>
  <si>
    <t>Data Encoder I</t>
  </si>
  <si>
    <t>Data Entry Machine Operator</t>
  </si>
  <si>
    <t>Draftsman B</t>
  </si>
  <si>
    <t>Draftsman I</t>
  </si>
  <si>
    <t>Driver Courier II</t>
  </si>
  <si>
    <t>Engineering Aide A</t>
  </si>
  <si>
    <t>Housekeeping Services Assistant A</t>
  </si>
  <si>
    <t>Human Resources Management Assistant</t>
  </si>
  <si>
    <t>Light Equipment Operator</t>
  </si>
  <si>
    <t>Storekeeper C</t>
  </si>
  <si>
    <t>CLARIÑO, Roland O.</t>
  </si>
  <si>
    <t>DETERA, Dale Derick L.</t>
  </si>
  <si>
    <t>EUSEBIO, Walter P.</t>
  </si>
  <si>
    <t>OLAVIAGA, Joel O.</t>
  </si>
  <si>
    <t>Water Resources Facilities Operator B</t>
  </si>
  <si>
    <t>Welder B</t>
  </si>
  <si>
    <t>Carpenter A</t>
  </si>
  <si>
    <t>Industrial Security Guard B</t>
  </si>
  <si>
    <t>Mason A</t>
  </si>
  <si>
    <t>Water Resources Facilities Technician A</t>
  </si>
  <si>
    <t>Water Resources Facilities Tender A</t>
  </si>
  <si>
    <t>Administrative Services Assistant A</t>
  </si>
  <si>
    <t>Administration Services Aide</t>
  </si>
  <si>
    <t>Automotive Mechanic C</t>
  </si>
  <si>
    <t>Document Binder</t>
  </si>
  <si>
    <t>Driver</t>
  </si>
  <si>
    <t>Driver II</t>
  </si>
  <si>
    <t>Engineering Aide B</t>
  </si>
  <si>
    <t>Gatekeeper</t>
  </si>
  <si>
    <t>Laboratory Aide II (A)</t>
  </si>
  <si>
    <t>Quarter Master</t>
  </si>
  <si>
    <t>Storekeeper I</t>
  </si>
  <si>
    <t>Watchman II</t>
  </si>
  <si>
    <t>Water Resources Facilities Tender B</t>
  </si>
  <si>
    <t>Water Resources Facilities Operator C</t>
  </si>
  <si>
    <t>Administrative Aide III (UWA)</t>
  </si>
  <si>
    <t>Clerk Processor D</t>
  </si>
  <si>
    <t>Industrial Security Guard C</t>
  </si>
  <si>
    <t>Mason B</t>
  </si>
  <si>
    <t>Carpenter B</t>
  </si>
  <si>
    <t>RESENTES, Richard R.</t>
  </si>
  <si>
    <t>TENDENILLA, Elmerio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</si>
</sst>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548235"/>
      <name val="Cambria"/>
      <family val="1"/>
    </font>
    <font>
      <b/>
      <sz val="22"/>
      <color rgb="FFFF0000"/>
      <name val="Cambria"/>
      <family val="1"/>
    </font>
    <font>
      <b/>
      <sz val="12"/>
      <name val="Cambria"/>
      <family val="1"/>
    </font>
    <font>
      <i/>
      <sz val="12"/>
      <name val="Cambria"/>
      <family val="1"/>
    </font>
    <font>
      <i/>
      <u/>
      <sz val="12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  <font>
      <sz val="10"/>
      <color indexed="8"/>
      <name val="Arial"/>
      <family val="2"/>
    </font>
    <font>
      <i/>
      <sz val="10"/>
      <name val="Cambria"/>
      <family val="1"/>
    </font>
    <font>
      <i/>
      <sz val="10"/>
      <color theme="1"/>
      <name val="Cambria"/>
      <family val="1"/>
    </font>
    <font>
      <sz val="11"/>
      <color rgb="FF000000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2"/>
      <color rgb="FFFF0000"/>
      <name val="Cambria"/>
      <family val="1"/>
    </font>
    <font>
      <i/>
      <sz val="10"/>
      <color rgb="FFFF000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D4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9B6C7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43" fontId="9" fillId="0" borderId="0" applyFont="0" applyFill="0" applyBorder="0" applyAlignment="0" applyProtection="0"/>
    <xf numFmtId="0" fontId="9" fillId="0" borderId="0"/>
    <xf numFmtId="0" fontId="10" fillId="0" borderId="0"/>
  </cellStyleXfs>
  <cellXfs count="142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/>
    </xf>
    <xf numFmtId="0" fontId="7" fillId="0" borderId="9" xfId="0" quotePrefix="1" applyFont="1" applyBorder="1" applyAlignment="1">
      <alignment horizontal="center" vertical="center"/>
    </xf>
    <xf numFmtId="14" fontId="7" fillId="0" borderId="8" xfId="0" quotePrefix="1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1" fontId="8" fillId="3" borderId="1" xfId="0" quotePrefix="1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quotePrefix="1" applyFont="1" applyFill="1" applyBorder="1" applyAlignment="1">
      <alignment horizontal="center" vertical="center"/>
    </xf>
    <xf numFmtId="0" fontId="8" fillId="3" borderId="8" xfId="0" quotePrefix="1" applyFont="1" applyFill="1" applyBorder="1" applyAlignment="1">
      <alignment horizontal="center" vertical="center"/>
    </xf>
    <xf numFmtId="0" fontId="8" fillId="3" borderId="9" xfId="0" quotePrefix="1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left" vertical="center"/>
      <protection locked="0"/>
    </xf>
    <xf numFmtId="14" fontId="8" fillId="3" borderId="8" xfId="0" quotePrefix="1" applyNumberFormat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14" fontId="8" fillId="3" borderId="9" xfId="0" quotePrefix="1" applyNumberFormat="1" applyFont="1" applyFill="1" applyBorder="1" applyAlignment="1">
      <alignment horizontal="center" vertical="center"/>
    </xf>
    <xf numFmtId="14" fontId="8" fillId="3" borderId="1" xfId="0" quotePrefix="1" applyNumberFormat="1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left" vertical="center"/>
    </xf>
    <xf numFmtId="0" fontId="8" fillId="3" borderId="1" xfId="4" applyFont="1" applyFill="1" applyBorder="1" applyAlignment="1" applyProtection="1">
      <alignment horizontal="left" vertical="center"/>
      <protection locked="0"/>
    </xf>
    <xf numFmtId="49" fontId="8" fillId="3" borderId="1" xfId="0" applyNumberFormat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49" fontId="8" fillId="3" borderId="1" xfId="1" applyNumberFormat="1" applyFont="1" applyFill="1" applyBorder="1" applyAlignment="1">
      <alignment horizontal="left" vertical="center"/>
    </xf>
    <xf numFmtId="17" fontId="8" fillId="3" borderId="1" xfId="1" quotePrefix="1" applyNumberFormat="1" applyFont="1" applyFill="1" applyBorder="1" applyAlignment="1">
      <alignment horizontal="left" vertical="center"/>
    </xf>
    <xf numFmtId="0" fontId="8" fillId="3" borderId="1" xfId="1" quotePrefix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vertical="center"/>
    </xf>
    <xf numFmtId="0" fontId="14" fillId="0" borderId="1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/>
    </xf>
    <xf numFmtId="0" fontId="15" fillId="0" borderId="10" xfId="0" applyFont="1" applyBorder="1" applyAlignment="1">
      <alignment vertical="center"/>
    </xf>
    <xf numFmtId="0" fontId="13" fillId="4" borderId="10" xfId="0" applyFont="1" applyFill="1" applyBorder="1" applyAlignment="1">
      <alignment vertical="center"/>
    </xf>
    <xf numFmtId="0" fontId="14" fillId="4" borderId="1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9" xfId="0" quotePrefix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7" fillId="4" borderId="8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vertical="center"/>
    </xf>
    <xf numFmtId="0" fontId="15" fillId="5" borderId="10" xfId="0" applyFont="1" applyFill="1" applyBorder="1" applyAlignment="1">
      <alignment vertical="center"/>
    </xf>
    <xf numFmtId="0" fontId="14" fillId="5" borderId="1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7" fillId="6" borderId="5" xfId="0" applyFont="1" applyFill="1" applyBorder="1" applyAlignment="1">
      <alignment horizontal="center" vertical="center" textRotation="90" wrapText="1"/>
    </xf>
    <xf numFmtId="0" fontId="7" fillId="7" borderId="1" xfId="0" applyFont="1" applyFill="1" applyBorder="1" applyAlignment="1">
      <alignment horizontal="center" vertical="center" textRotation="90" wrapText="1"/>
    </xf>
    <xf numFmtId="0" fontId="7" fillId="8" borderId="1" xfId="0" applyFont="1" applyFill="1" applyBorder="1" applyAlignment="1">
      <alignment horizontal="center" vertical="center" textRotation="90" wrapText="1"/>
    </xf>
    <xf numFmtId="0" fontId="8" fillId="6" borderId="1" xfId="0" applyFont="1" applyFill="1" applyBorder="1" applyAlignment="1">
      <alignment vertical="center"/>
    </xf>
    <xf numFmtId="1" fontId="8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1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1" fontId="8" fillId="8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" fontId="7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" fontId="8" fillId="0" borderId="1" xfId="0" quotePrefix="1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8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 vertical="center"/>
    </xf>
    <xf numFmtId="1" fontId="7" fillId="9" borderId="1" xfId="0" quotePrefix="1" applyNumberFormat="1" applyFont="1" applyFill="1" applyBorder="1" applyAlignment="1">
      <alignment horizontal="center" vertical="center"/>
    </xf>
    <xf numFmtId="1" fontId="8" fillId="9" borderId="1" xfId="0" applyNumberFormat="1" applyFont="1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7" fillId="0" borderId="1" xfId="0" applyFont="1" applyBorder="1" applyAlignment="1" applyProtection="1">
      <alignment horizontal="left" vertical="center"/>
      <protection locked="0"/>
    </xf>
    <xf numFmtId="0" fontId="16" fillId="9" borderId="1" xfId="0" applyFont="1" applyFill="1" applyBorder="1" applyAlignment="1">
      <alignment vertical="center"/>
    </xf>
    <xf numFmtId="0" fontId="16" fillId="9" borderId="1" xfId="0" applyFont="1" applyFill="1" applyBorder="1" applyAlignment="1">
      <alignment horizontal="left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/>
    </xf>
    <xf numFmtId="0" fontId="16" fillId="9" borderId="9" xfId="0" applyFont="1" applyFill="1" applyBorder="1" applyAlignment="1">
      <alignment horizontal="center" vertical="center"/>
    </xf>
    <xf numFmtId="0" fontId="16" fillId="9" borderId="1" xfId="0" quotePrefix="1" applyFont="1" applyFill="1" applyBorder="1" applyAlignment="1">
      <alignment horizontal="center" vertical="center"/>
    </xf>
    <xf numFmtId="0" fontId="16" fillId="9" borderId="8" xfId="0" quotePrefix="1" applyFont="1" applyFill="1" applyBorder="1" applyAlignment="1">
      <alignment horizontal="center" vertical="center"/>
    </xf>
    <xf numFmtId="1" fontId="16" fillId="9" borderId="1" xfId="0" quotePrefix="1" applyNumberFormat="1" applyFont="1" applyFill="1" applyBorder="1" applyAlignment="1">
      <alignment horizontal="center" vertical="center"/>
    </xf>
    <xf numFmtId="1" fontId="16" fillId="9" borderId="1" xfId="0" applyNumberFormat="1" applyFont="1" applyFill="1" applyBorder="1" applyAlignment="1">
      <alignment horizontal="center" vertical="center"/>
    </xf>
    <xf numFmtId="1" fontId="16" fillId="9" borderId="1" xfId="0" applyNumberFormat="1" applyFont="1" applyFill="1" applyBorder="1" applyAlignment="1">
      <alignment vertical="center"/>
    </xf>
    <xf numFmtId="0" fontId="16" fillId="9" borderId="0" xfId="0" applyFont="1" applyFill="1" applyAlignment="1">
      <alignment vertical="center"/>
    </xf>
    <xf numFmtId="0" fontId="7" fillId="9" borderId="1" xfId="0" quotePrefix="1" applyFont="1" applyFill="1" applyBorder="1" applyAlignment="1">
      <alignment horizontal="center" vertical="center"/>
    </xf>
    <xf numFmtId="0" fontId="7" fillId="9" borderId="8" xfId="0" quotePrefix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43" fontId="7" fillId="0" borderId="1" xfId="2" applyFont="1" applyFill="1" applyBorder="1" applyAlignment="1" applyProtection="1">
      <alignment horizontal="left" vertical="center" wrapText="1"/>
      <protection locked="0"/>
    </xf>
    <xf numFmtId="14" fontId="7" fillId="0" borderId="9" xfId="0" quotePrefix="1" applyNumberFormat="1" applyFont="1" applyBorder="1" applyAlignment="1">
      <alignment horizontal="center" vertical="center"/>
    </xf>
    <xf numFmtId="14" fontId="7" fillId="0" borderId="1" xfId="0" quotePrefix="1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</cellXfs>
  <cellStyles count="5">
    <cellStyle name="Comma 2" xfId="2" xr:uid="{4EBC97AC-27AA-41DF-82F1-C2C7F1ACA40E}"/>
    <cellStyle name="Normal" xfId="0" builtinId="0"/>
    <cellStyle name="Normal 2" xfId="3" xr:uid="{4D1F912B-84A9-4E73-8BAA-25D5ACA8EC8F}"/>
    <cellStyle name="Normal 4 2 2" xfId="1" xr:uid="{81F930CB-5265-4591-BA06-2640F04E943B}"/>
    <cellStyle name="Normal_Overall" xfId="4" xr:uid="{C9420AC0-4B90-421D-803C-133105BDF701}"/>
  </cellStyles>
  <dxfs count="61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A9B6C7"/>
      <color rgb="FF8FA0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71BA-5C8B-4399-866D-A1EDE34A2C29}">
  <sheetPr codeName="Sheet1"/>
  <dimension ref="A1:BU414"/>
  <sheetViews>
    <sheetView tabSelected="1" zoomScale="70" zoomScaleNormal="70" zoomScaleSheetLayoutView="55" workbookViewId="0">
      <pane xSplit="1" ySplit="2" topLeftCell="AN307" activePane="bottomRight" state="frozen"/>
      <selection pane="topRight" activeCell="B1" sqref="B1"/>
      <selection pane="bottomLeft" activeCell="A3" sqref="A3"/>
      <selection pane="bottomRight" activeCell="AZ311" sqref="AZ311"/>
    </sheetView>
  </sheetViews>
  <sheetFormatPr defaultRowHeight="15.75" x14ac:dyDescent="0.25"/>
  <cols>
    <col min="1" max="1" width="38.5703125" style="16" customWidth="1"/>
    <col min="2" max="2" width="48.5703125" style="16" customWidth="1"/>
    <col min="3" max="5" width="40" style="16" customWidth="1"/>
    <col min="6" max="6" width="31.28515625" style="16" customWidth="1"/>
    <col min="7" max="7" width="40" style="16" customWidth="1"/>
    <col min="8" max="39" width="0" style="16" hidden="1" customWidth="1"/>
    <col min="40" max="40" width="9.85546875" style="16" bestFit="1" customWidth="1"/>
    <col min="41" max="65" width="9.140625" style="16"/>
    <col min="66" max="66" width="14" style="16" bestFit="1" customWidth="1"/>
    <col min="67" max="16384" width="9.140625" style="16"/>
  </cols>
  <sheetData>
    <row r="1" spans="1:71" ht="98.25" customHeight="1" x14ac:dyDescent="0.25">
      <c r="A1" s="93" t="s">
        <v>0</v>
      </c>
      <c r="B1" s="93"/>
      <c r="C1" s="93"/>
      <c r="D1" s="93"/>
      <c r="E1" s="93"/>
      <c r="F1" s="93"/>
      <c r="G1" s="93"/>
      <c r="H1" s="94" t="s">
        <v>1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6"/>
      <c r="AN1" s="97" t="s">
        <v>2</v>
      </c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</row>
    <row r="2" spans="1:71" ht="142.5" customHeight="1" x14ac:dyDescent="0.25">
      <c r="A2" s="1" t="s">
        <v>42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3</v>
      </c>
      <c r="G2" s="2" t="s">
        <v>40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  <c r="AD2" s="3" t="s">
        <v>26</v>
      </c>
      <c r="AE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8" t="s">
        <v>35</v>
      </c>
      <c r="AN2" s="84" t="s">
        <v>4</v>
      </c>
      <c r="AO2" s="85" t="s">
        <v>5</v>
      </c>
      <c r="AP2" s="86" t="s">
        <v>6</v>
      </c>
      <c r="AQ2" s="4" t="s">
        <v>7</v>
      </c>
      <c r="AR2" s="4" t="s">
        <v>8</v>
      </c>
      <c r="AS2" s="4" t="s">
        <v>9</v>
      </c>
      <c r="AT2" s="4" t="s">
        <v>10</v>
      </c>
      <c r="AU2" s="4" t="s">
        <v>11</v>
      </c>
      <c r="AV2" s="4" t="s">
        <v>12</v>
      </c>
      <c r="AW2" s="4" t="s">
        <v>13</v>
      </c>
      <c r="AX2" s="4" t="s">
        <v>14</v>
      </c>
      <c r="AY2" s="4" t="s">
        <v>15</v>
      </c>
      <c r="AZ2" s="4" t="s">
        <v>16</v>
      </c>
      <c r="BA2" s="4" t="s">
        <v>17</v>
      </c>
      <c r="BB2" s="4" t="s">
        <v>18</v>
      </c>
      <c r="BC2" s="4" t="s">
        <v>19</v>
      </c>
      <c r="BD2" s="4" t="s">
        <v>20</v>
      </c>
      <c r="BE2" s="4" t="s">
        <v>21</v>
      </c>
      <c r="BF2" s="4" t="s">
        <v>22</v>
      </c>
      <c r="BG2" s="4" t="s">
        <v>23</v>
      </c>
      <c r="BH2" s="4" t="s">
        <v>24</v>
      </c>
      <c r="BI2" s="4" t="s">
        <v>25</v>
      </c>
      <c r="BJ2" s="4" t="s">
        <v>26</v>
      </c>
      <c r="BK2" s="4" t="s">
        <v>27</v>
      </c>
      <c r="BL2" s="4" t="s">
        <v>28</v>
      </c>
      <c r="BM2" s="4" t="s">
        <v>29</v>
      </c>
      <c r="BN2" s="4" t="s">
        <v>30</v>
      </c>
      <c r="BO2" s="4" t="s">
        <v>31</v>
      </c>
      <c r="BP2" s="4" t="s">
        <v>32</v>
      </c>
      <c r="BQ2" s="4" t="s">
        <v>33</v>
      </c>
      <c r="BR2" s="4" t="s">
        <v>34</v>
      </c>
      <c r="BS2" s="4" t="s">
        <v>35</v>
      </c>
    </row>
    <row r="3" spans="1:71" s="64" customFormat="1" ht="30" customHeight="1" x14ac:dyDescent="0.25">
      <c r="A3" s="54" t="s">
        <v>69</v>
      </c>
      <c r="B3" s="55" t="s">
        <v>50</v>
      </c>
      <c r="C3" s="56" t="s">
        <v>64</v>
      </c>
      <c r="D3" s="57" t="s">
        <v>66</v>
      </c>
      <c r="E3" s="57" t="s">
        <v>161</v>
      </c>
      <c r="F3" s="57" t="s">
        <v>162</v>
      </c>
      <c r="G3" s="57"/>
      <c r="H3" s="58">
        <v>3</v>
      </c>
      <c r="I3" s="59">
        <v>3</v>
      </c>
      <c r="J3" s="60">
        <v>4</v>
      </c>
      <c r="K3" s="61"/>
      <c r="L3" s="59"/>
      <c r="M3" s="59"/>
      <c r="N3" s="59"/>
      <c r="O3" s="59"/>
      <c r="P3" s="59">
        <v>2</v>
      </c>
      <c r="Q3" s="59"/>
      <c r="R3" s="59">
        <v>4</v>
      </c>
      <c r="S3" s="59"/>
      <c r="T3" s="59"/>
      <c r="U3" s="59">
        <v>4</v>
      </c>
      <c r="V3" s="59">
        <v>4</v>
      </c>
      <c r="W3" s="59"/>
      <c r="X3" s="59"/>
      <c r="Y3" s="59"/>
      <c r="Z3" s="59"/>
      <c r="AA3" s="59">
        <v>4</v>
      </c>
      <c r="AB3" s="59">
        <v>3</v>
      </c>
      <c r="AC3" s="59">
        <v>4</v>
      </c>
      <c r="AD3" s="59"/>
      <c r="AE3" s="59"/>
      <c r="AF3" s="59"/>
      <c r="AG3" s="59">
        <v>4</v>
      </c>
      <c r="AH3" s="60"/>
      <c r="AI3" s="58">
        <v>2</v>
      </c>
      <c r="AJ3" s="62">
        <v>2</v>
      </c>
      <c r="AK3" s="62">
        <v>3</v>
      </c>
      <c r="AL3" s="62">
        <v>2</v>
      </c>
      <c r="AM3" s="62">
        <v>2</v>
      </c>
      <c r="AN3" s="62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7"/>
      <c r="BP3" s="57"/>
      <c r="BQ3" s="57"/>
      <c r="BR3" s="57"/>
      <c r="BS3" s="57"/>
    </row>
    <row r="4" spans="1:71" ht="30" customHeight="1" x14ac:dyDescent="0.25">
      <c r="A4" s="50" t="s">
        <v>70</v>
      </c>
      <c r="B4" s="51" t="s">
        <v>71</v>
      </c>
      <c r="C4" s="9" t="s">
        <v>64</v>
      </c>
      <c r="D4" s="17" t="s">
        <v>68</v>
      </c>
      <c r="E4" s="17" t="s">
        <v>164</v>
      </c>
      <c r="F4" s="17" t="s">
        <v>162</v>
      </c>
      <c r="G4" s="17"/>
      <c r="H4" s="12">
        <v>3</v>
      </c>
      <c r="I4" s="7">
        <v>3</v>
      </c>
      <c r="J4" s="13">
        <v>3</v>
      </c>
      <c r="K4" s="14"/>
      <c r="L4" s="7">
        <v>3</v>
      </c>
      <c r="M4" s="7"/>
      <c r="N4" s="7"/>
      <c r="O4" s="7"/>
      <c r="P4" s="7">
        <v>3</v>
      </c>
      <c r="Q4" s="7"/>
      <c r="R4" s="7">
        <v>4</v>
      </c>
      <c r="S4" s="7"/>
      <c r="T4" s="7"/>
      <c r="U4" s="7">
        <v>3</v>
      </c>
      <c r="V4" s="7"/>
      <c r="W4" s="7"/>
      <c r="X4" s="7"/>
      <c r="Y4" s="7"/>
      <c r="Z4" s="7">
        <v>1</v>
      </c>
      <c r="AA4" s="7"/>
      <c r="AB4" s="7"/>
      <c r="AC4" s="7"/>
      <c r="AD4" s="7"/>
      <c r="AE4" s="7"/>
      <c r="AF4" s="7"/>
      <c r="AG4" s="7"/>
      <c r="AH4" s="11">
        <v>2</v>
      </c>
      <c r="AI4" s="12"/>
      <c r="AJ4" s="5"/>
      <c r="AK4" s="5">
        <v>1</v>
      </c>
      <c r="AL4" s="5">
        <v>1</v>
      </c>
      <c r="AM4" s="5"/>
      <c r="AN4" s="30">
        <v>3.8</v>
      </c>
      <c r="AO4" s="30">
        <v>3.7</v>
      </c>
      <c r="AP4" s="30">
        <v>3.2</v>
      </c>
      <c r="AQ4" s="30"/>
      <c r="AR4" s="30">
        <v>3.9</v>
      </c>
      <c r="AS4" s="30"/>
      <c r="AT4" s="30"/>
      <c r="AU4" s="30"/>
      <c r="AV4" s="30">
        <v>3.7</v>
      </c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>
        <v>3.5</v>
      </c>
      <c r="BO4" s="30"/>
      <c r="BP4" s="30"/>
      <c r="BQ4" s="30"/>
      <c r="BR4" s="30"/>
      <c r="BS4" s="30"/>
    </row>
    <row r="5" spans="1:71" ht="30" customHeight="1" x14ac:dyDescent="0.25">
      <c r="A5" s="50" t="s">
        <v>72</v>
      </c>
      <c r="B5" s="51" t="s">
        <v>56</v>
      </c>
      <c r="C5" s="9" t="s">
        <v>64</v>
      </c>
      <c r="D5" s="17" t="s">
        <v>66</v>
      </c>
      <c r="E5" s="17" t="s">
        <v>163</v>
      </c>
      <c r="F5" s="17" t="s">
        <v>162</v>
      </c>
      <c r="G5" s="17"/>
      <c r="H5" s="12">
        <v>3</v>
      </c>
      <c r="I5" s="5">
        <v>3</v>
      </c>
      <c r="J5" s="11">
        <v>3</v>
      </c>
      <c r="K5" s="12"/>
      <c r="L5" s="5">
        <v>3</v>
      </c>
      <c r="M5" s="5"/>
      <c r="N5" s="5"/>
      <c r="O5" s="5"/>
      <c r="P5" s="5">
        <v>3</v>
      </c>
      <c r="Q5" s="5"/>
      <c r="R5" s="5">
        <v>4</v>
      </c>
      <c r="S5" s="5"/>
      <c r="T5" s="5"/>
      <c r="U5" s="5">
        <v>3</v>
      </c>
      <c r="V5" s="5"/>
      <c r="W5" s="5"/>
      <c r="X5" s="5"/>
      <c r="Y5" s="5"/>
      <c r="Z5" s="5">
        <v>1</v>
      </c>
      <c r="AA5" s="5"/>
      <c r="AB5" s="5"/>
      <c r="AC5" s="5"/>
      <c r="AD5" s="5"/>
      <c r="AE5" s="5"/>
      <c r="AF5" s="5"/>
      <c r="AG5" s="5"/>
      <c r="AH5" s="11">
        <v>2</v>
      </c>
      <c r="AI5" s="12"/>
      <c r="AJ5" s="5"/>
      <c r="AK5" s="5">
        <v>1</v>
      </c>
      <c r="AL5" s="5">
        <v>1</v>
      </c>
      <c r="AM5" s="5"/>
      <c r="AN5" s="30">
        <v>3.3</v>
      </c>
      <c r="AO5" s="30">
        <v>3.1</v>
      </c>
      <c r="AP5" s="30">
        <v>2</v>
      </c>
      <c r="AQ5" s="30"/>
      <c r="AR5" s="30">
        <v>3</v>
      </c>
      <c r="AS5" s="30"/>
      <c r="AT5" s="30"/>
      <c r="AU5" s="30"/>
      <c r="AV5" s="30">
        <v>2.9</v>
      </c>
      <c r="AW5" s="30"/>
      <c r="AX5" s="30"/>
      <c r="AY5" s="30">
        <v>1.5</v>
      </c>
      <c r="AZ5" s="30"/>
      <c r="BA5" s="30"/>
      <c r="BB5" s="30"/>
      <c r="BC5" s="30"/>
      <c r="BD5" s="30"/>
      <c r="BE5" s="30"/>
      <c r="BF5" s="30"/>
      <c r="BG5" s="30">
        <v>2</v>
      </c>
      <c r="BH5" s="30"/>
      <c r="BI5" s="30"/>
      <c r="BJ5" s="30"/>
      <c r="BK5" s="30"/>
      <c r="BL5" s="30">
        <v>1</v>
      </c>
      <c r="BM5" s="30"/>
      <c r="BN5" s="30"/>
      <c r="BO5" s="30"/>
      <c r="BP5" s="30"/>
      <c r="BQ5" s="30"/>
      <c r="BR5" s="30"/>
      <c r="BS5" s="30"/>
    </row>
    <row r="6" spans="1:71" s="64" customFormat="1" ht="30" customHeight="1" x14ac:dyDescent="0.25">
      <c r="A6" s="54" t="s">
        <v>73</v>
      </c>
      <c r="B6" s="55" t="s">
        <v>51</v>
      </c>
      <c r="C6" s="56" t="s">
        <v>64</v>
      </c>
      <c r="D6" s="57" t="s">
        <v>66</v>
      </c>
      <c r="E6" s="57" t="s">
        <v>161</v>
      </c>
      <c r="F6" s="57" t="s">
        <v>162</v>
      </c>
      <c r="G6" s="57"/>
      <c r="H6" s="58">
        <v>3</v>
      </c>
      <c r="I6" s="59">
        <v>3</v>
      </c>
      <c r="J6" s="60">
        <v>3</v>
      </c>
      <c r="K6" s="61">
        <v>3</v>
      </c>
      <c r="L6" s="59">
        <v>3</v>
      </c>
      <c r="M6" s="59"/>
      <c r="N6" s="59">
        <v>2</v>
      </c>
      <c r="O6" s="59"/>
      <c r="P6" s="59">
        <v>3</v>
      </c>
      <c r="Q6" s="59"/>
      <c r="R6" s="59"/>
      <c r="S6" s="59"/>
      <c r="T6" s="59">
        <v>2</v>
      </c>
      <c r="U6" s="59"/>
      <c r="V6" s="59"/>
      <c r="W6" s="59"/>
      <c r="X6" s="59"/>
      <c r="Y6" s="59"/>
      <c r="Z6" s="59"/>
      <c r="AA6" s="59">
        <v>1</v>
      </c>
      <c r="AB6" s="59">
        <v>1</v>
      </c>
      <c r="AC6" s="59"/>
      <c r="AD6" s="59"/>
      <c r="AE6" s="59"/>
      <c r="AF6" s="59"/>
      <c r="AG6" s="59"/>
      <c r="AH6" s="65">
        <v>1</v>
      </c>
      <c r="AI6" s="58"/>
      <c r="AJ6" s="62"/>
      <c r="AK6" s="62">
        <v>1</v>
      </c>
      <c r="AL6" s="62">
        <v>1</v>
      </c>
      <c r="AM6" s="62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</row>
    <row r="7" spans="1:71" ht="30" customHeight="1" x14ac:dyDescent="0.25">
      <c r="A7" s="50" t="s">
        <v>74</v>
      </c>
      <c r="B7" s="51" t="s">
        <v>47</v>
      </c>
      <c r="C7" s="9" t="s">
        <v>64</v>
      </c>
      <c r="D7" s="17" t="s">
        <v>67</v>
      </c>
      <c r="E7" s="17"/>
      <c r="F7" s="17" t="s">
        <v>162</v>
      </c>
      <c r="G7" s="17"/>
      <c r="H7" s="12">
        <v>3</v>
      </c>
      <c r="I7" s="7">
        <v>3</v>
      </c>
      <c r="J7" s="13">
        <v>3</v>
      </c>
      <c r="K7" s="14">
        <v>3</v>
      </c>
      <c r="L7" s="7">
        <v>2</v>
      </c>
      <c r="M7" s="7"/>
      <c r="N7" s="7">
        <v>2</v>
      </c>
      <c r="O7" s="7"/>
      <c r="P7" s="7">
        <v>3</v>
      </c>
      <c r="Q7" s="7"/>
      <c r="R7" s="7"/>
      <c r="S7" s="7"/>
      <c r="T7" s="7">
        <v>2</v>
      </c>
      <c r="U7" s="7"/>
      <c r="V7" s="7"/>
      <c r="W7" s="7"/>
      <c r="X7" s="7"/>
      <c r="Y7" s="7"/>
      <c r="Z7" s="7"/>
      <c r="AA7" s="7">
        <v>1</v>
      </c>
      <c r="AB7" s="7">
        <v>1</v>
      </c>
      <c r="AC7" s="7"/>
      <c r="AD7" s="7"/>
      <c r="AE7" s="7"/>
      <c r="AF7" s="7"/>
      <c r="AG7" s="7"/>
      <c r="AH7" s="13">
        <v>2</v>
      </c>
      <c r="AI7" s="12"/>
      <c r="AJ7" s="5"/>
      <c r="AK7" s="5"/>
      <c r="AL7" s="5"/>
      <c r="AM7" s="5"/>
      <c r="AN7" s="30">
        <v>3.7</v>
      </c>
      <c r="AO7" s="30">
        <v>3.8</v>
      </c>
      <c r="AP7" s="30">
        <v>3.7</v>
      </c>
      <c r="AQ7" s="30"/>
      <c r="AR7" s="30">
        <v>3.5</v>
      </c>
      <c r="AS7" s="30"/>
      <c r="AT7" s="30"/>
      <c r="AU7" s="30"/>
      <c r="AV7" s="30">
        <v>3.8</v>
      </c>
      <c r="AW7" s="30"/>
      <c r="AX7" s="30"/>
      <c r="AY7" s="30"/>
      <c r="AZ7" s="30"/>
      <c r="BA7" s="30"/>
      <c r="BB7" s="30">
        <v>3.7</v>
      </c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</row>
    <row r="8" spans="1:71" s="64" customFormat="1" ht="30" customHeight="1" x14ac:dyDescent="0.25">
      <c r="A8" s="54" t="s">
        <v>75</v>
      </c>
      <c r="B8" s="55" t="s">
        <v>51</v>
      </c>
      <c r="C8" s="56" t="s">
        <v>64</v>
      </c>
      <c r="D8" s="57" t="s">
        <v>66</v>
      </c>
      <c r="E8" s="57" t="s">
        <v>161</v>
      </c>
      <c r="F8" s="57" t="s">
        <v>162</v>
      </c>
      <c r="G8" s="57"/>
      <c r="H8" s="58">
        <v>3</v>
      </c>
      <c r="I8" s="59">
        <v>3</v>
      </c>
      <c r="J8" s="60">
        <v>3</v>
      </c>
      <c r="K8" s="61"/>
      <c r="L8" s="59">
        <v>2</v>
      </c>
      <c r="M8" s="59"/>
      <c r="N8" s="59"/>
      <c r="O8" s="59"/>
      <c r="P8" s="59">
        <v>3</v>
      </c>
      <c r="Q8" s="59"/>
      <c r="R8" s="59"/>
      <c r="S8" s="59"/>
      <c r="T8" s="59"/>
      <c r="U8" s="59"/>
      <c r="V8" s="59">
        <v>3</v>
      </c>
      <c r="W8" s="59"/>
      <c r="X8" s="59"/>
      <c r="Y8" s="59"/>
      <c r="Z8" s="59"/>
      <c r="AA8" s="59">
        <v>2</v>
      </c>
      <c r="AB8" s="59">
        <v>1</v>
      </c>
      <c r="AC8" s="59">
        <v>3</v>
      </c>
      <c r="AD8" s="59"/>
      <c r="AE8" s="59"/>
      <c r="AF8" s="59"/>
      <c r="AG8" s="59"/>
      <c r="AH8" s="60">
        <v>2</v>
      </c>
      <c r="AI8" s="58"/>
      <c r="AJ8" s="62"/>
      <c r="AK8" s="62"/>
      <c r="AL8" s="62"/>
      <c r="AM8" s="62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</row>
    <row r="9" spans="1:71" ht="30" customHeight="1" x14ac:dyDescent="0.25">
      <c r="A9" s="50" t="s">
        <v>76</v>
      </c>
      <c r="B9" s="51" t="s">
        <v>61</v>
      </c>
      <c r="C9" s="9" t="s">
        <v>64</v>
      </c>
      <c r="D9" s="17" t="s">
        <v>65</v>
      </c>
      <c r="E9" s="17" t="s">
        <v>165</v>
      </c>
      <c r="F9" s="17" t="s">
        <v>162</v>
      </c>
      <c r="G9" s="17"/>
      <c r="H9" s="12">
        <v>3</v>
      </c>
      <c r="I9" s="5">
        <v>3</v>
      </c>
      <c r="J9" s="11">
        <v>3</v>
      </c>
      <c r="K9" s="12">
        <v>3</v>
      </c>
      <c r="L9" s="5">
        <v>2</v>
      </c>
      <c r="M9" s="5"/>
      <c r="N9" s="5">
        <v>2</v>
      </c>
      <c r="O9" s="5"/>
      <c r="P9" s="5">
        <v>3</v>
      </c>
      <c r="Q9" s="5"/>
      <c r="R9" s="5"/>
      <c r="S9" s="5"/>
      <c r="T9" s="5">
        <v>3</v>
      </c>
      <c r="U9" s="5"/>
      <c r="V9" s="5"/>
      <c r="W9" s="5"/>
      <c r="X9" s="5"/>
      <c r="Y9" s="5"/>
      <c r="Z9" s="5"/>
      <c r="AA9" s="5">
        <v>1</v>
      </c>
      <c r="AB9" s="5">
        <v>1</v>
      </c>
      <c r="AC9" s="5"/>
      <c r="AD9" s="5"/>
      <c r="AE9" s="5"/>
      <c r="AF9" s="5"/>
      <c r="AG9" s="5"/>
      <c r="AH9" s="11">
        <v>2</v>
      </c>
      <c r="AI9" s="12"/>
      <c r="AJ9" s="5"/>
      <c r="AK9" s="5"/>
      <c r="AL9" s="5"/>
      <c r="AM9" s="5"/>
      <c r="AN9" s="30">
        <v>3.8</v>
      </c>
      <c r="AO9" s="30">
        <v>3.4</v>
      </c>
      <c r="AP9" s="30">
        <v>3</v>
      </c>
      <c r="AQ9" s="30"/>
      <c r="AR9" s="30">
        <v>3</v>
      </c>
      <c r="AS9" s="30"/>
      <c r="AT9" s="30"/>
      <c r="AU9" s="30"/>
      <c r="AV9" s="30">
        <v>3.9</v>
      </c>
      <c r="AW9" s="30"/>
      <c r="AX9" s="30"/>
      <c r="AY9" s="30">
        <v>3.4</v>
      </c>
      <c r="AZ9" s="30"/>
      <c r="BA9" s="30"/>
      <c r="BB9" s="30">
        <v>3.1</v>
      </c>
      <c r="BC9" s="30"/>
      <c r="BD9" s="30"/>
      <c r="BE9" s="30"/>
      <c r="BF9" s="30"/>
      <c r="BG9" s="30"/>
      <c r="BH9" s="30"/>
      <c r="BI9" s="30"/>
      <c r="BJ9" s="30"/>
      <c r="BK9" s="30"/>
      <c r="BL9" s="30">
        <v>2.9</v>
      </c>
      <c r="BM9" s="30"/>
      <c r="BN9" s="30"/>
      <c r="BO9" s="30"/>
      <c r="BP9" s="30"/>
      <c r="BQ9" s="30"/>
      <c r="BR9" s="30"/>
      <c r="BS9" s="30"/>
    </row>
    <row r="10" spans="1:71" ht="30" customHeight="1" x14ac:dyDescent="0.25">
      <c r="A10" s="50" t="s">
        <v>77</v>
      </c>
      <c r="B10" s="51" t="s">
        <v>47</v>
      </c>
      <c r="C10" s="9" t="s">
        <v>64</v>
      </c>
      <c r="D10" s="17" t="s">
        <v>66</v>
      </c>
      <c r="E10" s="17" t="s">
        <v>161</v>
      </c>
      <c r="F10" s="17" t="s">
        <v>162</v>
      </c>
      <c r="G10" s="17"/>
      <c r="H10" s="12">
        <v>3</v>
      </c>
      <c r="I10" s="5">
        <v>3</v>
      </c>
      <c r="J10" s="11">
        <v>3</v>
      </c>
      <c r="K10" s="12"/>
      <c r="L10" s="5">
        <v>2</v>
      </c>
      <c r="M10" s="5"/>
      <c r="N10" s="5"/>
      <c r="O10" s="5"/>
      <c r="P10" s="5">
        <v>3</v>
      </c>
      <c r="Q10" s="5"/>
      <c r="R10" s="5">
        <v>3</v>
      </c>
      <c r="S10" s="5"/>
      <c r="T10" s="5"/>
      <c r="U10" s="5">
        <v>3</v>
      </c>
      <c r="V10" s="5"/>
      <c r="W10" s="5"/>
      <c r="X10" s="5"/>
      <c r="Y10" s="5">
        <v>3</v>
      </c>
      <c r="Z10" s="5">
        <v>1</v>
      </c>
      <c r="AA10" s="5"/>
      <c r="AB10" s="5">
        <v>1</v>
      </c>
      <c r="AC10" s="5"/>
      <c r="AD10" s="5"/>
      <c r="AE10" s="5"/>
      <c r="AF10" s="5"/>
      <c r="AG10" s="5"/>
      <c r="AH10" s="11">
        <v>2</v>
      </c>
      <c r="AI10" s="12"/>
      <c r="AJ10" s="5"/>
      <c r="AK10" s="5"/>
      <c r="AL10" s="5"/>
      <c r="AM10" s="5"/>
      <c r="AN10" s="30">
        <v>3.6</v>
      </c>
      <c r="AO10" s="30">
        <v>3.6</v>
      </c>
      <c r="AP10" s="30">
        <v>3.1</v>
      </c>
      <c r="AQ10" s="30"/>
      <c r="AR10" s="30">
        <v>3</v>
      </c>
      <c r="AS10" s="30"/>
      <c r="AT10" s="30"/>
      <c r="AU10" s="30"/>
      <c r="AV10" s="30">
        <v>3.4</v>
      </c>
      <c r="AW10" s="30"/>
      <c r="AX10" s="30"/>
      <c r="AY10" s="30"/>
      <c r="AZ10" s="30"/>
      <c r="BA10" s="30"/>
      <c r="BB10" s="30">
        <v>3.3</v>
      </c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</row>
    <row r="11" spans="1:71" ht="30" customHeight="1" x14ac:dyDescent="0.25">
      <c r="A11" s="50" t="s">
        <v>78</v>
      </c>
      <c r="B11" s="51" t="s">
        <v>47</v>
      </c>
      <c r="C11" s="9" t="s">
        <v>64</v>
      </c>
      <c r="D11" s="17" t="s">
        <v>41</v>
      </c>
      <c r="E11" s="17" t="s">
        <v>166</v>
      </c>
      <c r="F11" s="17" t="s">
        <v>162</v>
      </c>
      <c r="G11" s="17"/>
      <c r="H11" s="12">
        <v>2</v>
      </c>
      <c r="I11" s="5">
        <v>2</v>
      </c>
      <c r="J11" s="11">
        <v>2</v>
      </c>
      <c r="K11" s="12"/>
      <c r="L11" s="5">
        <v>2</v>
      </c>
      <c r="M11" s="5"/>
      <c r="N11" s="5">
        <v>2</v>
      </c>
      <c r="O11" s="5"/>
      <c r="P11" s="5">
        <v>2</v>
      </c>
      <c r="Q11" s="5"/>
      <c r="R11" s="5"/>
      <c r="S11" s="5"/>
      <c r="T11" s="5">
        <v>2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1">
        <v>1</v>
      </c>
      <c r="AI11" s="12"/>
      <c r="AJ11" s="5"/>
      <c r="AK11" s="5"/>
      <c r="AL11" s="5"/>
      <c r="AM11" s="5"/>
      <c r="AN11" s="30">
        <v>3.5</v>
      </c>
      <c r="AO11" s="30">
        <v>3.5</v>
      </c>
      <c r="AP11" s="30">
        <v>2.6</v>
      </c>
      <c r="AQ11" s="30"/>
      <c r="AR11" s="30">
        <v>2.2999999999999998</v>
      </c>
      <c r="AS11" s="30"/>
      <c r="AT11" s="30"/>
      <c r="AU11" s="30"/>
      <c r="AV11" s="30">
        <v>3.2</v>
      </c>
      <c r="AW11" s="30"/>
      <c r="AX11" s="30"/>
      <c r="AY11" s="30"/>
      <c r="AZ11" s="30"/>
      <c r="BA11" s="30"/>
      <c r="BB11" s="30">
        <v>3.1</v>
      </c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</row>
    <row r="12" spans="1:71" ht="30" customHeight="1" x14ac:dyDescent="0.25">
      <c r="A12" s="50" t="s">
        <v>79</v>
      </c>
      <c r="B12" s="51" t="s">
        <v>58</v>
      </c>
      <c r="C12" s="9" t="s">
        <v>64</v>
      </c>
      <c r="D12" s="17" t="s">
        <v>65</v>
      </c>
      <c r="E12" s="17" t="s">
        <v>165</v>
      </c>
      <c r="F12" s="17" t="s">
        <v>162</v>
      </c>
      <c r="G12" s="17"/>
      <c r="H12" s="12">
        <v>2</v>
      </c>
      <c r="I12" s="5">
        <v>2</v>
      </c>
      <c r="J12" s="11">
        <v>2</v>
      </c>
      <c r="K12" s="12"/>
      <c r="L12" s="5">
        <v>2</v>
      </c>
      <c r="M12" s="5"/>
      <c r="N12" s="5"/>
      <c r="O12" s="5"/>
      <c r="P12" s="5">
        <v>2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</v>
      </c>
      <c r="AB12" s="5">
        <v>1</v>
      </c>
      <c r="AC12" s="5"/>
      <c r="AD12" s="5"/>
      <c r="AE12" s="5">
        <v>1</v>
      </c>
      <c r="AF12" s="5"/>
      <c r="AG12" s="5"/>
      <c r="AH12" s="11">
        <v>2</v>
      </c>
      <c r="AI12" s="12"/>
      <c r="AJ12" s="5"/>
      <c r="AK12" s="5"/>
      <c r="AL12" s="5"/>
      <c r="AM12" s="5"/>
      <c r="AN12" s="30">
        <v>4</v>
      </c>
      <c r="AO12" s="30">
        <v>4</v>
      </c>
      <c r="AP12" s="30"/>
      <c r="AQ12" s="30"/>
      <c r="AR12" s="30"/>
      <c r="AS12" s="30"/>
      <c r="AT12" s="30"/>
      <c r="AU12" s="30"/>
      <c r="AV12" s="30">
        <v>3.4</v>
      </c>
      <c r="AW12" s="30"/>
      <c r="AX12" s="30"/>
      <c r="AY12" s="30">
        <v>3.2</v>
      </c>
      <c r="AZ12" s="30"/>
      <c r="BA12" s="30"/>
      <c r="BB12" s="30"/>
      <c r="BC12" s="30"/>
      <c r="BD12" s="30"/>
      <c r="BE12" s="30"/>
      <c r="BF12" s="30"/>
      <c r="BG12" s="30">
        <v>3</v>
      </c>
      <c r="BH12" s="30"/>
      <c r="BI12" s="30"/>
      <c r="BJ12" s="30"/>
      <c r="BK12" s="30"/>
      <c r="BL12" s="30">
        <v>2.8</v>
      </c>
      <c r="BM12" s="30"/>
      <c r="BN12" s="30"/>
      <c r="BO12" s="30"/>
      <c r="BP12" s="30"/>
      <c r="BQ12" s="30"/>
      <c r="BR12" s="30"/>
      <c r="BS12" s="30"/>
    </row>
    <row r="13" spans="1:71" s="24" customFormat="1" ht="30" customHeight="1" x14ac:dyDescent="0.25">
      <c r="A13" s="67" t="s">
        <v>80</v>
      </c>
      <c r="B13" s="68" t="s">
        <v>57</v>
      </c>
      <c r="C13" s="69" t="s">
        <v>64</v>
      </c>
      <c r="D13" s="21" t="s">
        <v>67</v>
      </c>
      <c r="E13" s="21"/>
      <c r="F13" s="21" t="s">
        <v>162</v>
      </c>
      <c r="G13" s="21"/>
      <c r="H13" s="70">
        <v>2</v>
      </c>
      <c r="I13" s="71">
        <v>2</v>
      </c>
      <c r="J13" s="72">
        <v>2</v>
      </c>
      <c r="K13" s="70"/>
      <c r="L13" s="71">
        <v>2</v>
      </c>
      <c r="M13" s="71">
        <v>2</v>
      </c>
      <c r="N13" s="71"/>
      <c r="O13" s="71"/>
      <c r="P13" s="71">
        <v>3</v>
      </c>
      <c r="Q13" s="71"/>
      <c r="R13" s="71"/>
      <c r="S13" s="71"/>
      <c r="T13" s="71"/>
      <c r="U13" s="71"/>
      <c r="V13" s="71">
        <v>2</v>
      </c>
      <c r="W13" s="71"/>
      <c r="X13" s="71"/>
      <c r="Y13" s="71"/>
      <c r="Z13" s="71"/>
      <c r="AA13" s="71"/>
      <c r="AB13" s="71"/>
      <c r="AC13" s="71">
        <v>2</v>
      </c>
      <c r="AD13" s="71"/>
      <c r="AE13" s="71"/>
      <c r="AF13" s="71"/>
      <c r="AG13" s="71"/>
      <c r="AH13" s="72">
        <v>2</v>
      </c>
      <c r="AI13" s="70"/>
      <c r="AJ13" s="71"/>
      <c r="AK13" s="71"/>
      <c r="AL13" s="71"/>
      <c r="AM13" s="71"/>
      <c r="AN13" s="30">
        <v>3.8</v>
      </c>
      <c r="AO13" s="30">
        <v>3.5</v>
      </c>
      <c r="AP13" s="30">
        <v>3.8</v>
      </c>
      <c r="AQ13" s="30"/>
      <c r="AR13" s="30">
        <v>3.3</v>
      </c>
      <c r="AS13" s="30"/>
      <c r="AT13" s="30"/>
      <c r="AU13" s="30"/>
      <c r="AV13" s="30">
        <v>3.3</v>
      </c>
      <c r="AW13" s="30"/>
      <c r="AX13" s="30"/>
      <c r="AY13" s="30"/>
      <c r="AZ13" s="30"/>
      <c r="BA13" s="30"/>
      <c r="BB13" s="30">
        <v>3.5</v>
      </c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>
        <v>3.8</v>
      </c>
      <c r="BO13" s="30"/>
      <c r="BP13" s="30"/>
      <c r="BQ13" s="30"/>
      <c r="BR13" s="30"/>
      <c r="BS13" s="30"/>
    </row>
    <row r="14" spans="1:71" ht="30" customHeight="1" x14ac:dyDescent="0.25">
      <c r="A14" s="50" t="s">
        <v>81</v>
      </c>
      <c r="B14" s="51" t="s">
        <v>56</v>
      </c>
      <c r="C14" s="9" t="s">
        <v>64</v>
      </c>
      <c r="D14" s="17" t="s">
        <v>66</v>
      </c>
      <c r="E14" s="17" t="s">
        <v>163</v>
      </c>
      <c r="F14" s="17" t="s">
        <v>162</v>
      </c>
      <c r="G14" s="17"/>
      <c r="H14" s="12">
        <v>2</v>
      </c>
      <c r="I14" s="5">
        <v>2</v>
      </c>
      <c r="J14" s="11">
        <v>2</v>
      </c>
      <c r="K14" s="12">
        <v>2</v>
      </c>
      <c r="L14" s="5">
        <v>2</v>
      </c>
      <c r="M14" s="5"/>
      <c r="N14" s="5">
        <v>2</v>
      </c>
      <c r="O14" s="5"/>
      <c r="P14" s="5">
        <v>2</v>
      </c>
      <c r="Q14" s="5"/>
      <c r="R14" s="5"/>
      <c r="S14" s="5"/>
      <c r="T14" s="5">
        <v>2</v>
      </c>
      <c r="U14" s="5"/>
      <c r="V14" s="5"/>
      <c r="W14" s="5"/>
      <c r="X14" s="5"/>
      <c r="Y14" s="5"/>
      <c r="Z14" s="5"/>
      <c r="AA14" s="5">
        <v>1</v>
      </c>
      <c r="AB14" s="5"/>
      <c r="AC14" s="5"/>
      <c r="AD14" s="5"/>
      <c r="AE14" s="5"/>
      <c r="AF14" s="5"/>
      <c r="AG14" s="5"/>
      <c r="AH14" s="11">
        <v>1</v>
      </c>
      <c r="AI14" s="12"/>
      <c r="AJ14" s="5"/>
      <c r="AK14" s="5"/>
      <c r="AL14" s="5"/>
      <c r="AM14" s="5"/>
      <c r="AN14" s="30">
        <v>3.3</v>
      </c>
      <c r="AO14" s="30">
        <v>3.3</v>
      </c>
      <c r="AP14" s="30">
        <v>3.1</v>
      </c>
      <c r="AQ14" s="30"/>
      <c r="AR14" s="30">
        <v>3.2</v>
      </c>
      <c r="AS14" s="30"/>
      <c r="AT14" s="30"/>
      <c r="AU14" s="30"/>
      <c r="AV14" s="30">
        <v>3.7</v>
      </c>
      <c r="AW14" s="30"/>
      <c r="AX14" s="30"/>
      <c r="AY14" s="30">
        <v>3.1</v>
      </c>
      <c r="AZ14" s="30"/>
      <c r="BA14" s="30"/>
      <c r="BB14" s="30"/>
      <c r="BC14" s="30"/>
      <c r="BD14" s="30"/>
      <c r="BE14" s="30"/>
      <c r="BF14" s="30"/>
      <c r="BG14" s="30">
        <v>2.8</v>
      </c>
      <c r="BH14" s="30"/>
      <c r="BI14" s="30"/>
      <c r="BJ14" s="30"/>
      <c r="BK14" s="30"/>
      <c r="BL14" s="30">
        <v>1.6</v>
      </c>
      <c r="BM14" s="30"/>
      <c r="BN14" s="30"/>
      <c r="BO14" s="30"/>
      <c r="BP14" s="30"/>
      <c r="BQ14" s="30"/>
      <c r="BR14" s="30"/>
      <c r="BS14" s="30"/>
    </row>
    <row r="15" spans="1:71" s="64" customFormat="1" ht="30" customHeight="1" x14ac:dyDescent="0.25">
      <c r="A15" s="54" t="s">
        <v>82</v>
      </c>
      <c r="B15" s="55" t="s">
        <v>51</v>
      </c>
      <c r="C15" s="56" t="s">
        <v>64</v>
      </c>
      <c r="D15" s="57" t="s">
        <v>66</v>
      </c>
      <c r="E15" s="57" t="s">
        <v>161</v>
      </c>
      <c r="F15" s="57" t="s">
        <v>162</v>
      </c>
      <c r="G15" s="57"/>
      <c r="H15" s="58">
        <v>2</v>
      </c>
      <c r="I15" s="62">
        <v>2</v>
      </c>
      <c r="J15" s="65">
        <v>2</v>
      </c>
      <c r="K15" s="58"/>
      <c r="L15" s="62">
        <v>2</v>
      </c>
      <c r="M15" s="62"/>
      <c r="N15" s="62"/>
      <c r="O15" s="62"/>
      <c r="P15" s="62">
        <v>3</v>
      </c>
      <c r="Q15" s="62"/>
      <c r="R15" s="62">
        <v>2</v>
      </c>
      <c r="S15" s="62"/>
      <c r="T15" s="62"/>
      <c r="U15" s="62">
        <v>2</v>
      </c>
      <c r="V15" s="62">
        <v>2</v>
      </c>
      <c r="W15" s="62"/>
      <c r="X15" s="62"/>
      <c r="Y15" s="62">
        <v>2</v>
      </c>
      <c r="Z15" s="62">
        <v>2</v>
      </c>
      <c r="AA15" s="62"/>
      <c r="AB15" s="62"/>
      <c r="AC15" s="62"/>
      <c r="AD15" s="62"/>
      <c r="AE15" s="62"/>
      <c r="AF15" s="62"/>
      <c r="AG15" s="62"/>
      <c r="AH15" s="65">
        <v>1</v>
      </c>
      <c r="AI15" s="58"/>
      <c r="AJ15" s="62"/>
      <c r="AK15" s="62"/>
      <c r="AL15" s="62"/>
      <c r="AM15" s="62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</row>
    <row r="16" spans="1:71" ht="30" customHeight="1" x14ac:dyDescent="0.25">
      <c r="A16" s="50" t="s">
        <v>83</v>
      </c>
      <c r="B16" s="51" t="s">
        <v>45</v>
      </c>
      <c r="C16" s="9" t="s">
        <v>64</v>
      </c>
      <c r="D16" s="17" t="s">
        <v>41</v>
      </c>
      <c r="E16" s="17" t="s">
        <v>167</v>
      </c>
      <c r="F16" s="17" t="s">
        <v>162</v>
      </c>
      <c r="G16" s="17"/>
      <c r="H16" s="12">
        <v>2</v>
      </c>
      <c r="I16" s="5">
        <v>2</v>
      </c>
      <c r="J16" s="11">
        <v>2</v>
      </c>
      <c r="K16" s="12"/>
      <c r="L16" s="5">
        <v>2</v>
      </c>
      <c r="M16" s="5"/>
      <c r="N16" s="5"/>
      <c r="O16" s="5"/>
      <c r="P16" s="5">
        <v>3</v>
      </c>
      <c r="Q16" s="5"/>
      <c r="R16" s="5"/>
      <c r="S16" s="5"/>
      <c r="T16" s="5"/>
      <c r="U16" s="5"/>
      <c r="V16" s="5">
        <v>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11">
        <v>2</v>
      </c>
      <c r="AI16" s="12"/>
      <c r="AJ16" s="5"/>
      <c r="AK16" s="5"/>
      <c r="AL16" s="5"/>
      <c r="AM16" s="5"/>
      <c r="AN16" s="30">
        <v>3.7</v>
      </c>
      <c r="AO16" s="30">
        <v>4</v>
      </c>
      <c r="AP16" s="30">
        <v>4</v>
      </c>
      <c r="AQ16" s="30"/>
      <c r="AR16" s="30">
        <v>4</v>
      </c>
      <c r="AS16" s="30"/>
      <c r="AT16" s="30"/>
      <c r="AU16" s="30"/>
      <c r="AV16" s="30">
        <v>4</v>
      </c>
      <c r="AW16" s="30"/>
      <c r="AX16" s="30"/>
      <c r="AY16" s="30"/>
      <c r="AZ16" s="30"/>
      <c r="BA16" s="30"/>
      <c r="BB16" s="30">
        <v>3.9</v>
      </c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</row>
    <row r="17" spans="1:71" ht="29.25" customHeight="1" x14ac:dyDescent="0.25">
      <c r="A17" s="50" t="s">
        <v>84</v>
      </c>
      <c r="B17" s="51" t="s">
        <v>50</v>
      </c>
      <c r="C17" s="9" t="s">
        <v>64</v>
      </c>
      <c r="D17" s="17" t="s">
        <v>67</v>
      </c>
      <c r="E17" s="17"/>
      <c r="F17" s="17" t="s">
        <v>162</v>
      </c>
      <c r="G17" s="17"/>
      <c r="H17" s="12">
        <v>2</v>
      </c>
      <c r="I17" s="5">
        <v>2</v>
      </c>
      <c r="J17" s="11">
        <v>2</v>
      </c>
      <c r="K17" s="12"/>
      <c r="L17" s="5">
        <v>2</v>
      </c>
      <c r="M17" s="5"/>
      <c r="N17" s="5"/>
      <c r="O17" s="5"/>
      <c r="P17" s="5">
        <v>3</v>
      </c>
      <c r="Q17" s="5"/>
      <c r="R17" s="5"/>
      <c r="S17" s="5"/>
      <c r="T17" s="5"/>
      <c r="U17" s="5"/>
      <c r="V17" s="5">
        <v>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1">
        <v>2</v>
      </c>
      <c r="AI17" s="12"/>
      <c r="AJ17" s="5"/>
      <c r="AK17" s="5"/>
      <c r="AL17" s="5"/>
      <c r="AM17" s="5"/>
      <c r="AN17" s="30">
        <v>3.8</v>
      </c>
      <c r="AO17" s="30">
        <v>3.6</v>
      </c>
      <c r="AP17" s="30">
        <v>3.6</v>
      </c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</row>
    <row r="18" spans="1:71" ht="30" customHeight="1" x14ac:dyDescent="0.25">
      <c r="A18" s="50" t="s">
        <v>85</v>
      </c>
      <c r="B18" s="51" t="s">
        <v>61</v>
      </c>
      <c r="C18" s="9" t="s">
        <v>64</v>
      </c>
      <c r="D18" s="17" t="s">
        <v>65</v>
      </c>
      <c r="E18" s="17" t="s">
        <v>165</v>
      </c>
      <c r="F18" s="17" t="s">
        <v>162</v>
      </c>
      <c r="G18" s="17"/>
      <c r="H18" s="12">
        <v>2</v>
      </c>
      <c r="I18" s="5">
        <v>2</v>
      </c>
      <c r="J18" s="11">
        <v>2</v>
      </c>
      <c r="K18" s="12">
        <v>2</v>
      </c>
      <c r="L18" s="5">
        <v>2</v>
      </c>
      <c r="M18" s="5"/>
      <c r="N18" s="5">
        <v>1</v>
      </c>
      <c r="O18" s="5"/>
      <c r="P18" s="5">
        <v>2</v>
      </c>
      <c r="Q18" s="5"/>
      <c r="R18" s="5"/>
      <c r="S18" s="5"/>
      <c r="T18" s="5">
        <v>2</v>
      </c>
      <c r="U18" s="5"/>
      <c r="V18" s="5"/>
      <c r="W18" s="5"/>
      <c r="X18" s="5"/>
      <c r="Y18" s="5"/>
      <c r="Z18" s="5"/>
      <c r="AA18" s="5">
        <v>1</v>
      </c>
      <c r="AB18" s="5"/>
      <c r="AC18" s="5"/>
      <c r="AD18" s="5"/>
      <c r="AE18" s="5"/>
      <c r="AF18" s="5"/>
      <c r="AG18" s="5"/>
      <c r="AH18" s="11">
        <v>1</v>
      </c>
      <c r="AI18" s="12"/>
      <c r="AJ18" s="5"/>
      <c r="AK18" s="5"/>
      <c r="AL18" s="5"/>
      <c r="AM18" s="5"/>
      <c r="AN18" s="30">
        <v>3.5</v>
      </c>
      <c r="AO18" s="30">
        <v>4</v>
      </c>
      <c r="AP18" s="30">
        <v>2.9</v>
      </c>
      <c r="AQ18" s="30"/>
      <c r="AR18" s="30">
        <v>3</v>
      </c>
      <c r="AS18" s="30"/>
      <c r="AT18" s="30"/>
      <c r="AU18" s="30"/>
      <c r="AV18" s="30">
        <v>3.3</v>
      </c>
      <c r="AW18" s="30"/>
      <c r="AX18" s="30"/>
      <c r="AY18" s="30">
        <v>2.5</v>
      </c>
      <c r="AZ18" s="30"/>
      <c r="BA18" s="30"/>
      <c r="BB18" s="30">
        <v>2.7</v>
      </c>
      <c r="BC18" s="30"/>
      <c r="BD18" s="30"/>
      <c r="BE18" s="30"/>
      <c r="BF18" s="30"/>
      <c r="BG18" s="30"/>
      <c r="BH18" s="30"/>
      <c r="BI18" s="30"/>
      <c r="BJ18" s="30"/>
      <c r="BK18" s="30"/>
      <c r="BL18" s="30">
        <v>2.6</v>
      </c>
      <c r="BM18" s="30"/>
      <c r="BN18" s="30"/>
      <c r="BO18" s="30"/>
      <c r="BP18" s="30"/>
      <c r="BQ18" s="30"/>
      <c r="BR18" s="30"/>
      <c r="BS18" s="30"/>
    </row>
    <row r="19" spans="1:71" ht="30" customHeight="1" x14ac:dyDescent="0.25">
      <c r="A19" s="53" t="s">
        <v>86</v>
      </c>
      <c r="B19" s="51" t="s">
        <v>58</v>
      </c>
      <c r="C19" s="9" t="s">
        <v>64</v>
      </c>
      <c r="D19" s="17" t="s">
        <v>65</v>
      </c>
      <c r="E19" s="17" t="s">
        <v>168</v>
      </c>
      <c r="F19" s="17" t="s">
        <v>162</v>
      </c>
      <c r="G19" s="17"/>
      <c r="H19" s="12">
        <v>2</v>
      </c>
      <c r="I19" s="7">
        <v>2</v>
      </c>
      <c r="J19" s="13">
        <v>2</v>
      </c>
      <c r="K19" s="14"/>
      <c r="L19" s="7">
        <v>2</v>
      </c>
      <c r="M19" s="7"/>
      <c r="N19" s="7">
        <v>2</v>
      </c>
      <c r="O19" s="7"/>
      <c r="P19" s="7">
        <v>2</v>
      </c>
      <c r="Q19" s="7"/>
      <c r="R19" s="7"/>
      <c r="S19" s="7"/>
      <c r="T19" s="7">
        <v>2</v>
      </c>
      <c r="U19" s="7"/>
      <c r="V19" s="7"/>
      <c r="W19" s="7"/>
      <c r="X19" s="7"/>
      <c r="Y19" s="7"/>
      <c r="Z19" s="7"/>
      <c r="AA19" s="7">
        <v>1</v>
      </c>
      <c r="AB19" s="7"/>
      <c r="AC19" s="7"/>
      <c r="AD19" s="7"/>
      <c r="AE19" s="7"/>
      <c r="AF19" s="7"/>
      <c r="AG19" s="7"/>
      <c r="AH19" s="11">
        <v>1</v>
      </c>
      <c r="AI19" s="12"/>
      <c r="AJ19" s="5"/>
      <c r="AK19" s="5"/>
      <c r="AL19" s="5"/>
      <c r="AM19" s="5"/>
      <c r="AN19" s="30">
        <v>3.6</v>
      </c>
      <c r="AO19" s="30">
        <v>3.7</v>
      </c>
      <c r="AP19" s="30">
        <v>3.1</v>
      </c>
      <c r="AQ19" s="30"/>
      <c r="AR19" s="30">
        <v>3.1</v>
      </c>
      <c r="AS19" s="30"/>
      <c r="AT19" s="30"/>
      <c r="AU19" s="30"/>
      <c r="AV19" s="30">
        <v>3.7</v>
      </c>
      <c r="AW19" s="30"/>
      <c r="AX19" s="30"/>
      <c r="AY19" s="30">
        <v>3.5</v>
      </c>
      <c r="AZ19" s="30"/>
      <c r="BA19" s="30"/>
      <c r="BB19" s="30">
        <v>3.3</v>
      </c>
      <c r="BC19" s="30"/>
      <c r="BD19" s="30"/>
      <c r="BE19" s="30"/>
      <c r="BF19" s="30"/>
      <c r="BG19" s="30"/>
      <c r="BH19" s="30"/>
      <c r="BI19" s="30"/>
      <c r="BJ19" s="30"/>
      <c r="BK19" s="30"/>
      <c r="BL19" s="30">
        <v>3.8</v>
      </c>
      <c r="BM19" s="30"/>
      <c r="BN19" s="30"/>
      <c r="BO19" s="30"/>
      <c r="BP19" s="30"/>
      <c r="BQ19" s="30"/>
      <c r="BR19" s="30"/>
      <c r="BS19" s="30"/>
    </row>
    <row r="20" spans="1:71" ht="30" customHeight="1" x14ac:dyDescent="0.25">
      <c r="A20" s="50" t="s">
        <v>87</v>
      </c>
      <c r="B20" s="51" t="s">
        <v>53</v>
      </c>
      <c r="C20" s="9" t="s">
        <v>64</v>
      </c>
      <c r="D20" s="17" t="s">
        <v>65</v>
      </c>
      <c r="E20" s="17" t="s">
        <v>165</v>
      </c>
      <c r="F20" s="17" t="s">
        <v>162</v>
      </c>
      <c r="G20" s="17"/>
      <c r="H20" s="12">
        <v>2</v>
      </c>
      <c r="I20" s="7">
        <v>2</v>
      </c>
      <c r="J20" s="13">
        <v>2</v>
      </c>
      <c r="K20" s="14">
        <v>1</v>
      </c>
      <c r="L20" s="7">
        <v>2</v>
      </c>
      <c r="M20" s="7"/>
      <c r="N20" s="7"/>
      <c r="O20" s="7"/>
      <c r="P20" s="7">
        <v>2</v>
      </c>
      <c r="Q20" s="7"/>
      <c r="R20" s="7"/>
      <c r="S20" s="7"/>
      <c r="T20" s="7">
        <v>1</v>
      </c>
      <c r="U20" s="7"/>
      <c r="V20" s="7"/>
      <c r="W20" s="7"/>
      <c r="X20" s="7"/>
      <c r="Y20" s="7"/>
      <c r="Z20" s="7"/>
      <c r="AA20" s="7">
        <v>1</v>
      </c>
      <c r="AB20" s="7"/>
      <c r="AC20" s="7"/>
      <c r="AD20" s="7"/>
      <c r="AE20" s="7"/>
      <c r="AF20" s="7"/>
      <c r="AG20" s="7"/>
      <c r="AH20" s="11">
        <v>1</v>
      </c>
      <c r="AI20" s="12"/>
      <c r="AJ20" s="5"/>
      <c r="AK20" s="5"/>
      <c r="AL20" s="5"/>
      <c r="AM20" s="5"/>
      <c r="AN20" s="30">
        <v>4</v>
      </c>
      <c r="AO20" s="30">
        <v>4</v>
      </c>
      <c r="AP20" s="30">
        <v>3</v>
      </c>
      <c r="AQ20" s="30"/>
      <c r="AR20" s="30">
        <v>3.7</v>
      </c>
      <c r="AS20" s="30"/>
      <c r="AT20" s="30"/>
      <c r="AU20" s="30"/>
      <c r="AV20" s="30">
        <v>3.8</v>
      </c>
      <c r="AW20" s="30"/>
      <c r="AX20" s="30"/>
      <c r="AY20" s="30">
        <v>3.4</v>
      </c>
      <c r="AZ20" s="30"/>
      <c r="BA20" s="30"/>
      <c r="BB20" s="30"/>
      <c r="BC20" s="30"/>
      <c r="BD20" s="30"/>
      <c r="BE20" s="30"/>
      <c r="BF20" s="30"/>
      <c r="BG20" s="30">
        <v>4</v>
      </c>
      <c r="BH20" s="30"/>
      <c r="BI20" s="30"/>
      <c r="BJ20" s="30"/>
      <c r="BK20" s="30"/>
      <c r="BL20" s="30"/>
      <c r="BM20" s="30"/>
      <c r="BN20" s="30">
        <v>3.9</v>
      </c>
      <c r="BO20" s="30"/>
      <c r="BP20" s="30"/>
      <c r="BQ20" s="30"/>
      <c r="BR20" s="30"/>
      <c r="BS20" s="30"/>
    </row>
    <row r="21" spans="1:71" ht="30" customHeight="1" x14ac:dyDescent="0.25">
      <c r="A21" s="52" t="s">
        <v>88</v>
      </c>
      <c r="B21" s="51" t="s">
        <v>59</v>
      </c>
      <c r="C21" s="9" t="s">
        <v>64</v>
      </c>
      <c r="D21" s="17" t="s">
        <v>66</v>
      </c>
      <c r="E21" s="17" t="s">
        <v>169</v>
      </c>
      <c r="F21" s="17" t="s">
        <v>162</v>
      </c>
      <c r="G21" s="17"/>
      <c r="H21" s="12">
        <v>2</v>
      </c>
      <c r="I21" s="7">
        <v>2</v>
      </c>
      <c r="J21" s="13">
        <v>2</v>
      </c>
      <c r="K21" s="14"/>
      <c r="L21" s="7">
        <v>1</v>
      </c>
      <c r="M21" s="7"/>
      <c r="N21" s="7"/>
      <c r="O21" s="7"/>
      <c r="P21" s="7">
        <v>2</v>
      </c>
      <c r="Q21" s="7"/>
      <c r="R21" s="7"/>
      <c r="S21" s="7"/>
      <c r="T21" s="7"/>
      <c r="U21" s="7"/>
      <c r="V21" s="7">
        <v>2</v>
      </c>
      <c r="W21" s="7"/>
      <c r="X21" s="7"/>
      <c r="Y21" s="7"/>
      <c r="Z21" s="7"/>
      <c r="AA21" s="7"/>
      <c r="AB21" s="7"/>
      <c r="AC21" s="7">
        <v>1</v>
      </c>
      <c r="AD21" s="7"/>
      <c r="AE21" s="7"/>
      <c r="AF21" s="7"/>
      <c r="AG21" s="7"/>
      <c r="AH21" s="11">
        <v>1</v>
      </c>
      <c r="AI21" s="12"/>
      <c r="AJ21" s="5"/>
      <c r="AK21" s="5"/>
      <c r="AL21" s="5"/>
      <c r="AM21" s="5"/>
      <c r="AN21" s="30">
        <v>3.7</v>
      </c>
      <c r="AO21" s="30">
        <v>4</v>
      </c>
      <c r="AP21" s="30">
        <v>4</v>
      </c>
      <c r="AQ21" s="30"/>
      <c r="AR21" s="30">
        <v>3.6</v>
      </c>
      <c r="AS21" s="30"/>
      <c r="AT21" s="30"/>
      <c r="AU21" s="30"/>
      <c r="AV21" s="30">
        <v>4</v>
      </c>
      <c r="AW21" s="30"/>
      <c r="AX21" s="30"/>
      <c r="AY21" s="30"/>
      <c r="AZ21" s="30"/>
      <c r="BA21" s="30"/>
      <c r="BB21" s="30">
        <v>3.8</v>
      </c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>
        <v>3.4</v>
      </c>
      <c r="BO21" s="30"/>
      <c r="BP21" s="30"/>
      <c r="BQ21" s="30"/>
      <c r="BR21" s="30"/>
      <c r="BS21" s="30"/>
    </row>
    <row r="22" spans="1:71" ht="30" customHeight="1" x14ac:dyDescent="0.25">
      <c r="A22" s="50" t="s">
        <v>89</v>
      </c>
      <c r="B22" s="51" t="s">
        <v>50</v>
      </c>
      <c r="C22" s="9" t="s">
        <v>64</v>
      </c>
      <c r="D22" s="17" t="s">
        <v>65</v>
      </c>
      <c r="E22" s="17" t="s">
        <v>165</v>
      </c>
      <c r="F22" s="17" t="s">
        <v>162</v>
      </c>
      <c r="G22" s="17"/>
      <c r="H22" s="12">
        <v>2</v>
      </c>
      <c r="I22" s="5">
        <v>1</v>
      </c>
      <c r="J22" s="11">
        <v>2</v>
      </c>
      <c r="K22" s="12"/>
      <c r="L22" s="5">
        <v>1</v>
      </c>
      <c r="M22" s="5"/>
      <c r="N22" s="5"/>
      <c r="O22" s="5"/>
      <c r="P22" s="5">
        <v>3</v>
      </c>
      <c r="Q22" s="5"/>
      <c r="R22" s="5"/>
      <c r="S22" s="5"/>
      <c r="T22" s="5"/>
      <c r="U22" s="5"/>
      <c r="V22" s="5">
        <v>2</v>
      </c>
      <c r="W22" s="5"/>
      <c r="X22" s="5">
        <v>2</v>
      </c>
      <c r="Y22" s="5"/>
      <c r="Z22" s="5"/>
      <c r="AA22" s="5"/>
      <c r="AB22" s="5"/>
      <c r="AC22" s="5"/>
      <c r="AD22" s="5"/>
      <c r="AE22" s="5"/>
      <c r="AF22" s="5"/>
      <c r="AG22" s="5"/>
      <c r="AH22" s="11"/>
      <c r="AI22" s="12"/>
      <c r="AJ22" s="5"/>
      <c r="AK22" s="5"/>
      <c r="AL22" s="5"/>
      <c r="AM22" s="5"/>
      <c r="AN22" s="30">
        <v>3.6</v>
      </c>
      <c r="AO22" s="30">
        <v>3.6</v>
      </c>
      <c r="AP22" s="30">
        <v>3.1</v>
      </c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</row>
    <row r="23" spans="1:71" ht="30" customHeight="1" x14ac:dyDescent="0.25">
      <c r="A23" s="50" t="s">
        <v>90</v>
      </c>
      <c r="B23" s="51" t="s">
        <v>91</v>
      </c>
      <c r="C23" s="9" t="s">
        <v>64</v>
      </c>
      <c r="D23" s="17" t="s">
        <v>43</v>
      </c>
      <c r="E23" s="17"/>
      <c r="F23" s="17" t="s">
        <v>162</v>
      </c>
      <c r="G23" s="17"/>
      <c r="H23" s="12">
        <v>2</v>
      </c>
      <c r="I23" s="5">
        <v>1</v>
      </c>
      <c r="J23" s="11">
        <v>2</v>
      </c>
      <c r="K23" s="12"/>
      <c r="L23" s="5">
        <v>1</v>
      </c>
      <c r="M23" s="5"/>
      <c r="N23" s="5"/>
      <c r="O23" s="5"/>
      <c r="P23" s="5">
        <v>3</v>
      </c>
      <c r="Q23" s="5"/>
      <c r="R23" s="5"/>
      <c r="S23" s="5"/>
      <c r="T23" s="5"/>
      <c r="U23" s="5"/>
      <c r="V23" s="5">
        <v>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1">
        <v>1</v>
      </c>
      <c r="AI23" s="12"/>
      <c r="AJ23" s="5"/>
      <c r="AK23" s="5"/>
      <c r="AL23" s="5"/>
      <c r="AM23" s="5"/>
      <c r="AN23" s="30">
        <v>3.9</v>
      </c>
      <c r="AO23" s="30">
        <v>4</v>
      </c>
      <c r="AP23" s="30">
        <v>3.4</v>
      </c>
      <c r="AQ23" s="30"/>
      <c r="AR23" s="30">
        <v>4</v>
      </c>
      <c r="AS23" s="30"/>
      <c r="AT23" s="30"/>
      <c r="AU23" s="30"/>
      <c r="AV23" s="30">
        <v>3.8</v>
      </c>
      <c r="AW23" s="30"/>
      <c r="AX23" s="30">
        <v>3.8</v>
      </c>
      <c r="AY23" s="30"/>
      <c r="AZ23" s="30"/>
      <c r="BA23" s="30"/>
      <c r="BB23" s="30">
        <v>3.8</v>
      </c>
      <c r="BC23" s="30"/>
      <c r="BD23" s="30"/>
      <c r="BE23" s="30"/>
      <c r="BF23" s="30">
        <v>3.9</v>
      </c>
      <c r="BG23" s="30"/>
      <c r="BH23" s="30"/>
      <c r="BI23" s="30"/>
      <c r="BJ23" s="30"/>
      <c r="BK23" s="30"/>
      <c r="BL23" s="30"/>
      <c r="BM23" s="30"/>
      <c r="BN23" s="30">
        <v>3.9</v>
      </c>
      <c r="BO23" s="30"/>
      <c r="BP23" s="30"/>
      <c r="BQ23" s="30"/>
      <c r="BR23" s="30"/>
      <c r="BS23" s="30"/>
    </row>
    <row r="24" spans="1:71" ht="30" customHeight="1" x14ac:dyDescent="0.25">
      <c r="A24" s="50" t="s">
        <v>92</v>
      </c>
      <c r="B24" s="51" t="s">
        <v>93</v>
      </c>
      <c r="C24" s="9" t="s">
        <v>64</v>
      </c>
      <c r="D24" s="17" t="s">
        <v>41</v>
      </c>
      <c r="E24" s="17" t="s">
        <v>167</v>
      </c>
      <c r="F24" s="17" t="s">
        <v>162</v>
      </c>
      <c r="G24" s="17"/>
      <c r="H24" s="12">
        <v>2</v>
      </c>
      <c r="I24" s="7">
        <v>1</v>
      </c>
      <c r="J24" s="13">
        <v>2</v>
      </c>
      <c r="K24" s="12">
        <v>1</v>
      </c>
      <c r="L24" s="7">
        <v>1</v>
      </c>
      <c r="M24" s="7"/>
      <c r="N24" s="5">
        <v>1</v>
      </c>
      <c r="O24" s="7"/>
      <c r="P24" s="5">
        <v>1</v>
      </c>
      <c r="Q24" s="7"/>
      <c r="R24" s="7"/>
      <c r="S24" s="7"/>
      <c r="T24" s="7">
        <v>1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11">
        <v>1</v>
      </c>
      <c r="AI24" s="12"/>
      <c r="AJ24" s="5"/>
      <c r="AK24" s="5"/>
      <c r="AL24" s="5"/>
      <c r="AM24" s="5"/>
      <c r="AN24" s="30">
        <v>4</v>
      </c>
      <c r="AO24" s="30">
        <v>4</v>
      </c>
      <c r="AP24" s="30">
        <v>3.7</v>
      </c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</row>
    <row r="25" spans="1:71" ht="30" customHeight="1" x14ac:dyDescent="0.25">
      <c r="A25" s="50" t="s">
        <v>94</v>
      </c>
      <c r="B25" s="51" t="s">
        <v>50</v>
      </c>
      <c r="C25" s="9" t="s">
        <v>64</v>
      </c>
      <c r="D25" s="17" t="s">
        <v>65</v>
      </c>
      <c r="E25" s="17" t="s">
        <v>165</v>
      </c>
      <c r="F25" s="17" t="s">
        <v>162</v>
      </c>
      <c r="G25" s="17"/>
      <c r="H25" s="12">
        <v>1</v>
      </c>
      <c r="I25" s="7">
        <v>1</v>
      </c>
      <c r="J25" s="13">
        <v>1</v>
      </c>
      <c r="K25" s="14">
        <v>1</v>
      </c>
      <c r="L25" s="7">
        <v>1</v>
      </c>
      <c r="M25" s="5"/>
      <c r="N25" s="5"/>
      <c r="O25" s="5"/>
      <c r="P25" s="7">
        <v>1</v>
      </c>
      <c r="Q25" s="5"/>
      <c r="R25" s="5"/>
      <c r="S25" s="5"/>
      <c r="T25" s="7">
        <v>1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11">
        <v>1</v>
      </c>
      <c r="AI25" s="12"/>
      <c r="AJ25" s="5"/>
      <c r="AK25" s="5"/>
      <c r="AL25" s="5"/>
      <c r="AM25" s="5"/>
      <c r="AN25" s="30">
        <v>3.6</v>
      </c>
      <c r="AO25" s="30">
        <v>3.9</v>
      </c>
      <c r="AP25" s="30">
        <v>2.8</v>
      </c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</row>
    <row r="26" spans="1:71" ht="30" customHeight="1" x14ac:dyDescent="0.25">
      <c r="A26" s="50" t="s">
        <v>95</v>
      </c>
      <c r="B26" s="51" t="s">
        <v>50</v>
      </c>
      <c r="C26" s="9" t="s">
        <v>64</v>
      </c>
      <c r="D26" s="17" t="s">
        <v>41</v>
      </c>
      <c r="E26" s="17" t="s">
        <v>167</v>
      </c>
      <c r="F26" s="17" t="s">
        <v>162</v>
      </c>
      <c r="G26" s="17"/>
      <c r="H26" s="12">
        <v>1</v>
      </c>
      <c r="I26" s="5">
        <v>1</v>
      </c>
      <c r="J26" s="11">
        <v>1</v>
      </c>
      <c r="K26" s="12"/>
      <c r="L26" s="5">
        <v>1</v>
      </c>
      <c r="M26" s="5"/>
      <c r="N26" s="5"/>
      <c r="O26" s="5"/>
      <c r="P26" s="5">
        <v>1</v>
      </c>
      <c r="Q26" s="5"/>
      <c r="R26" s="5"/>
      <c r="S26" s="5"/>
      <c r="T26" s="5"/>
      <c r="U26" s="5"/>
      <c r="V26" s="5">
        <v>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11">
        <v>1</v>
      </c>
      <c r="AI26" s="12"/>
      <c r="AJ26" s="5"/>
      <c r="AK26" s="5"/>
      <c r="AL26" s="5"/>
      <c r="AM26" s="5"/>
      <c r="AN26" s="30">
        <v>3.5</v>
      </c>
      <c r="AO26" s="30">
        <v>3</v>
      </c>
      <c r="AP26" s="30">
        <v>2.6</v>
      </c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</row>
    <row r="27" spans="1:71" ht="30" customHeight="1" x14ac:dyDescent="0.25">
      <c r="A27" s="53" t="s">
        <v>96</v>
      </c>
      <c r="B27" s="51" t="s">
        <v>52</v>
      </c>
      <c r="C27" s="9" t="s">
        <v>64</v>
      </c>
      <c r="D27" s="17" t="s">
        <v>65</v>
      </c>
      <c r="E27" s="17" t="s">
        <v>165</v>
      </c>
      <c r="F27" s="17" t="s">
        <v>162</v>
      </c>
      <c r="G27" s="17"/>
      <c r="H27" s="12">
        <v>1</v>
      </c>
      <c r="I27" s="5">
        <v>1</v>
      </c>
      <c r="J27" s="11">
        <v>1</v>
      </c>
      <c r="K27" s="12"/>
      <c r="L27" s="5">
        <v>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1"/>
      <c r="AI27" s="12"/>
      <c r="AJ27" s="5"/>
      <c r="AK27" s="5"/>
      <c r="AL27" s="5"/>
      <c r="AM27" s="5"/>
      <c r="AN27" s="30">
        <v>3.9</v>
      </c>
      <c r="AO27" s="30">
        <v>4</v>
      </c>
      <c r="AP27" s="30">
        <v>3.1</v>
      </c>
      <c r="AQ27" s="30"/>
      <c r="AR27" s="30">
        <v>3.7</v>
      </c>
      <c r="AS27" s="30"/>
      <c r="AT27" s="30"/>
      <c r="AU27" s="30"/>
      <c r="AV27" s="30">
        <v>4</v>
      </c>
      <c r="AW27" s="30"/>
      <c r="AX27" s="30"/>
      <c r="AY27" s="30">
        <v>4</v>
      </c>
      <c r="AZ27" s="30"/>
      <c r="BA27" s="30"/>
      <c r="BB27" s="30"/>
      <c r="BC27" s="30"/>
      <c r="BD27" s="30"/>
      <c r="BE27" s="30"/>
      <c r="BF27" s="30"/>
      <c r="BG27" s="30">
        <v>4</v>
      </c>
      <c r="BH27" s="30">
        <v>3.7</v>
      </c>
      <c r="BI27" s="30"/>
      <c r="BJ27" s="30"/>
      <c r="BK27" s="30"/>
      <c r="BL27" s="30"/>
      <c r="BM27" s="30"/>
      <c r="BN27" s="30">
        <v>4</v>
      </c>
      <c r="BO27" s="30"/>
      <c r="BP27" s="30"/>
      <c r="BQ27" s="30"/>
      <c r="BR27" s="30"/>
      <c r="BS27" s="30"/>
    </row>
    <row r="28" spans="1:71" s="64" customFormat="1" ht="30" customHeight="1" x14ac:dyDescent="0.25">
      <c r="A28" s="73" t="s">
        <v>97</v>
      </c>
      <c r="B28" s="55" t="s">
        <v>59</v>
      </c>
      <c r="C28" s="56" t="s">
        <v>64</v>
      </c>
      <c r="D28" s="57" t="s">
        <v>66</v>
      </c>
      <c r="E28" s="57" t="s">
        <v>169</v>
      </c>
      <c r="F28" s="57" t="s">
        <v>162</v>
      </c>
      <c r="G28" s="57"/>
      <c r="H28" s="58">
        <v>1</v>
      </c>
      <c r="I28" s="62">
        <v>1</v>
      </c>
      <c r="J28" s="65">
        <v>1</v>
      </c>
      <c r="K28" s="58"/>
      <c r="L28" s="62">
        <v>1</v>
      </c>
      <c r="M28" s="62"/>
      <c r="N28" s="62"/>
      <c r="O28" s="62"/>
      <c r="P28" s="62"/>
      <c r="Q28" s="62">
        <v>1</v>
      </c>
      <c r="R28" s="62"/>
      <c r="S28" s="62"/>
      <c r="T28" s="62"/>
      <c r="U28" s="62"/>
      <c r="V28" s="62">
        <v>1</v>
      </c>
      <c r="W28" s="62"/>
      <c r="X28" s="62"/>
      <c r="Y28" s="62"/>
      <c r="Z28" s="62"/>
      <c r="AA28" s="62">
        <v>1</v>
      </c>
      <c r="AB28" s="62"/>
      <c r="AC28" s="62"/>
      <c r="AD28" s="62"/>
      <c r="AE28" s="62">
        <v>1</v>
      </c>
      <c r="AF28" s="62"/>
      <c r="AG28" s="62"/>
      <c r="AH28" s="65"/>
      <c r="AI28" s="58"/>
      <c r="AJ28" s="62"/>
      <c r="AK28" s="62"/>
      <c r="AL28" s="62"/>
      <c r="AM28" s="62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</row>
    <row r="29" spans="1:71" ht="30" customHeight="1" x14ac:dyDescent="0.25">
      <c r="A29" s="50" t="s">
        <v>98</v>
      </c>
      <c r="B29" s="51" t="s">
        <v>54</v>
      </c>
      <c r="C29" s="9" t="s">
        <v>64</v>
      </c>
      <c r="D29" s="17" t="s">
        <v>65</v>
      </c>
      <c r="E29" s="17" t="s">
        <v>165</v>
      </c>
      <c r="F29" s="17" t="s">
        <v>162</v>
      </c>
      <c r="G29" s="17"/>
      <c r="H29" s="12">
        <v>1</v>
      </c>
      <c r="I29" s="5">
        <v>1</v>
      </c>
      <c r="J29" s="11">
        <v>2</v>
      </c>
      <c r="K29" s="12"/>
      <c r="L29" s="5">
        <v>1</v>
      </c>
      <c r="M29" s="5"/>
      <c r="N29" s="5"/>
      <c r="O29" s="5"/>
      <c r="P29" s="5">
        <v>2</v>
      </c>
      <c r="Q29" s="5"/>
      <c r="R29" s="5"/>
      <c r="S29" s="5"/>
      <c r="T29" s="5"/>
      <c r="U29" s="5"/>
      <c r="V29" s="5">
        <v>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1">
        <v>1</v>
      </c>
      <c r="AI29" s="12"/>
      <c r="AJ29" s="5"/>
      <c r="AK29" s="5"/>
      <c r="AL29" s="5"/>
      <c r="AM29" s="5"/>
      <c r="AN29" s="30">
        <v>3.8</v>
      </c>
      <c r="AO29" s="30">
        <v>3.9</v>
      </c>
      <c r="AP29" s="30">
        <v>3.3</v>
      </c>
      <c r="AQ29" s="30"/>
      <c r="AR29" s="30">
        <v>3.5</v>
      </c>
      <c r="AS29" s="30"/>
      <c r="AT29" s="30"/>
      <c r="AU29" s="30"/>
      <c r="AV29" s="30">
        <v>4</v>
      </c>
      <c r="AW29" s="30"/>
      <c r="AX29" s="30"/>
      <c r="AY29" s="30"/>
      <c r="AZ29" s="30"/>
      <c r="BA29" s="30"/>
      <c r="BB29" s="30">
        <v>3.7</v>
      </c>
      <c r="BC29" s="30"/>
      <c r="BD29" s="30"/>
      <c r="BE29" s="30"/>
      <c r="BF29" s="30"/>
      <c r="BG29" s="30">
        <v>3.8</v>
      </c>
      <c r="BH29" s="30"/>
      <c r="BI29" s="30"/>
      <c r="BJ29" s="30"/>
      <c r="BK29" s="30"/>
      <c r="BL29" s="30">
        <v>3.1</v>
      </c>
      <c r="BM29" s="30"/>
      <c r="BN29" s="30">
        <v>3.5</v>
      </c>
      <c r="BO29" s="30"/>
      <c r="BP29" s="30"/>
      <c r="BQ29" s="30"/>
      <c r="BR29" s="30"/>
      <c r="BS29" s="30"/>
    </row>
    <row r="30" spans="1:71" s="64" customFormat="1" ht="30" customHeight="1" x14ac:dyDescent="0.25">
      <c r="A30" s="54" t="s">
        <v>99</v>
      </c>
      <c r="B30" s="55" t="s">
        <v>51</v>
      </c>
      <c r="C30" s="56" t="s">
        <v>64</v>
      </c>
      <c r="D30" s="57" t="s">
        <v>66</v>
      </c>
      <c r="E30" s="57" t="s">
        <v>161</v>
      </c>
      <c r="F30" s="57" t="s">
        <v>162</v>
      </c>
      <c r="G30" s="57"/>
      <c r="H30" s="58">
        <v>1</v>
      </c>
      <c r="I30" s="59">
        <v>1</v>
      </c>
      <c r="J30" s="60">
        <v>1</v>
      </c>
      <c r="K30" s="61">
        <v>1</v>
      </c>
      <c r="L30" s="59">
        <v>1</v>
      </c>
      <c r="M30" s="59"/>
      <c r="N30" s="59"/>
      <c r="O30" s="59"/>
      <c r="P30" s="59">
        <v>1</v>
      </c>
      <c r="Q30" s="59"/>
      <c r="R30" s="59"/>
      <c r="S30" s="59"/>
      <c r="T30" s="59">
        <v>1</v>
      </c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65">
        <v>1</v>
      </c>
      <c r="AI30" s="58"/>
      <c r="AJ30" s="62"/>
      <c r="AK30" s="62"/>
      <c r="AL30" s="62"/>
      <c r="AM30" s="62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</row>
    <row r="31" spans="1:71" s="64" customFormat="1" ht="30" customHeight="1" x14ac:dyDescent="0.25">
      <c r="A31" s="54" t="s">
        <v>100</v>
      </c>
      <c r="B31" s="55" t="s">
        <v>47</v>
      </c>
      <c r="C31" s="56" t="s">
        <v>64</v>
      </c>
      <c r="D31" s="57" t="s">
        <v>41</v>
      </c>
      <c r="E31" s="57"/>
      <c r="F31" s="57" t="s">
        <v>162</v>
      </c>
      <c r="G31" s="57"/>
      <c r="H31" s="58">
        <v>1</v>
      </c>
      <c r="I31" s="62">
        <v>1</v>
      </c>
      <c r="J31" s="65">
        <v>1</v>
      </c>
      <c r="K31" s="58"/>
      <c r="L31" s="62">
        <v>1</v>
      </c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5"/>
      <c r="AI31" s="58"/>
      <c r="AJ31" s="62"/>
      <c r="AK31" s="62"/>
      <c r="AL31" s="62"/>
      <c r="AM31" s="62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</row>
    <row r="32" spans="1:71" ht="30" customHeight="1" x14ac:dyDescent="0.25">
      <c r="A32" s="52" t="s">
        <v>101</v>
      </c>
      <c r="B32" s="51" t="s">
        <v>57</v>
      </c>
      <c r="C32" s="9" t="s">
        <v>64</v>
      </c>
      <c r="D32" s="17" t="s">
        <v>66</v>
      </c>
      <c r="E32" s="17" t="s">
        <v>169</v>
      </c>
      <c r="F32" s="17" t="s">
        <v>162</v>
      </c>
      <c r="G32" s="17"/>
      <c r="H32" s="12">
        <v>1</v>
      </c>
      <c r="I32" s="5">
        <v>1</v>
      </c>
      <c r="J32" s="11">
        <v>1</v>
      </c>
      <c r="K32" s="12"/>
      <c r="L32" s="5">
        <v>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11"/>
      <c r="AI32" s="12"/>
      <c r="AJ32" s="5"/>
      <c r="AK32" s="5"/>
      <c r="AL32" s="5"/>
      <c r="AM32" s="5"/>
      <c r="AN32" s="30">
        <v>3.8</v>
      </c>
      <c r="AO32" s="30">
        <v>4</v>
      </c>
      <c r="AP32" s="30">
        <v>3.8</v>
      </c>
      <c r="AQ32" s="30"/>
      <c r="AR32" s="30">
        <v>3.2</v>
      </c>
      <c r="AS32" s="30"/>
      <c r="AT32" s="30"/>
      <c r="AU32" s="30"/>
      <c r="AV32" s="30">
        <v>3.6</v>
      </c>
      <c r="AW32" s="30"/>
      <c r="AX32" s="30"/>
      <c r="AY32" s="30"/>
      <c r="AZ32" s="30"/>
      <c r="BA32" s="30"/>
      <c r="BB32" s="30">
        <v>3.6</v>
      </c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>
        <v>4</v>
      </c>
      <c r="BO32" s="30"/>
      <c r="BP32" s="30"/>
      <c r="BQ32" s="30"/>
      <c r="BR32" s="30"/>
      <c r="BS32" s="30"/>
    </row>
    <row r="33" spans="1:71" ht="30" customHeight="1" x14ac:dyDescent="0.25">
      <c r="A33" s="50" t="s">
        <v>102</v>
      </c>
      <c r="B33" s="51" t="s">
        <v>57</v>
      </c>
      <c r="C33" s="9" t="s">
        <v>64</v>
      </c>
      <c r="D33" s="17" t="s">
        <v>66</v>
      </c>
      <c r="E33" s="17" t="s">
        <v>169</v>
      </c>
      <c r="F33" s="17" t="s">
        <v>162</v>
      </c>
      <c r="G33" s="17"/>
      <c r="H33" s="12">
        <v>1</v>
      </c>
      <c r="I33" s="5">
        <v>1</v>
      </c>
      <c r="J33" s="11">
        <v>1</v>
      </c>
      <c r="K33" s="12"/>
      <c r="L33" s="5">
        <v>1</v>
      </c>
      <c r="M33" s="5"/>
      <c r="N33" s="5"/>
      <c r="O33" s="5"/>
      <c r="P33" s="5">
        <v>1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</v>
      </c>
      <c r="AD33" s="5"/>
      <c r="AE33" s="5"/>
      <c r="AF33" s="5"/>
      <c r="AG33" s="5"/>
      <c r="AH33" s="11"/>
      <c r="AI33" s="12"/>
      <c r="AJ33" s="5"/>
      <c r="AK33" s="5"/>
      <c r="AL33" s="5"/>
      <c r="AM33" s="5"/>
      <c r="AN33" s="30">
        <v>3.1</v>
      </c>
      <c r="AO33" s="30">
        <v>3.1</v>
      </c>
      <c r="AP33" s="30">
        <v>3.4</v>
      </c>
      <c r="AQ33" s="30"/>
      <c r="AR33" s="30">
        <v>3.2</v>
      </c>
      <c r="AS33" s="30"/>
      <c r="AT33" s="30"/>
      <c r="AU33" s="30"/>
      <c r="AV33" s="30">
        <v>3</v>
      </c>
      <c r="AW33" s="30"/>
      <c r="AX33" s="30"/>
      <c r="AY33" s="30"/>
      <c r="AZ33" s="30"/>
      <c r="BA33" s="30"/>
      <c r="BB33" s="30">
        <v>3.3</v>
      </c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>
        <v>3.3</v>
      </c>
      <c r="BO33" s="30"/>
      <c r="BP33" s="30"/>
      <c r="BQ33" s="30"/>
      <c r="BR33" s="30"/>
      <c r="BS33" s="30"/>
    </row>
    <row r="34" spans="1:71" s="83" customFormat="1" ht="30" customHeight="1" x14ac:dyDescent="0.25">
      <c r="A34" s="74" t="s">
        <v>103</v>
      </c>
      <c r="B34" s="75" t="s">
        <v>47</v>
      </c>
      <c r="C34" s="76" t="s">
        <v>64</v>
      </c>
      <c r="D34" s="77" t="s">
        <v>65</v>
      </c>
      <c r="E34" s="77" t="s">
        <v>168</v>
      </c>
      <c r="F34" s="77" t="s">
        <v>162</v>
      </c>
      <c r="G34" s="77"/>
      <c r="H34" s="78">
        <v>1</v>
      </c>
      <c r="I34" s="79">
        <v>1</v>
      </c>
      <c r="J34" s="80">
        <v>1</v>
      </c>
      <c r="K34" s="78"/>
      <c r="L34" s="79">
        <v>1</v>
      </c>
      <c r="M34" s="79"/>
      <c r="N34" s="79"/>
      <c r="O34" s="79"/>
      <c r="P34" s="79">
        <v>1</v>
      </c>
      <c r="Q34" s="79"/>
      <c r="R34" s="79"/>
      <c r="S34" s="79"/>
      <c r="T34" s="79"/>
      <c r="U34" s="79"/>
      <c r="V34" s="79">
        <v>1</v>
      </c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81">
        <v>1</v>
      </c>
      <c r="AI34" s="78"/>
      <c r="AJ34" s="79"/>
      <c r="AK34" s="79"/>
      <c r="AL34" s="79"/>
      <c r="AM34" s="79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</row>
    <row r="35" spans="1:71" ht="30" customHeight="1" x14ac:dyDescent="0.25">
      <c r="A35" s="50" t="s">
        <v>104</v>
      </c>
      <c r="B35" s="51" t="s">
        <v>61</v>
      </c>
      <c r="C35" s="9" t="s">
        <v>64</v>
      </c>
      <c r="D35" s="17" t="s">
        <v>65</v>
      </c>
      <c r="E35" s="17" t="s">
        <v>165</v>
      </c>
      <c r="F35" s="17" t="s">
        <v>162</v>
      </c>
      <c r="G35" s="17"/>
      <c r="H35" s="12">
        <v>1</v>
      </c>
      <c r="I35" s="7">
        <v>1</v>
      </c>
      <c r="J35" s="13">
        <v>1</v>
      </c>
      <c r="K35" s="14"/>
      <c r="L35" s="7">
        <v>1</v>
      </c>
      <c r="M35" s="7"/>
      <c r="N35" s="7"/>
      <c r="O35" s="7"/>
      <c r="P35" s="7">
        <v>1</v>
      </c>
      <c r="Q35" s="7"/>
      <c r="R35" s="7"/>
      <c r="S35" s="7"/>
      <c r="T35" s="7"/>
      <c r="U35" s="7"/>
      <c r="V35" s="7">
        <v>1</v>
      </c>
      <c r="W35" s="7"/>
      <c r="X35" s="7"/>
      <c r="Y35" s="7"/>
      <c r="Z35" s="7"/>
      <c r="AA35" s="5">
        <v>1</v>
      </c>
      <c r="AB35" s="7"/>
      <c r="AC35" s="7"/>
      <c r="AD35" s="7"/>
      <c r="AE35" s="7"/>
      <c r="AF35" s="7"/>
      <c r="AG35" s="7">
        <v>2</v>
      </c>
      <c r="AH35" s="15"/>
      <c r="AI35" s="12"/>
      <c r="AJ35" s="5"/>
      <c r="AK35" s="5"/>
      <c r="AL35" s="5"/>
      <c r="AM35" s="5"/>
      <c r="AN35" s="30">
        <v>4</v>
      </c>
      <c r="AO35" s="30">
        <v>4</v>
      </c>
      <c r="AP35" s="30"/>
      <c r="AQ35" s="30"/>
      <c r="AR35" s="30">
        <v>3.4</v>
      </c>
      <c r="AS35" s="30"/>
      <c r="AT35" s="30"/>
      <c r="AU35" s="30"/>
      <c r="AV35" s="30">
        <v>3.8</v>
      </c>
      <c r="AW35" s="30"/>
      <c r="AX35" s="30"/>
      <c r="AY35" s="30">
        <v>4</v>
      </c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</row>
    <row r="36" spans="1:71" ht="30" customHeight="1" x14ac:dyDescent="0.25">
      <c r="A36" s="50" t="s">
        <v>105</v>
      </c>
      <c r="B36" s="51" t="s">
        <v>50</v>
      </c>
      <c r="C36" s="9" t="s">
        <v>64</v>
      </c>
      <c r="D36" s="17" t="s">
        <v>41</v>
      </c>
      <c r="E36" s="17" t="s">
        <v>167</v>
      </c>
      <c r="F36" s="17" t="s">
        <v>162</v>
      </c>
      <c r="G36" s="17"/>
      <c r="H36" s="14">
        <v>1</v>
      </c>
      <c r="I36" s="5">
        <v>1</v>
      </c>
      <c r="J36" s="11">
        <v>1</v>
      </c>
      <c r="K36" s="12"/>
      <c r="L36" s="5">
        <v>1</v>
      </c>
      <c r="M36" s="5"/>
      <c r="N36" s="5"/>
      <c r="O36" s="5"/>
      <c r="P36" s="5">
        <v>1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11">
        <v>1</v>
      </c>
      <c r="AI36" s="12"/>
      <c r="AJ36" s="5"/>
      <c r="AK36" s="5"/>
      <c r="AL36" s="5"/>
      <c r="AM36" s="5"/>
      <c r="AN36" s="30">
        <v>4</v>
      </c>
      <c r="AO36" s="30">
        <v>3.7</v>
      </c>
      <c r="AP36" s="30">
        <v>3</v>
      </c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</row>
    <row r="37" spans="1:71" ht="30" customHeight="1" x14ac:dyDescent="0.25">
      <c r="A37" s="50" t="s">
        <v>106</v>
      </c>
      <c r="B37" s="51" t="s">
        <v>53</v>
      </c>
      <c r="C37" s="9" t="s">
        <v>64</v>
      </c>
      <c r="D37" s="17" t="s">
        <v>67</v>
      </c>
      <c r="E37" s="17"/>
      <c r="F37" s="17" t="s">
        <v>162</v>
      </c>
      <c r="G37" s="17"/>
      <c r="H37" s="12">
        <v>1</v>
      </c>
      <c r="I37" s="5">
        <v>1</v>
      </c>
      <c r="J37" s="11">
        <v>1</v>
      </c>
      <c r="K37" s="12"/>
      <c r="L37" s="5">
        <v>1</v>
      </c>
      <c r="M37" s="5"/>
      <c r="N37" s="5"/>
      <c r="O37" s="5"/>
      <c r="P37" s="5">
        <v>1</v>
      </c>
      <c r="Q37" s="5"/>
      <c r="R37" s="5"/>
      <c r="S37" s="5"/>
      <c r="T37" s="5"/>
      <c r="U37" s="5"/>
      <c r="V37" s="5">
        <v>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11">
        <v>1</v>
      </c>
      <c r="AI37" s="12"/>
      <c r="AJ37" s="5"/>
      <c r="AK37" s="5"/>
      <c r="AL37" s="5"/>
      <c r="AM37" s="5"/>
      <c r="AN37" s="30">
        <v>3.7</v>
      </c>
      <c r="AO37" s="30">
        <v>3.8</v>
      </c>
      <c r="AP37" s="30">
        <v>3.7</v>
      </c>
      <c r="AQ37" s="30"/>
      <c r="AR37" s="30">
        <v>3.6</v>
      </c>
      <c r="AS37" s="30"/>
      <c r="AT37" s="30"/>
      <c r="AU37" s="30"/>
      <c r="AV37" s="30">
        <v>3.8</v>
      </c>
      <c r="AW37" s="30"/>
      <c r="AX37" s="30"/>
      <c r="AY37" s="30">
        <v>3.9</v>
      </c>
      <c r="AZ37" s="30"/>
      <c r="BA37" s="30"/>
      <c r="BB37" s="30"/>
      <c r="BC37" s="30"/>
      <c r="BD37" s="30"/>
      <c r="BE37" s="30"/>
      <c r="BF37" s="30"/>
      <c r="BG37" s="30">
        <v>3.7</v>
      </c>
      <c r="BH37" s="30"/>
      <c r="BI37" s="30"/>
      <c r="BJ37" s="30"/>
      <c r="BK37" s="30"/>
      <c r="BL37" s="30">
        <v>3.4</v>
      </c>
      <c r="BM37" s="30"/>
      <c r="BN37" s="30">
        <v>3.4</v>
      </c>
      <c r="BO37" s="30"/>
      <c r="BP37" s="30"/>
      <c r="BQ37" s="30"/>
      <c r="BR37" s="30"/>
      <c r="BS37" s="30"/>
    </row>
    <row r="38" spans="1:71" s="64" customFormat="1" ht="30" customHeight="1" x14ac:dyDescent="0.25">
      <c r="A38" s="66" t="s">
        <v>107</v>
      </c>
      <c r="B38" s="55" t="s">
        <v>55</v>
      </c>
      <c r="C38" s="56" t="s">
        <v>64</v>
      </c>
      <c r="D38" s="57" t="s">
        <v>67</v>
      </c>
      <c r="E38" s="57"/>
      <c r="F38" s="57" t="s">
        <v>162</v>
      </c>
      <c r="G38" s="57"/>
      <c r="H38" s="58">
        <v>1</v>
      </c>
      <c r="I38" s="62">
        <v>1</v>
      </c>
      <c r="J38" s="65">
        <v>1</v>
      </c>
      <c r="K38" s="58"/>
      <c r="L38" s="62">
        <v>1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5"/>
      <c r="AI38" s="58"/>
      <c r="AJ38" s="62"/>
      <c r="AK38" s="62"/>
      <c r="AL38" s="62"/>
      <c r="AM38" s="62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</row>
    <row r="39" spans="1:71" ht="30" customHeight="1" x14ac:dyDescent="0.25">
      <c r="A39" s="53" t="s">
        <v>108</v>
      </c>
      <c r="B39" s="51" t="s">
        <v>58</v>
      </c>
      <c r="C39" s="9" t="s">
        <v>64</v>
      </c>
      <c r="D39" s="17" t="s">
        <v>65</v>
      </c>
      <c r="E39" s="17" t="s">
        <v>168</v>
      </c>
      <c r="F39" s="17" t="s">
        <v>162</v>
      </c>
      <c r="G39" s="17"/>
      <c r="H39" s="12">
        <v>1</v>
      </c>
      <c r="I39" s="5">
        <v>1</v>
      </c>
      <c r="J39" s="11">
        <v>1</v>
      </c>
      <c r="K39" s="12"/>
      <c r="L39" s="5">
        <v>1</v>
      </c>
      <c r="M39" s="5"/>
      <c r="N39" s="5"/>
      <c r="O39" s="5"/>
      <c r="P39" s="5">
        <v>1</v>
      </c>
      <c r="Q39" s="5"/>
      <c r="R39" s="5"/>
      <c r="S39" s="5"/>
      <c r="T39" s="5"/>
      <c r="U39" s="5"/>
      <c r="V39" s="5">
        <v>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11"/>
      <c r="AI39" s="12"/>
      <c r="AJ39" s="5"/>
      <c r="AK39" s="5"/>
      <c r="AL39" s="5"/>
      <c r="AM39" s="5"/>
      <c r="AN39" s="30">
        <v>3.6</v>
      </c>
      <c r="AO39" s="30">
        <v>3.1</v>
      </c>
      <c r="AP39" s="30">
        <v>2.8</v>
      </c>
      <c r="AQ39" s="30"/>
      <c r="AR39" s="30">
        <v>4</v>
      </c>
      <c r="AS39" s="30"/>
      <c r="AT39" s="30"/>
      <c r="AU39" s="30"/>
      <c r="AV39" s="30">
        <v>3.8</v>
      </c>
      <c r="AW39" s="30"/>
      <c r="AX39" s="30"/>
      <c r="AY39" s="30">
        <v>1</v>
      </c>
      <c r="AZ39" s="30"/>
      <c r="BA39" s="30"/>
      <c r="BB39" s="30"/>
      <c r="BC39" s="30"/>
      <c r="BD39" s="30"/>
      <c r="BE39" s="30"/>
      <c r="BF39" s="30"/>
      <c r="BG39" s="30">
        <v>3.3</v>
      </c>
      <c r="BH39" s="30"/>
      <c r="BI39" s="30"/>
      <c r="BJ39" s="30"/>
      <c r="BK39" s="30"/>
      <c r="BL39" s="30">
        <v>4</v>
      </c>
      <c r="BM39" s="30"/>
      <c r="BN39" s="30"/>
      <c r="BO39" s="30"/>
      <c r="BP39" s="30"/>
      <c r="BQ39" s="30"/>
      <c r="BR39" s="30"/>
      <c r="BS39" s="30"/>
    </row>
    <row r="40" spans="1:71" ht="30" customHeight="1" x14ac:dyDescent="0.25">
      <c r="A40" s="53" t="s">
        <v>109</v>
      </c>
      <c r="B40" s="51" t="s">
        <v>58</v>
      </c>
      <c r="C40" s="9" t="s">
        <v>64</v>
      </c>
      <c r="D40" s="17" t="s">
        <v>65</v>
      </c>
      <c r="E40" s="17" t="s">
        <v>168</v>
      </c>
      <c r="F40" s="17" t="s">
        <v>162</v>
      </c>
      <c r="G40" s="17"/>
      <c r="H40" s="12">
        <v>1</v>
      </c>
      <c r="I40" s="5">
        <v>1</v>
      </c>
      <c r="J40" s="11">
        <v>1</v>
      </c>
      <c r="K40" s="12"/>
      <c r="L40" s="5">
        <v>1</v>
      </c>
      <c r="M40" s="5"/>
      <c r="N40" s="5"/>
      <c r="O40" s="5"/>
      <c r="P40" s="5">
        <v>1</v>
      </c>
      <c r="Q40" s="5"/>
      <c r="R40" s="5"/>
      <c r="S40" s="5"/>
      <c r="T40" s="5"/>
      <c r="U40" s="5"/>
      <c r="V40" s="5">
        <v>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11"/>
      <c r="AI40" s="12"/>
      <c r="AJ40" s="5"/>
      <c r="AK40" s="5"/>
      <c r="AL40" s="5"/>
      <c r="AM40" s="5"/>
      <c r="AN40" s="30">
        <v>3.7</v>
      </c>
      <c r="AO40" s="30">
        <v>3.7</v>
      </c>
      <c r="AP40" s="30">
        <v>3.6</v>
      </c>
      <c r="AQ40" s="30"/>
      <c r="AR40" s="30">
        <v>3.8</v>
      </c>
      <c r="AS40" s="30"/>
      <c r="AT40" s="30"/>
      <c r="AU40" s="30"/>
      <c r="AV40" s="30">
        <v>3.8</v>
      </c>
      <c r="AW40" s="30"/>
      <c r="AX40" s="30"/>
      <c r="AY40" s="30">
        <v>4</v>
      </c>
      <c r="AZ40" s="30"/>
      <c r="BA40" s="30"/>
      <c r="BB40" s="30"/>
      <c r="BC40" s="30"/>
      <c r="BD40" s="30"/>
      <c r="BE40" s="30"/>
      <c r="BF40" s="30"/>
      <c r="BG40" s="30">
        <v>3.6</v>
      </c>
      <c r="BH40" s="30"/>
      <c r="BI40" s="30"/>
      <c r="BJ40" s="30"/>
      <c r="BK40" s="30"/>
      <c r="BL40" s="30">
        <v>4</v>
      </c>
      <c r="BM40" s="30"/>
      <c r="BN40" s="30"/>
      <c r="BO40" s="30"/>
      <c r="BP40" s="30"/>
      <c r="BQ40" s="30"/>
      <c r="BR40" s="30"/>
      <c r="BS40" s="30"/>
    </row>
    <row r="41" spans="1:71" ht="30" customHeight="1" x14ac:dyDescent="0.25">
      <c r="A41" s="50" t="s">
        <v>110</v>
      </c>
      <c r="B41" s="51" t="s">
        <v>111</v>
      </c>
      <c r="C41" s="9" t="s">
        <v>64</v>
      </c>
      <c r="D41" s="17" t="s">
        <v>68</v>
      </c>
      <c r="E41" s="17" t="s">
        <v>170</v>
      </c>
      <c r="F41" s="17" t="s">
        <v>162</v>
      </c>
      <c r="G41" s="17"/>
      <c r="H41" s="12">
        <v>1</v>
      </c>
      <c r="I41" s="5">
        <v>1</v>
      </c>
      <c r="J41" s="11">
        <v>1</v>
      </c>
      <c r="K41" s="12"/>
      <c r="L41" s="5">
        <v>1</v>
      </c>
      <c r="M41" s="5"/>
      <c r="N41" s="5"/>
      <c r="O41" s="5"/>
      <c r="P41" s="5">
        <v>2</v>
      </c>
      <c r="Q41" s="5"/>
      <c r="R41" s="5"/>
      <c r="S41" s="5"/>
      <c r="T41" s="5"/>
      <c r="U41" s="5"/>
      <c r="V41" s="5">
        <v>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11">
        <v>1</v>
      </c>
      <c r="AI41" s="12"/>
      <c r="AJ41" s="5"/>
      <c r="AK41" s="5"/>
      <c r="AL41" s="5"/>
      <c r="AM41" s="5"/>
      <c r="AN41" s="30">
        <v>3.7</v>
      </c>
      <c r="AO41" s="30">
        <v>4</v>
      </c>
      <c r="AP41" s="30">
        <v>3.5</v>
      </c>
      <c r="AQ41" s="30"/>
      <c r="AR41" s="30">
        <v>4</v>
      </c>
      <c r="AS41" s="30"/>
      <c r="AT41" s="30"/>
      <c r="AU41" s="30"/>
      <c r="AV41" s="30">
        <v>3.9</v>
      </c>
      <c r="AW41" s="30"/>
      <c r="AX41" s="30"/>
      <c r="AY41" s="30"/>
      <c r="AZ41" s="30"/>
      <c r="BA41" s="30"/>
      <c r="BB41" s="30">
        <v>3.6</v>
      </c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>
        <v>3.9</v>
      </c>
      <c r="BO41" s="30"/>
      <c r="BP41" s="30"/>
      <c r="BQ41" s="30"/>
      <c r="BR41" s="30"/>
      <c r="BS41" s="30"/>
    </row>
    <row r="42" spans="1:71" ht="30" customHeight="1" x14ac:dyDescent="0.25">
      <c r="A42" s="53" t="s">
        <v>112</v>
      </c>
      <c r="B42" s="51" t="s">
        <v>58</v>
      </c>
      <c r="C42" s="9" t="s">
        <v>64</v>
      </c>
      <c r="D42" s="17" t="s">
        <v>65</v>
      </c>
      <c r="E42" s="17" t="s">
        <v>165</v>
      </c>
      <c r="F42" s="17" t="s">
        <v>162</v>
      </c>
      <c r="G42" s="17"/>
      <c r="H42" s="12">
        <v>1</v>
      </c>
      <c r="I42" s="5">
        <v>1</v>
      </c>
      <c r="J42" s="11">
        <v>1</v>
      </c>
      <c r="K42" s="12"/>
      <c r="L42" s="5">
        <v>1</v>
      </c>
      <c r="M42" s="5"/>
      <c r="N42" s="5"/>
      <c r="O42" s="5"/>
      <c r="P42" s="5">
        <v>1</v>
      </c>
      <c r="Q42" s="5"/>
      <c r="R42" s="5"/>
      <c r="S42" s="5"/>
      <c r="T42" s="5"/>
      <c r="U42" s="5"/>
      <c r="V42" s="5">
        <v>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11"/>
      <c r="AI42" s="12"/>
      <c r="AJ42" s="5"/>
      <c r="AK42" s="5"/>
      <c r="AL42" s="5"/>
      <c r="AM42" s="5"/>
      <c r="AN42" s="30">
        <v>3.6</v>
      </c>
      <c r="AO42" s="30">
        <v>4</v>
      </c>
      <c r="AP42" s="30"/>
      <c r="AQ42" s="30"/>
      <c r="AR42" s="30">
        <v>3.4</v>
      </c>
      <c r="AS42" s="30"/>
      <c r="AT42" s="30"/>
      <c r="AU42" s="30"/>
      <c r="AV42" s="30">
        <v>4</v>
      </c>
      <c r="AW42" s="30"/>
      <c r="AX42" s="30"/>
      <c r="AY42" s="30">
        <v>3.5</v>
      </c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</row>
    <row r="43" spans="1:71" ht="30" customHeight="1" x14ac:dyDescent="0.25">
      <c r="A43" s="50" t="s">
        <v>113</v>
      </c>
      <c r="B43" s="51" t="s">
        <v>114</v>
      </c>
      <c r="C43" s="9" t="s">
        <v>64</v>
      </c>
      <c r="D43" s="17" t="s">
        <v>68</v>
      </c>
      <c r="E43" s="17" t="s">
        <v>164</v>
      </c>
      <c r="F43" s="17" t="s">
        <v>162</v>
      </c>
      <c r="G43" s="17"/>
      <c r="H43" s="12">
        <v>1</v>
      </c>
      <c r="I43" s="5">
        <v>1</v>
      </c>
      <c r="J43" s="11">
        <v>1</v>
      </c>
      <c r="K43" s="12"/>
      <c r="L43" s="5">
        <v>1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11"/>
      <c r="AI43" s="12"/>
      <c r="AJ43" s="5"/>
      <c r="AK43" s="5"/>
      <c r="AL43" s="5"/>
      <c r="AM43" s="5"/>
      <c r="AN43" s="30">
        <v>3.8</v>
      </c>
      <c r="AO43" s="30">
        <v>3.7</v>
      </c>
      <c r="AP43" s="30">
        <v>3.6</v>
      </c>
      <c r="AQ43" s="30">
        <v>4</v>
      </c>
      <c r="AR43" s="30">
        <v>3.7</v>
      </c>
      <c r="AS43" s="30"/>
      <c r="AT43" s="30">
        <v>3.5</v>
      </c>
      <c r="AU43" s="30"/>
      <c r="AV43" s="30">
        <v>3.9</v>
      </c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>
        <v>3.6</v>
      </c>
      <c r="BO43" s="30"/>
      <c r="BP43" s="30"/>
      <c r="BQ43" s="30"/>
      <c r="BR43" s="30"/>
      <c r="BS43" s="30"/>
    </row>
    <row r="44" spans="1:71" ht="30" customHeight="1" x14ac:dyDescent="0.25">
      <c r="A44" s="52" t="s">
        <v>115</v>
      </c>
      <c r="B44" s="51" t="s">
        <v>116</v>
      </c>
      <c r="C44" s="9" t="s">
        <v>64</v>
      </c>
      <c r="D44" s="17" t="s">
        <v>67</v>
      </c>
      <c r="E44" s="17"/>
      <c r="F44" s="17" t="s">
        <v>162</v>
      </c>
      <c r="G44" s="17"/>
      <c r="H44" s="12">
        <v>1</v>
      </c>
      <c r="I44" s="7">
        <v>1</v>
      </c>
      <c r="J44" s="11">
        <v>1</v>
      </c>
      <c r="K44" s="12"/>
      <c r="L44" s="5">
        <v>1</v>
      </c>
      <c r="M44" s="5"/>
      <c r="N44" s="5"/>
      <c r="O44" s="5"/>
      <c r="P44" s="5">
        <v>1</v>
      </c>
      <c r="Q44" s="5"/>
      <c r="R44" s="5"/>
      <c r="S44" s="5"/>
      <c r="T44" s="5"/>
      <c r="U44" s="5"/>
      <c r="V44" s="5">
        <v>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11">
        <v>1</v>
      </c>
      <c r="AI44" s="12"/>
      <c r="AJ44" s="5"/>
      <c r="AK44" s="5"/>
      <c r="AL44" s="5"/>
      <c r="AM44" s="5"/>
      <c r="AN44" s="30">
        <v>3.7</v>
      </c>
      <c r="AO44" s="30">
        <v>3.7</v>
      </c>
      <c r="AP44" s="30">
        <v>3.8</v>
      </c>
      <c r="AQ44" s="30"/>
      <c r="AR44" s="30">
        <v>3.5</v>
      </c>
      <c r="AS44" s="30"/>
      <c r="AT44" s="30"/>
      <c r="AU44" s="30">
        <v>3.9</v>
      </c>
      <c r="AV44" s="30">
        <v>3.9</v>
      </c>
      <c r="AW44" s="30"/>
      <c r="AX44" s="30">
        <v>3.6</v>
      </c>
      <c r="AY44" s="30"/>
      <c r="AZ44" s="30"/>
      <c r="BA44" s="30"/>
      <c r="BB44" s="30"/>
      <c r="BC44" s="30"/>
      <c r="BD44" s="30"/>
      <c r="BE44" s="30">
        <v>3.5</v>
      </c>
      <c r="BF44" s="30">
        <v>3.5</v>
      </c>
      <c r="BG44" s="30">
        <v>3.7</v>
      </c>
      <c r="BH44" s="30"/>
      <c r="BI44" s="30"/>
      <c r="BJ44" s="30"/>
      <c r="BK44" s="30"/>
      <c r="BL44" s="30"/>
      <c r="BM44" s="30"/>
      <c r="BN44" s="30">
        <v>3.8</v>
      </c>
      <c r="BO44" s="30"/>
      <c r="BP44" s="30"/>
      <c r="BQ44" s="30"/>
      <c r="BR44" s="30"/>
      <c r="BS44" s="30"/>
    </row>
    <row r="45" spans="1:71" ht="30" customHeight="1" x14ac:dyDescent="0.25">
      <c r="A45" s="52" t="s">
        <v>117</v>
      </c>
      <c r="B45" s="51" t="s">
        <v>52</v>
      </c>
      <c r="C45" s="9" t="s">
        <v>64</v>
      </c>
      <c r="D45" s="17" t="s">
        <v>66</v>
      </c>
      <c r="E45" s="17" t="s">
        <v>161</v>
      </c>
      <c r="F45" s="17" t="s">
        <v>162</v>
      </c>
      <c r="G45" s="17"/>
      <c r="H45" s="12">
        <v>1</v>
      </c>
      <c r="I45" s="5">
        <v>1</v>
      </c>
      <c r="J45" s="11">
        <v>1</v>
      </c>
      <c r="K45" s="12"/>
      <c r="L45" s="5">
        <v>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11"/>
      <c r="AI45" s="12"/>
      <c r="AJ45" s="5"/>
      <c r="AK45" s="5"/>
      <c r="AL45" s="5"/>
      <c r="AM45" s="5"/>
      <c r="AN45" s="30">
        <v>3.8</v>
      </c>
      <c r="AO45" s="30">
        <v>3.8</v>
      </c>
      <c r="AP45" s="30">
        <v>3.8</v>
      </c>
      <c r="AQ45" s="30"/>
      <c r="AR45" s="30">
        <v>3.7</v>
      </c>
      <c r="AS45" s="30"/>
      <c r="AT45" s="30"/>
      <c r="AU45" s="30"/>
      <c r="AV45" s="30">
        <v>3.6</v>
      </c>
      <c r="AW45" s="30"/>
      <c r="AX45" s="30"/>
      <c r="AY45" s="30"/>
      <c r="AZ45" s="30"/>
      <c r="BA45" s="30"/>
      <c r="BB45" s="30">
        <v>3.7</v>
      </c>
      <c r="BC45" s="30"/>
      <c r="BD45" s="30"/>
      <c r="BE45" s="30"/>
      <c r="BF45" s="30"/>
      <c r="BG45" s="30">
        <v>3.5</v>
      </c>
      <c r="BH45" s="30"/>
      <c r="BI45" s="30"/>
      <c r="BJ45" s="30"/>
      <c r="BK45" s="30"/>
      <c r="BL45" s="30"/>
      <c r="BM45" s="30"/>
      <c r="BN45" s="30">
        <v>3.7</v>
      </c>
      <c r="BO45" s="30"/>
      <c r="BP45" s="30"/>
      <c r="BQ45" s="30"/>
      <c r="BR45" s="30"/>
      <c r="BS45" s="30"/>
    </row>
    <row r="46" spans="1:71" s="64" customFormat="1" ht="30" customHeight="1" x14ac:dyDescent="0.25">
      <c r="A46" s="66" t="s">
        <v>118</v>
      </c>
      <c r="B46" s="55" t="s">
        <v>58</v>
      </c>
      <c r="C46" s="56" t="s">
        <v>64</v>
      </c>
      <c r="D46" s="57" t="s">
        <v>65</v>
      </c>
      <c r="E46" s="57" t="s">
        <v>165</v>
      </c>
      <c r="F46" s="57" t="s">
        <v>162</v>
      </c>
      <c r="G46" s="57"/>
      <c r="H46" s="58">
        <v>1</v>
      </c>
      <c r="I46" s="62">
        <v>1</v>
      </c>
      <c r="J46" s="65">
        <v>1</v>
      </c>
      <c r="K46" s="58"/>
      <c r="L46" s="62">
        <v>1</v>
      </c>
      <c r="M46" s="62"/>
      <c r="N46" s="62"/>
      <c r="O46" s="62"/>
      <c r="P46" s="62">
        <v>1</v>
      </c>
      <c r="Q46" s="62"/>
      <c r="R46" s="62"/>
      <c r="S46" s="62"/>
      <c r="T46" s="62"/>
      <c r="U46" s="62"/>
      <c r="V46" s="62">
        <v>1</v>
      </c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5"/>
      <c r="AI46" s="58"/>
      <c r="AJ46" s="62"/>
      <c r="AK46" s="62"/>
      <c r="AL46" s="62"/>
      <c r="AM46" s="62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</row>
    <row r="47" spans="1:71" ht="30" customHeight="1" x14ac:dyDescent="0.25">
      <c r="A47" s="50" t="s">
        <v>119</v>
      </c>
      <c r="B47" s="51" t="s">
        <v>61</v>
      </c>
      <c r="C47" s="9" t="s">
        <v>64</v>
      </c>
      <c r="D47" s="17" t="s">
        <v>65</v>
      </c>
      <c r="E47" s="17" t="s">
        <v>165</v>
      </c>
      <c r="F47" s="17" t="s">
        <v>162</v>
      </c>
      <c r="G47" s="17"/>
      <c r="H47" s="12">
        <v>1</v>
      </c>
      <c r="I47" s="5">
        <v>1</v>
      </c>
      <c r="J47" s="11">
        <v>1</v>
      </c>
      <c r="K47" s="12"/>
      <c r="L47" s="5">
        <v>1</v>
      </c>
      <c r="M47" s="5"/>
      <c r="N47" s="5"/>
      <c r="O47" s="5"/>
      <c r="P47" s="5">
        <v>1</v>
      </c>
      <c r="Q47" s="5"/>
      <c r="R47" s="5"/>
      <c r="S47" s="5"/>
      <c r="T47" s="5"/>
      <c r="U47" s="5"/>
      <c r="V47" s="5">
        <v>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11"/>
      <c r="AI47" s="12"/>
      <c r="AJ47" s="5"/>
      <c r="AK47" s="5"/>
      <c r="AL47" s="5"/>
      <c r="AM47" s="5"/>
      <c r="AN47" s="30">
        <v>3.1</v>
      </c>
      <c r="AO47" s="30">
        <v>3</v>
      </c>
      <c r="AP47" s="30">
        <v>3.2</v>
      </c>
      <c r="AQ47" s="30"/>
      <c r="AR47" s="30">
        <v>3</v>
      </c>
      <c r="AS47" s="30"/>
      <c r="AT47" s="30"/>
      <c r="AU47" s="30"/>
      <c r="AV47" s="30">
        <v>3.1</v>
      </c>
      <c r="AW47" s="30"/>
      <c r="AX47" s="30"/>
      <c r="AY47" s="30">
        <v>2.5</v>
      </c>
      <c r="AZ47" s="30"/>
      <c r="BA47" s="30"/>
      <c r="BB47" s="30">
        <v>2.2000000000000002</v>
      </c>
      <c r="BC47" s="30"/>
      <c r="BD47" s="30"/>
      <c r="BE47" s="30"/>
      <c r="BF47" s="30"/>
      <c r="BG47" s="30"/>
      <c r="BH47" s="30"/>
      <c r="BI47" s="30"/>
      <c r="BJ47" s="30"/>
      <c r="BK47" s="30"/>
      <c r="BL47" s="30">
        <v>2.5</v>
      </c>
      <c r="BM47" s="30"/>
      <c r="BN47" s="30"/>
      <c r="BO47" s="30"/>
      <c r="BP47" s="30"/>
      <c r="BQ47" s="30"/>
      <c r="BR47" s="30"/>
      <c r="BS47" s="30"/>
    </row>
    <row r="48" spans="1:71" ht="30" customHeight="1" x14ac:dyDescent="0.25">
      <c r="A48" s="52" t="s">
        <v>120</v>
      </c>
      <c r="B48" s="51" t="s">
        <v>59</v>
      </c>
      <c r="C48" s="9" t="s">
        <v>64</v>
      </c>
      <c r="D48" s="17" t="s">
        <v>66</v>
      </c>
      <c r="E48" s="17" t="s">
        <v>161</v>
      </c>
      <c r="F48" s="17" t="s">
        <v>162</v>
      </c>
      <c r="G48" s="17"/>
      <c r="H48" s="12">
        <v>1</v>
      </c>
      <c r="I48" s="5">
        <v>1</v>
      </c>
      <c r="J48" s="11">
        <v>1</v>
      </c>
      <c r="K48" s="12"/>
      <c r="L48" s="5">
        <v>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11"/>
      <c r="AI48" s="12"/>
      <c r="AJ48" s="5"/>
      <c r="AK48" s="5"/>
      <c r="AL48" s="5"/>
      <c r="AM48" s="5"/>
      <c r="AN48" s="30">
        <v>3.9</v>
      </c>
      <c r="AO48" s="30">
        <v>3.8</v>
      </c>
      <c r="AP48" s="30">
        <v>3.8</v>
      </c>
      <c r="AQ48" s="30"/>
      <c r="AR48" s="30">
        <v>4</v>
      </c>
      <c r="AS48" s="30"/>
      <c r="AT48" s="30"/>
      <c r="AU48" s="30"/>
      <c r="AV48" s="30">
        <v>3.9</v>
      </c>
      <c r="AW48" s="30"/>
      <c r="AX48" s="30"/>
      <c r="AY48" s="30"/>
      <c r="AZ48" s="30"/>
      <c r="BA48" s="30"/>
      <c r="BB48" s="30">
        <v>3.7</v>
      </c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>
        <v>3.6</v>
      </c>
      <c r="BO48" s="30"/>
      <c r="BP48" s="30"/>
      <c r="BQ48" s="30"/>
      <c r="BR48" s="30"/>
      <c r="BS48" s="30"/>
    </row>
    <row r="49" spans="1:71" ht="30" customHeight="1" x14ac:dyDescent="0.25">
      <c r="A49" s="50" t="s">
        <v>121</v>
      </c>
      <c r="B49" s="51" t="s">
        <v>50</v>
      </c>
      <c r="C49" s="9" t="s">
        <v>64</v>
      </c>
      <c r="D49" s="17" t="s">
        <v>65</v>
      </c>
      <c r="E49" s="17" t="s">
        <v>165</v>
      </c>
      <c r="F49" s="17" t="s">
        <v>162</v>
      </c>
      <c r="G49" s="17"/>
      <c r="H49" s="12">
        <v>1</v>
      </c>
      <c r="I49" s="5">
        <v>1</v>
      </c>
      <c r="J49" s="11">
        <v>1</v>
      </c>
      <c r="K49" s="12"/>
      <c r="L49" s="5">
        <v>1</v>
      </c>
      <c r="M49" s="5"/>
      <c r="N49" s="5"/>
      <c r="O49" s="5"/>
      <c r="P49" s="5"/>
      <c r="Q49" s="5">
        <v>1</v>
      </c>
      <c r="R49" s="5"/>
      <c r="S49" s="5"/>
      <c r="T49" s="5"/>
      <c r="U49" s="5"/>
      <c r="V49" s="5">
        <v>1</v>
      </c>
      <c r="W49" s="5"/>
      <c r="X49" s="5"/>
      <c r="Y49" s="5"/>
      <c r="Z49" s="5"/>
      <c r="AA49" s="5">
        <v>1</v>
      </c>
      <c r="AB49" s="5"/>
      <c r="AC49" s="5"/>
      <c r="AD49" s="5"/>
      <c r="AE49" s="5"/>
      <c r="AF49" s="5"/>
      <c r="AG49" s="5"/>
      <c r="AH49" s="11"/>
      <c r="AI49" s="12"/>
      <c r="AJ49" s="5"/>
      <c r="AK49" s="5"/>
      <c r="AL49" s="5"/>
      <c r="AM49" s="5"/>
      <c r="AN49" s="30">
        <v>3.6</v>
      </c>
      <c r="AO49" s="30">
        <v>3.6</v>
      </c>
      <c r="AP49" s="30">
        <v>3</v>
      </c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</row>
    <row r="50" spans="1:71" ht="30" customHeight="1" x14ac:dyDescent="0.25">
      <c r="A50" s="50" t="s">
        <v>122</v>
      </c>
      <c r="B50" s="51" t="s">
        <v>60</v>
      </c>
      <c r="C50" s="9" t="s">
        <v>64</v>
      </c>
      <c r="D50" s="17" t="s">
        <v>41</v>
      </c>
      <c r="E50" s="17" t="s">
        <v>167</v>
      </c>
      <c r="F50" s="17" t="s">
        <v>162</v>
      </c>
      <c r="G50" s="17"/>
      <c r="H50" s="12">
        <v>1</v>
      </c>
      <c r="I50" s="5">
        <v>1</v>
      </c>
      <c r="J50" s="11">
        <v>1</v>
      </c>
      <c r="K50" s="12"/>
      <c r="L50" s="5">
        <v>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11"/>
      <c r="AI50" s="12"/>
      <c r="AJ50" s="5"/>
      <c r="AK50" s="5"/>
      <c r="AL50" s="5"/>
      <c r="AM50" s="5"/>
      <c r="AN50" s="30">
        <v>3.4</v>
      </c>
      <c r="AO50" s="30">
        <v>3.4</v>
      </c>
      <c r="AP50" s="30">
        <v>3.4</v>
      </c>
      <c r="AQ50" s="30"/>
      <c r="AR50" s="30">
        <v>3.4</v>
      </c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</row>
    <row r="51" spans="1:71" ht="30" customHeight="1" x14ac:dyDescent="0.25">
      <c r="A51" s="50" t="s">
        <v>123</v>
      </c>
      <c r="B51" s="51" t="s">
        <v>58</v>
      </c>
      <c r="C51" s="9" t="s">
        <v>64</v>
      </c>
      <c r="D51" s="17" t="s">
        <v>65</v>
      </c>
      <c r="E51" s="17" t="s">
        <v>165</v>
      </c>
      <c r="F51" s="17" t="s">
        <v>162</v>
      </c>
      <c r="G51" s="17"/>
      <c r="H51" s="12">
        <v>1</v>
      </c>
      <c r="I51" s="5">
        <v>1</v>
      </c>
      <c r="J51" s="11">
        <v>1</v>
      </c>
      <c r="K51" s="1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11"/>
      <c r="AI51" s="12"/>
      <c r="AJ51" s="5"/>
      <c r="AK51" s="5"/>
      <c r="AL51" s="5"/>
      <c r="AM51" s="5"/>
      <c r="AN51" s="30">
        <v>3.5</v>
      </c>
      <c r="AO51" s="30">
        <v>4</v>
      </c>
      <c r="AP51" s="30">
        <v>3.3</v>
      </c>
      <c r="AQ51" s="30"/>
      <c r="AR51" s="30">
        <v>3.2</v>
      </c>
      <c r="AS51" s="30"/>
      <c r="AT51" s="30"/>
      <c r="AU51" s="30"/>
      <c r="AV51" s="30">
        <v>3.8</v>
      </c>
      <c r="AW51" s="30"/>
      <c r="AX51" s="30"/>
      <c r="AY51" s="30">
        <v>2.9</v>
      </c>
      <c r="AZ51" s="30"/>
      <c r="BA51" s="30"/>
      <c r="BB51" s="30"/>
      <c r="BC51" s="30"/>
      <c r="BD51" s="30"/>
      <c r="BE51" s="30"/>
      <c r="BF51" s="30"/>
      <c r="BG51" s="30">
        <v>3</v>
      </c>
      <c r="BH51" s="30"/>
      <c r="BI51" s="30"/>
      <c r="BJ51" s="30"/>
      <c r="BK51" s="30"/>
      <c r="BL51" s="30">
        <v>2.8</v>
      </c>
      <c r="BM51" s="30"/>
      <c r="BN51" s="30"/>
      <c r="BO51" s="30"/>
      <c r="BP51" s="30"/>
      <c r="BQ51" s="30"/>
      <c r="BR51" s="30"/>
      <c r="BS51" s="30"/>
    </row>
    <row r="52" spans="1:71" ht="30" customHeight="1" x14ac:dyDescent="0.25">
      <c r="A52" s="50" t="s">
        <v>124</v>
      </c>
      <c r="B52" s="51" t="s">
        <v>49</v>
      </c>
      <c r="C52" s="9" t="s">
        <v>64</v>
      </c>
      <c r="D52" s="17" t="s">
        <v>41</v>
      </c>
      <c r="E52" s="17" t="s">
        <v>167</v>
      </c>
      <c r="F52" s="17" t="s">
        <v>162</v>
      </c>
      <c r="G52" s="17"/>
      <c r="H52" s="12">
        <v>1</v>
      </c>
      <c r="I52" s="5">
        <v>1</v>
      </c>
      <c r="J52" s="11">
        <v>1</v>
      </c>
      <c r="K52" s="12"/>
      <c r="L52" s="5">
        <v>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11"/>
      <c r="AI52" s="12"/>
      <c r="AJ52" s="5"/>
      <c r="AK52" s="5"/>
      <c r="AL52" s="5"/>
      <c r="AM52" s="5"/>
      <c r="AN52" s="30">
        <v>3.7</v>
      </c>
      <c r="AO52" s="30">
        <v>4</v>
      </c>
      <c r="AP52" s="30">
        <v>3.3</v>
      </c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>
        <v>3.7</v>
      </c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</row>
    <row r="53" spans="1:71" ht="30" customHeight="1" x14ac:dyDescent="0.25">
      <c r="A53" s="53" t="s">
        <v>125</v>
      </c>
      <c r="B53" s="51" t="s">
        <v>56</v>
      </c>
      <c r="C53" s="9" t="s">
        <v>64</v>
      </c>
      <c r="D53" s="17" t="s">
        <v>65</v>
      </c>
      <c r="E53" s="17" t="s">
        <v>168</v>
      </c>
      <c r="F53" s="17" t="s">
        <v>162</v>
      </c>
      <c r="G53" s="17"/>
      <c r="H53" s="12">
        <v>1</v>
      </c>
      <c r="I53" s="5">
        <v>1</v>
      </c>
      <c r="J53" s="11">
        <v>1</v>
      </c>
      <c r="K53" s="12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11"/>
      <c r="AI53" s="12"/>
      <c r="AJ53" s="5"/>
      <c r="AK53" s="5"/>
      <c r="AL53" s="5"/>
      <c r="AM53" s="5"/>
      <c r="AN53" s="30">
        <v>3.6</v>
      </c>
      <c r="AO53" s="30">
        <v>4</v>
      </c>
      <c r="AP53" s="30">
        <v>4</v>
      </c>
      <c r="AQ53" s="30"/>
      <c r="AR53" s="30">
        <v>4</v>
      </c>
      <c r="AS53" s="30"/>
      <c r="AT53" s="30"/>
      <c r="AU53" s="30"/>
      <c r="AV53" s="30">
        <v>3.7</v>
      </c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>
        <v>3.8</v>
      </c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</row>
    <row r="54" spans="1:71" ht="30" customHeight="1" x14ac:dyDescent="0.25">
      <c r="A54" s="50" t="s">
        <v>126</v>
      </c>
      <c r="B54" s="51" t="s">
        <v>63</v>
      </c>
      <c r="C54" s="9" t="s">
        <v>64</v>
      </c>
      <c r="D54" s="17" t="s">
        <v>41</v>
      </c>
      <c r="E54" s="17" t="s">
        <v>167</v>
      </c>
      <c r="F54" s="17" t="s">
        <v>162</v>
      </c>
      <c r="G54" s="17"/>
      <c r="H54" s="12">
        <v>1</v>
      </c>
      <c r="I54" s="5">
        <v>1</v>
      </c>
      <c r="J54" s="11">
        <v>1</v>
      </c>
      <c r="K54" s="12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11"/>
      <c r="AI54" s="12"/>
      <c r="AJ54" s="5"/>
      <c r="AK54" s="5"/>
      <c r="AL54" s="5"/>
      <c r="AM54" s="5"/>
      <c r="AN54" s="30">
        <v>3.5</v>
      </c>
      <c r="AO54" s="30">
        <v>4</v>
      </c>
      <c r="AP54" s="30">
        <v>3.7</v>
      </c>
      <c r="AQ54" s="30"/>
      <c r="AR54" s="30">
        <v>3.8</v>
      </c>
      <c r="AS54" s="30"/>
      <c r="AT54" s="30"/>
      <c r="AU54" s="30"/>
      <c r="AV54" s="30">
        <v>3.8</v>
      </c>
      <c r="AW54" s="30"/>
      <c r="AX54" s="30"/>
      <c r="AY54" s="30"/>
      <c r="AZ54" s="30"/>
      <c r="BA54" s="30"/>
      <c r="BB54" s="30">
        <v>2.8</v>
      </c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</row>
    <row r="55" spans="1:71" s="64" customFormat="1" ht="30" customHeight="1" x14ac:dyDescent="0.25">
      <c r="A55" s="54" t="s">
        <v>127</v>
      </c>
      <c r="B55" s="55" t="s">
        <v>47</v>
      </c>
      <c r="C55" s="56" t="s">
        <v>64</v>
      </c>
      <c r="D55" s="57" t="s">
        <v>41</v>
      </c>
      <c r="E55" s="57" t="s">
        <v>167</v>
      </c>
      <c r="F55" s="57" t="s">
        <v>162</v>
      </c>
      <c r="G55" s="57"/>
      <c r="H55" s="58">
        <v>1</v>
      </c>
      <c r="I55" s="62">
        <v>1</v>
      </c>
      <c r="J55" s="65">
        <v>1</v>
      </c>
      <c r="K55" s="58"/>
      <c r="L55" s="62">
        <v>1</v>
      </c>
      <c r="M55" s="62"/>
      <c r="N55" s="62"/>
      <c r="O55" s="62"/>
      <c r="P55" s="62"/>
      <c r="Q55" s="62"/>
      <c r="R55" s="62"/>
      <c r="S55" s="62"/>
      <c r="T55" s="62"/>
      <c r="U55" s="62"/>
      <c r="V55" s="62">
        <v>1</v>
      </c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5"/>
      <c r="AI55" s="58"/>
      <c r="AJ55" s="62"/>
      <c r="AK55" s="62"/>
      <c r="AL55" s="62"/>
      <c r="AM55" s="62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</row>
    <row r="56" spans="1:71" ht="30" customHeight="1" x14ac:dyDescent="0.25">
      <c r="A56" s="50" t="s">
        <v>128</v>
      </c>
      <c r="B56" s="51" t="s">
        <v>46</v>
      </c>
      <c r="C56" s="9" t="s">
        <v>64</v>
      </c>
      <c r="D56" s="17" t="s">
        <v>66</v>
      </c>
      <c r="E56" s="17" t="s">
        <v>163</v>
      </c>
      <c r="F56" s="17" t="s">
        <v>162</v>
      </c>
      <c r="G56" s="17"/>
      <c r="H56" s="12">
        <v>1</v>
      </c>
      <c r="I56" s="5">
        <v>1</v>
      </c>
      <c r="J56" s="11">
        <v>1</v>
      </c>
      <c r="K56" s="1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11"/>
      <c r="AI56" s="12"/>
      <c r="AJ56" s="5"/>
      <c r="AK56" s="5"/>
      <c r="AL56" s="5"/>
      <c r="AM56" s="5"/>
      <c r="AN56" s="30">
        <v>3.4</v>
      </c>
      <c r="AO56" s="30">
        <v>3.1</v>
      </c>
      <c r="AP56" s="30">
        <v>3.2</v>
      </c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</row>
    <row r="57" spans="1:71" ht="30" customHeight="1" x14ac:dyDescent="0.25">
      <c r="A57" s="50" t="s">
        <v>129</v>
      </c>
      <c r="B57" s="51" t="s">
        <v>47</v>
      </c>
      <c r="C57" s="9" t="s">
        <v>64</v>
      </c>
      <c r="D57" s="17" t="s">
        <v>68</v>
      </c>
      <c r="E57" s="17" t="s">
        <v>170</v>
      </c>
      <c r="F57" s="17" t="s">
        <v>162</v>
      </c>
      <c r="G57" s="17"/>
      <c r="H57" s="12">
        <v>1</v>
      </c>
      <c r="I57" s="5">
        <v>1</v>
      </c>
      <c r="J57" s="11">
        <v>1</v>
      </c>
      <c r="K57" s="12"/>
      <c r="L57" s="5">
        <v>1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11"/>
      <c r="AI57" s="12"/>
      <c r="AJ57" s="5"/>
      <c r="AK57" s="5"/>
      <c r="AL57" s="5"/>
      <c r="AM57" s="5"/>
      <c r="AN57" s="30">
        <v>3.8</v>
      </c>
      <c r="AO57" s="30">
        <v>3.5</v>
      </c>
      <c r="AP57" s="30">
        <v>3.6</v>
      </c>
      <c r="AQ57" s="30"/>
      <c r="AR57" s="30">
        <v>3.7</v>
      </c>
      <c r="AS57" s="30"/>
      <c r="AT57" s="30"/>
      <c r="AU57" s="30"/>
      <c r="AV57" s="30">
        <v>3.7</v>
      </c>
      <c r="AW57" s="30"/>
      <c r="AX57" s="30"/>
      <c r="AY57" s="30"/>
      <c r="AZ57" s="30"/>
      <c r="BA57" s="30"/>
      <c r="BB57" s="30">
        <v>3.6</v>
      </c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</row>
    <row r="58" spans="1:71" ht="30" customHeight="1" x14ac:dyDescent="0.25">
      <c r="A58" s="50" t="s">
        <v>130</v>
      </c>
      <c r="B58" s="51" t="s">
        <v>61</v>
      </c>
      <c r="C58" s="9" t="s">
        <v>64</v>
      </c>
      <c r="D58" s="17" t="s">
        <v>65</v>
      </c>
      <c r="E58" s="17" t="s">
        <v>165</v>
      </c>
      <c r="F58" s="17" t="s">
        <v>162</v>
      </c>
      <c r="G58" s="17"/>
      <c r="H58" s="12">
        <v>1</v>
      </c>
      <c r="I58" s="5">
        <v>1</v>
      </c>
      <c r="J58" s="13">
        <v>1</v>
      </c>
      <c r="K58" s="14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11"/>
      <c r="AI58" s="12"/>
      <c r="AJ58" s="5"/>
      <c r="AK58" s="5"/>
      <c r="AL58" s="5"/>
      <c r="AM58" s="5"/>
      <c r="AN58" s="30">
        <v>4</v>
      </c>
      <c r="AO58" s="30">
        <v>3.6</v>
      </c>
      <c r="AP58" s="30">
        <v>3</v>
      </c>
      <c r="AQ58" s="30"/>
      <c r="AR58" s="30">
        <v>3.2</v>
      </c>
      <c r="AS58" s="30"/>
      <c r="AT58" s="30"/>
      <c r="AU58" s="30"/>
      <c r="AV58" s="30"/>
      <c r="AW58" s="30"/>
      <c r="AX58" s="30"/>
      <c r="AY58" s="30">
        <v>2.7</v>
      </c>
      <c r="AZ58" s="30"/>
      <c r="BA58" s="30"/>
      <c r="BB58" s="30">
        <v>2.1</v>
      </c>
      <c r="BC58" s="30"/>
      <c r="BD58" s="30"/>
      <c r="BE58" s="30"/>
      <c r="BF58" s="30"/>
      <c r="BG58" s="30"/>
      <c r="BH58" s="30"/>
      <c r="BI58" s="30"/>
      <c r="BJ58" s="30"/>
      <c r="BK58" s="30"/>
      <c r="BL58" s="30">
        <v>2.5</v>
      </c>
      <c r="BM58" s="30"/>
      <c r="BN58" s="30"/>
      <c r="BO58" s="30"/>
      <c r="BP58" s="30"/>
      <c r="BQ58" s="30"/>
      <c r="BR58" s="30"/>
      <c r="BS58" s="30"/>
    </row>
    <row r="59" spans="1:71" ht="30" customHeight="1" x14ac:dyDescent="0.25">
      <c r="A59" s="50" t="s">
        <v>131</v>
      </c>
      <c r="B59" s="51" t="s">
        <v>50</v>
      </c>
      <c r="C59" s="9" t="s">
        <v>64</v>
      </c>
      <c r="D59" s="17" t="s">
        <v>65</v>
      </c>
      <c r="E59" s="17" t="s">
        <v>165</v>
      </c>
      <c r="F59" s="17" t="s">
        <v>162</v>
      </c>
      <c r="G59" s="17"/>
      <c r="H59" s="12">
        <v>1</v>
      </c>
      <c r="I59" s="5">
        <v>1</v>
      </c>
      <c r="J59" s="11">
        <v>1</v>
      </c>
      <c r="K59" s="1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11"/>
      <c r="AI59" s="12"/>
      <c r="AJ59" s="5"/>
      <c r="AK59" s="5"/>
      <c r="AL59" s="5"/>
      <c r="AM59" s="5"/>
      <c r="AN59" s="30">
        <v>3.6</v>
      </c>
      <c r="AO59" s="30">
        <v>3.23</v>
      </c>
      <c r="AP59" s="30">
        <v>3</v>
      </c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</row>
    <row r="60" spans="1:71" ht="30" customHeight="1" x14ac:dyDescent="0.25">
      <c r="A60" s="52" t="s">
        <v>132</v>
      </c>
      <c r="B60" s="51" t="s">
        <v>57</v>
      </c>
      <c r="C60" s="9" t="s">
        <v>64</v>
      </c>
      <c r="D60" s="17" t="s">
        <v>66</v>
      </c>
      <c r="E60" s="17" t="s">
        <v>169</v>
      </c>
      <c r="F60" s="17" t="s">
        <v>162</v>
      </c>
      <c r="G60" s="17"/>
      <c r="H60" s="12">
        <v>3</v>
      </c>
      <c r="I60" s="5">
        <v>3</v>
      </c>
      <c r="J60" s="11">
        <v>4</v>
      </c>
      <c r="K60" s="12"/>
      <c r="L60" s="5"/>
      <c r="M60" s="5"/>
      <c r="N60" s="5"/>
      <c r="O60" s="5"/>
      <c r="P60" s="5">
        <v>2</v>
      </c>
      <c r="Q60" s="5"/>
      <c r="R60" s="5"/>
      <c r="S60" s="5"/>
      <c r="T60" s="5"/>
      <c r="U60" s="5"/>
      <c r="V60" s="5"/>
      <c r="W60" s="5">
        <v>4</v>
      </c>
      <c r="X60" s="5"/>
      <c r="Y60" s="5"/>
      <c r="Z60" s="5"/>
      <c r="AA60" s="5">
        <v>4</v>
      </c>
      <c r="AB60" s="5">
        <v>3</v>
      </c>
      <c r="AC60" s="5"/>
      <c r="AD60" s="5"/>
      <c r="AE60" s="5"/>
      <c r="AF60" s="5"/>
      <c r="AG60" s="5"/>
      <c r="AH60" s="11"/>
      <c r="AI60" s="12">
        <v>2</v>
      </c>
      <c r="AJ60" s="5">
        <v>2</v>
      </c>
      <c r="AK60" s="5">
        <v>3</v>
      </c>
      <c r="AL60" s="5">
        <v>2</v>
      </c>
      <c r="AM60" s="5">
        <v>2</v>
      </c>
      <c r="AN60" s="30">
        <v>3.6</v>
      </c>
      <c r="AO60" s="30">
        <v>4</v>
      </c>
      <c r="AP60" s="30">
        <v>3.8</v>
      </c>
      <c r="AQ60" s="30"/>
      <c r="AR60" s="30">
        <v>3.6</v>
      </c>
      <c r="AS60" s="30"/>
      <c r="AT60" s="30"/>
      <c r="AU60" s="30"/>
      <c r="AV60" s="30">
        <v>4</v>
      </c>
      <c r="AW60" s="30"/>
      <c r="AX60" s="30"/>
      <c r="AY60" s="30"/>
      <c r="AZ60" s="30"/>
      <c r="BA60" s="30"/>
      <c r="BB60" s="30">
        <v>3.6</v>
      </c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>
        <v>3.9</v>
      </c>
      <c r="BO60" s="30"/>
      <c r="BP60" s="30"/>
      <c r="BQ60" s="30"/>
      <c r="BR60" s="30"/>
      <c r="BS60" s="30"/>
    </row>
    <row r="61" spans="1:71" ht="30" customHeight="1" x14ac:dyDescent="0.25">
      <c r="A61" s="50" t="s">
        <v>133</v>
      </c>
      <c r="B61" s="51" t="s">
        <v>134</v>
      </c>
      <c r="C61" s="9" t="s">
        <v>64</v>
      </c>
      <c r="D61" s="17" t="s">
        <v>43</v>
      </c>
      <c r="E61" s="17"/>
      <c r="F61" s="17" t="s">
        <v>162</v>
      </c>
      <c r="G61" s="17"/>
      <c r="H61" s="12">
        <v>3</v>
      </c>
      <c r="I61" s="5">
        <v>3</v>
      </c>
      <c r="J61" s="11">
        <v>3</v>
      </c>
      <c r="K61" s="12"/>
      <c r="L61" s="5">
        <v>3</v>
      </c>
      <c r="M61" s="5"/>
      <c r="N61" s="5"/>
      <c r="O61" s="5"/>
      <c r="P61" s="5"/>
      <c r="Q61" s="5"/>
      <c r="R61" s="5"/>
      <c r="S61" s="5"/>
      <c r="T61" s="5"/>
      <c r="U61" s="5"/>
      <c r="V61" s="5">
        <v>4</v>
      </c>
      <c r="W61" s="5">
        <v>4</v>
      </c>
      <c r="X61" s="5"/>
      <c r="Y61" s="5"/>
      <c r="Z61" s="5"/>
      <c r="AA61" s="5">
        <v>4</v>
      </c>
      <c r="AB61" s="5">
        <v>1</v>
      </c>
      <c r="AC61" s="5"/>
      <c r="AD61" s="5"/>
      <c r="AE61" s="5"/>
      <c r="AF61" s="5"/>
      <c r="AG61" s="5"/>
      <c r="AH61" s="11"/>
      <c r="AI61" s="12">
        <v>1</v>
      </c>
      <c r="AJ61" s="5">
        <v>1</v>
      </c>
      <c r="AK61" s="5">
        <v>1</v>
      </c>
      <c r="AL61" s="5">
        <v>1</v>
      </c>
      <c r="AM61" s="5">
        <v>1</v>
      </c>
      <c r="AN61" s="30">
        <v>3.9</v>
      </c>
      <c r="AO61" s="30">
        <v>4</v>
      </c>
      <c r="AP61" s="30">
        <v>3.9</v>
      </c>
      <c r="AQ61" s="30"/>
      <c r="AR61" s="30">
        <v>3.7</v>
      </c>
      <c r="AS61" s="30"/>
      <c r="AT61" s="30"/>
      <c r="AU61" s="30"/>
      <c r="AV61" s="30">
        <v>3.9</v>
      </c>
      <c r="AW61" s="30"/>
      <c r="AX61" s="30"/>
      <c r="AY61" s="30"/>
      <c r="AZ61" s="30"/>
      <c r="BA61" s="30"/>
      <c r="BB61" s="30">
        <v>3.8</v>
      </c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>
        <v>3.9</v>
      </c>
      <c r="BO61" s="30"/>
      <c r="BP61" s="30"/>
      <c r="BQ61" s="30"/>
      <c r="BR61" s="30"/>
      <c r="BS61" s="30"/>
    </row>
    <row r="62" spans="1:71" ht="30" customHeight="1" x14ac:dyDescent="0.25">
      <c r="A62" s="50" t="s">
        <v>135</v>
      </c>
      <c r="B62" s="51" t="s">
        <v>61</v>
      </c>
      <c r="C62" s="9" t="s">
        <v>64</v>
      </c>
      <c r="D62" s="17" t="s">
        <v>65</v>
      </c>
      <c r="E62" s="17" t="s">
        <v>165</v>
      </c>
      <c r="F62" s="17" t="s">
        <v>162</v>
      </c>
      <c r="G62" s="17"/>
      <c r="H62" s="12">
        <v>3</v>
      </c>
      <c r="I62" s="5">
        <v>3</v>
      </c>
      <c r="J62" s="11">
        <v>3</v>
      </c>
      <c r="K62" s="12"/>
      <c r="L62" s="5">
        <v>3</v>
      </c>
      <c r="M62" s="5"/>
      <c r="N62" s="5"/>
      <c r="O62" s="5">
        <v>3</v>
      </c>
      <c r="P62" s="5"/>
      <c r="Q62" s="5"/>
      <c r="R62" s="5">
        <v>3</v>
      </c>
      <c r="S62" s="5"/>
      <c r="T62" s="5"/>
      <c r="U62" s="5"/>
      <c r="V62" s="5"/>
      <c r="W62" s="5"/>
      <c r="X62" s="5"/>
      <c r="Y62" s="5">
        <v>3</v>
      </c>
      <c r="Z62" s="5">
        <v>3</v>
      </c>
      <c r="AA62" s="5">
        <v>2</v>
      </c>
      <c r="AB62" s="5">
        <v>1</v>
      </c>
      <c r="AC62" s="5"/>
      <c r="AD62" s="5"/>
      <c r="AE62" s="5"/>
      <c r="AF62" s="5"/>
      <c r="AG62" s="5"/>
      <c r="AH62" s="11"/>
      <c r="AI62" s="12"/>
      <c r="AJ62" s="5"/>
      <c r="AK62" s="5">
        <v>1</v>
      </c>
      <c r="AL62" s="5">
        <v>1</v>
      </c>
      <c r="AM62" s="5"/>
      <c r="AN62" s="30">
        <v>4</v>
      </c>
      <c r="AO62" s="30">
        <v>4</v>
      </c>
      <c r="AP62" s="30">
        <v>3.4</v>
      </c>
      <c r="AQ62" s="30"/>
      <c r="AR62" s="30">
        <v>3.4</v>
      </c>
      <c r="AS62" s="30"/>
      <c r="AT62" s="30"/>
      <c r="AU62" s="30"/>
      <c r="AV62" s="30">
        <v>3.8</v>
      </c>
      <c r="AW62" s="30"/>
      <c r="AX62" s="30"/>
      <c r="AY62" s="30">
        <v>3.2</v>
      </c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</row>
    <row r="63" spans="1:71" ht="30" customHeight="1" x14ac:dyDescent="0.25">
      <c r="A63" s="50" t="s">
        <v>136</v>
      </c>
      <c r="B63" s="51" t="s">
        <v>52</v>
      </c>
      <c r="C63" s="9" t="s">
        <v>64</v>
      </c>
      <c r="D63" s="17" t="s">
        <v>66</v>
      </c>
      <c r="E63" s="17" t="s">
        <v>161</v>
      </c>
      <c r="F63" s="17" t="s">
        <v>162</v>
      </c>
      <c r="G63" s="17"/>
      <c r="H63" s="12">
        <v>3</v>
      </c>
      <c r="I63" s="5">
        <v>3</v>
      </c>
      <c r="J63" s="11">
        <v>3</v>
      </c>
      <c r="K63" s="12"/>
      <c r="L63" s="5">
        <v>3</v>
      </c>
      <c r="M63" s="5"/>
      <c r="N63" s="5"/>
      <c r="O63" s="5"/>
      <c r="P63" s="5">
        <v>3</v>
      </c>
      <c r="Q63" s="5"/>
      <c r="R63" s="5"/>
      <c r="S63" s="5"/>
      <c r="T63" s="5"/>
      <c r="U63" s="5"/>
      <c r="V63" s="5"/>
      <c r="W63" s="5">
        <v>3</v>
      </c>
      <c r="X63" s="5"/>
      <c r="Y63" s="5"/>
      <c r="Z63" s="5"/>
      <c r="AA63" s="5">
        <v>2</v>
      </c>
      <c r="AB63" s="5">
        <v>1</v>
      </c>
      <c r="AC63" s="5"/>
      <c r="AD63" s="5"/>
      <c r="AE63" s="5"/>
      <c r="AF63" s="5"/>
      <c r="AG63" s="5"/>
      <c r="AH63" s="11">
        <v>3</v>
      </c>
      <c r="AI63" s="12"/>
      <c r="AJ63" s="5"/>
      <c r="AK63" s="5">
        <v>1</v>
      </c>
      <c r="AL63" s="5">
        <v>1</v>
      </c>
      <c r="AM63" s="5"/>
      <c r="AN63" s="30">
        <v>3.8</v>
      </c>
      <c r="AO63" s="30">
        <v>3.9</v>
      </c>
      <c r="AP63" s="30">
        <v>3.8</v>
      </c>
      <c r="AQ63" s="30"/>
      <c r="AR63" s="30">
        <v>3.8</v>
      </c>
      <c r="AS63" s="30"/>
      <c r="AT63" s="30"/>
      <c r="AU63" s="30"/>
      <c r="AV63" s="30">
        <v>3.8</v>
      </c>
      <c r="AW63" s="30"/>
      <c r="AX63" s="30"/>
      <c r="AY63" s="30"/>
      <c r="AZ63" s="30"/>
      <c r="BA63" s="30"/>
      <c r="BB63" s="30">
        <v>3.7</v>
      </c>
      <c r="BC63" s="30"/>
      <c r="BD63" s="30"/>
      <c r="BE63" s="30"/>
      <c r="BF63" s="30"/>
      <c r="BG63" s="30">
        <v>3.8</v>
      </c>
      <c r="BH63" s="30"/>
      <c r="BI63" s="30"/>
      <c r="BJ63" s="30"/>
      <c r="BK63" s="30"/>
      <c r="BL63" s="30"/>
      <c r="BM63" s="30"/>
      <c r="BN63" s="30">
        <v>3.8</v>
      </c>
      <c r="BO63" s="30"/>
      <c r="BP63" s="30"/>
      <c r="BQ63" s="30"/>
      <c r="BR63" s="30"/>
      <c r="BS63" s="30"/>
    </row>
    <row r="64" spans="1:71" ht="30" customHeight="1" x14ac:dyDescent="0.25">
      <c r="A64" s="53" t="s">
        <v>137</v>
      </c>
      <c r="B64" s="51" t="s">
        <v>56</v>
      </c>
      <c r="C64" s="9" t="s">
        <v>64</v>
      </c>
      <c r="D64" s="17" t="s">
        <v>65</v>
      </c>
      <c r="E64" s="17" t="s">
        <v>168</v>
      </c>
      <c r="F64" s="17" t="s">
        <v>162</v>
      </c>
      <c r="G64" s="17"/>
      <c r="H64" s="12">
        <v>3</v>
      </c>
      <c r="I64" s="5">
        <v>3</v>
      </c>
      <c r="J64" s="11">
        <v>3</v>
      </c>
      <c r="K64" s="12"/>
      <c r="L64" s="5">
        <v>2</v>
      </c>
      <c r="M64" s="5"/>
      <c r="N64" s="5"/>
      <c r="O64" s="5"/>
      <c r="P64" s="5">
        <v>3</v>
      </c>
      <c r="Q64" s="5"/>
      <c r="R64" s="5"/>
      <c r="S64" s="5"/>
      <c r="T64" s="5"/>
      <c r="U64" s="5"/>
      <c r="V64" s="5">
        <v>3</v>
      </c>
      <c r="W64" s="5"/>
      <c r="X64" s="5"/>
      <c r="Y64" s="5"/>
      <c r="Z64" s="5"/>
      <c r="AA64" s="5">
        <v>1</v>
      </c>
      <c r="AB64" s="5">
        <v>1</v>
      </c>
      <c r="AC64" s="5"/>
      <c r="AD64" s="5"/>
      <c r="AE64" s="5"/>
      <c r="AF64" s="5">
        <v>2</v>
      </c>
      <c r="AG64" s="5"/>
      <c r="AH64" s="11">
        <v>2</v>
      </c>
      <c r="AI64" s="12"/>
      <c r="AJ64" s="5"/>
      <c r="AK64" s="5"/>
      <c r="AL64" s="5"/>
      <c r="AM64" s="5"/>
      <c r="AN64" s="30">
        <v>3.5</v>
      </c>
      <c r="AO64" s="30">
        <v>3.7</v>
      </c>
      <c r="AP64" s="30">
        <v>3.3</v>
      </c>
      <c r="AQ64" s="30"/>
      <c r="AR64" s="30">
        <v>3.1</v>
      </c>
      <c r="AS64" s="30"/>
      <c r="AT64" s="30"/>
      <c r="AU64" s="30"/>
      <c r="AV64" s="30">
        <v>3.7</v>
      </c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>
        <v>3.3</v>
      </c>
      <c r="BH64" s="30"/>
      <c r="BI64" s="30"/>
      <c r="BJ64" s="30"/>
      <c r="BK64" s="30"/>
      <c r="BL64" s="30">
        <v>3.2</v>
      </c>
      <c r="BM64" s="30"/>
      <c r="BN64" s="30"/>
      <c r="BO64" s="30"/>
      <c r="BP64" s="30"/>
      <c r="BQ64" s="30"/>
      <c r="BR64" s="30"/>
      <c r="BS64" s="30"/>
    </row>
    <row r="65" spans="1:71" ht="30" customHeight="1" x14ac:dyDescent="0.25">
      <c r="A65" s="50" t="s">
        <v>138</v>
      </c>
      <c r="B65" s="51" t="s">
        <v>50</v>
      </c>
      <c r="C65" s="9" t="s">
        <v>64</v>
      </c>
      <c r="D65" s="17" t="s">
        <v>65</v>
      </c>
      <c r="E65" s="17" t="s">
        <v>165</v>
      </c>
      <c r="F65" s="17" t="s">
        <v>162</v>
      </c>
      <c r="G65" s="17"/>
      <c r="H65" s="12">
        <v>3</v>
      </c>
      <c r="I65" s="7">
        <v>3</v>
      </c>
      <c r="J65" s="13">
        <v>3</v>
      </c>
      <c r="K65" s="14"/>
      <c r="L65" s="7">
        <v>2</v>
      </c>
      <c r="M65" s="7"/>
      <c r="N65" s="7"/>
      <c r="O65" s="7"/>
      <c r="P65" s="7">
        <v>3</v>
      </c>
      <c r="Q65" s="7"/>
      <c r="R65" s="7"/>
      <c r="S65" s="7"/>
      <c r="T65" s="7"/>
      <c r="U65" s="7"/>
      <c r="V65" s="7">
        <v>3</v>
      </c>
      <c r="W65" s="7">
        <v>3</v>
      </c>
      <c r="X65" s="7"/>
      <c r="Y65" s="7"/>
      <c r="Z65" s="7"/>
      <c r="AA65" s="7">
        <v>2</v>
      </c>
      <c r="AB65" s="7">
        <v>1</v>
      </c>
      <c r="AC65" s="7"/>
      <c r="AD65" s="7"/>
      <c r="AE65" s="7"/>
      <c r="AF65" s="7"/>
      <c r="AG65" s="7"/>
      <c r="AH65" s="11">
        <v>2</v>
      </c>
      <c r="AI65" s="12"/>
      <c r="AJ65" s="5"/>
      <c r="AK65" s="5"/>
      <c r="AL65" s="5"/>
      <c r="AM65" s="5"/>
      <c r="AN65" s="30">
        <v>4</v>
      </c>
      <c r="AO65" s="30">
        <v>3.7</v>
      </c>
      <c r="AP65" s="30">
        <v>3</v>
      </c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</row>
    <row r="66" spans="1:71" ht="30" customHeight="1" x14ac:dyDescent="0.25">
      <c r="A66" s="50" t="s">
        <v>139</v>
      </c>
      <c r="B66" s="51" t="s">
        <v>50</v>
      </c>
      <c r="C66" s="9" t="s">
        <v>64</v>
      </c>
      <c r="D66" s="17" t="s">
        <v>66</v>
      </c>
      <c r="E66" s="17" t="s">
        <v>163</v>
      </c>
      <c r="F66" s="17" t="s">
        <v>162</v>
      </c>
      <c r="G66" s="17"/>
      <c r="H66" s="12">
        <v>2</v>
      </c>
      <c r="I66" s="7">
        <v>2</v>
      </c>
      <c r="J66" s="13">
        <v>2</v>
      </c>
      <c r="K66" s="14"/>
      <c r="L66" s="7">
        <v>2</v>
      </c>
      <c r="M66" s="7"/>
      <c r="N66" s="7"/>
      <c r="O66" s="5">
        <v>2</v>
      </c>
      <c r="P66" s="7">
        <v>2</v>
      </c>
      <c r="Q66" s="7"/>
      <c r="R66" s="7">
        <v>2</v>
      </c>
      <c r="S66" s="7"/>
      <c r="T66" s="7"/>
      <c r="U66" s="7"/>
      <c r="V66" s="7"/>
      <c r="W66" s="7"/>
      <c r="X66" s="7"/>
      <c r="Y66" s="7">
        <v>2</v>
      </c>
      <c r="Z66" s="7">
        <v>2</v>
      </c>
      <c r="AA66" s="7">
        <v>1</v>
      </c>
      <c r="AB66" s="7">
        <v>1</v>
      </c>
      <c r="AC66" s="7"/>
      <c r="AD66" s="7"/>
      <c r="AE66" s="7"/>
      <c r="AF66" s="7"/>
      <c r="AG66" s="7"/>
      <c r="AH66" s="11">
        <v>2</v>
      </c>
      <c r="AI66" s="12"/>
      <c r="AJ66" s="5"/>
      <c r="AK66" s="5"/>
      <c r="AL66" s="5"/>
      <c r="AM66" s="5"/>
      <c r="AN66" s="30">
        <v>3.2</v>
      </c>
      <c r="AO66" s="30">
        <v>3.2</v>
      </c>
      <c r="AP66" s="30">
        <v>2.4</v>
      </c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</row>
    <row r="67" spans="1:71" ht="30" customHeight="1" x14ac:dyDescent="0.25">
      <c r="A67" s="50" t="s">
        <v>140</v>
      </c>
      <c r="B67" s="51" t="s">
        <v>62</v>
      </c>
      <c r="C67" s="9" t="s">
        <v>64</v>
      </c>
      <c r="D67" s="17" t="s">
        <v>65</v>
      </c>
      <c r="E67" s="17" t="s">
        <v>165</v>
      </c>
      <c r="F67" s="17" t="s">
        <v>162</v>
      </c>
      <c r="G67" s="17"/>
      <c r="H67" s="12">
        <v>2</v>
      </c>
      <c r="I67" s="5">
        <v>2</v>
      </c>
      <c r="J67" s="11">
        <v>2</v>
      </c>
      <c r="K67" s="12"/>
      <c r="L67" s="5">
        <v>2</v>
      </c>
      <c r="M67" s="5"/>
      <c r="N67" s="5"/>
      <c r="O67" s="5"/>
      <c r="P67" s="5">
        <v>3</v>
      </c>
      <c r="Q67" s="5"/>
      <c r="R67" s="5"/>
      <c r="S67" s="5"/>
      <c r="T67" s="5"/>
      <c r="U67" s="5"/>
      <c r="V67" s="5"/>
      <c r="W67" s="5">
        <v>2</v>
      </c>
      <c r="X67" s="5"/>
      <c r="Y67" s="5"/>
      <c r="Z67" s="5"/>
      <c r="AA67" s="5">
        <v>1</v>
      </c>
      <c r="AB67" s="5">
        <v>1</v>
      </c>
      <c r="AC67" s="5"/>
      <c r="AD67" s="5"/>
      <c r="AE67" s="5"/>
      <c r="AF67" s="5"/>
      <c r="AG67" s="5"/>
      <c r="AH67" s="11"/>
      <c r="AI67" s="12"/>
      <c r="AJ67" s="5"/>
      <c r="AK67" s="5"/>
      <c r="AL67" s="5"/>
      <c r="AM67" s="5"/>
      <c r="AN67" s="30">
        <v>4</v>
      </c>
      <c r="AO67" s="30">
        <v>4</v>
      </c>
      <c r="AP67" s="30">
        <v>3</v>
      </c>
      <c r="AQ67" s="30"/>
      <c r="AR67" s="30">
        <v>3.4</v>
      </c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</row>
    <row r="68" spans="1:71" s="64" customFormat="1" ht="30" customHeight="1" x14ac:dyDescent="0.25">
      <c r="A68" s="73" t="s">
        <v>141</v>
      </c>
      <c r="B68" s="55" t="s">
        <v>48</v>
      </c>
      <c r="C68" s="56" t="s">
        <v>64</v>
      </c>
      <c r="D68" s="57" t="s">
        <v>65</v>
      </c>
      <c r="E68" s="57" t="s">
        <v>168</v>
      </c>
      <c r="F68" s="57" t="s">
        <v>162</v>
      </c>
      <c r="G68" s="57"/>
      <c r="H68" s="58">
        <v>2</v>
      </c>
      <c r="I68" s="62">
        <v>2</v>
      </c>
      <c r="J68" s="65">
        <v>2</v>
      </c>
      <c r="K68" s="58"/>
      <c r="L68" s="62">
        <v>2</v>
      </c>
      <c r="M68" s="62"/>
      <c r="N68" s="62"/>
      <c r="O68" s="62"/>
      <c r="P68" s="62">
        <v>2</v>
      </c>
      <c r="Q68" s="62"/>
      <c r="R68" s="62"/>
      <c r="S68" s="62"/>
      <c r="T68" s="62"/>
      <c r="U68" s="62"/>
      <c r="V68" s="62">
        <v>2</v>
      </c>
      <c r="W68" s="62"/>
      <c r="X68" s="62"/>
      <c r="Y68" s="62"/>
      <c r="Z68" s="62"/>
      <c r="AA68" s="62">
        <v>1</v>
      </c>
      <c r="AB68" s="62">
        <v>1</v>
      </c>
      <c r="AC68" s="62"/>
      <c r="AD68" s="62"/>
      <c r="AE68" s="62"/>
      <c r="AF68" s="62">
        <v>2</v>
      </c>
      <c r="AG68" s="62"/>
      <c r="AH68" s="65">
        <v>2</v>
      </c>
      <c r="AI68" s="58"/>
      <c r="AJ68" s="62"/>
      <c r="AK68" s="62"/>
      <c r="AL68" s="62"/>
      <c r="AM68" s="62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</row>
    <row r="69" spans="1:71" ht="30" customHeight="1" x14ac:dyDescent="0.25">
      <c r="A69" s="50" t="s">
        <v>142</v>
      </c>
      <c r="B69" s="51" t="s">
        <v>62</v>
      </c>
      <c r="C69" s="9" t="s">
        <v>64</v>
      </c>
      <c r="D69" s="17" t="s">
        <v>65</v>
      </c>
      <c r="E69" s="17" t="s">
        <v>165</v>
      </c>
      <c r="F69" s="17" t="s">
        <v>162</v>
      </c>
      <c r="G69" s="17"/>
      <c r="H69" s="12">
        <v>2</v>
      </c>
      <c r="I69" s="5">
        <v>2</v>
      </c>
      <c r="J69" s="11">
        <v>2</v>
      </c>
      <c r="K69" s="12"/>
      <c r="L69" s="5">
        <v>2</v>
      </c>
      <c r="M69" s="5"/>
      <c r="N69" s="5"/>
      <c r="O69" s="5"/>
      <c r="P69" s="5">
        <v>2</v>
      </c>
      <c r="Q69" s="5"/>
      <c r="R69" s="5"/>
      <c r="S69" s="5"/>
      <c r="T69" s="5"/>
      <c r="U69" s="5"/>
      <c r="V69" s="5">
        <v>2</v>
      </c>
      <c r="W69" s="5"/>
      <c r="X69" s="5"/>
      <c r="Y69" s="5"/>
      <c r="Z69" s="5"/>
      <c r="AA69" s="5">
        <v>1</v>
      </c>
      <c r="AB69" s="5"/>
      <c r="AC69" s="5"/>
      <c r="AD69" s="5"/>
      <c r="AE69" s="5"/>
      <c r="AF69" s="5">
        <v>2</v>
      </c>
      <c r="AG69" s="5"/>
      <c r="AH69" s="11">
        <v>2</v>
      </c>
      <c r="AI69" s="12"/>
      <c r="AJ69" s="5"/>
      <c r="AK69" s="5"/>
      <c r="AL69" s="5"/>
      <c r="AM69" s="5"/>
      <c r="AN69" s="30">
        <v>4</v>
      </c>
      <c r="AO69" s="30">
        <v>4</v>
      </c>
      <c r="AP69" s="30">
        <v>3</v>
      </c>
      <c r="AQ69" s="30"/>
      <c r="AR69" s="30">
        <v>3.4</v>
      </c>
      <c r="AS69" s="30"/>
      <c r="AT69" s="30"/>
      <c r="AU69" s="30"/>
      <c r="AV69" s="30"/>
      <c r="AW69" s="30"/>
      <c r="AX69" s="30"/>
      <c r="AY69" s="30">
        <v>4</v>
      </c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</row>
    <row r="70" spans="1:71" ht="30" customHeight="1" x14ac:dyDescent="0.25">
      <c r="A70" s="53" t="s">
        <v>143</v>
      </c>
      <c r="B70" s="51" t="s">
        <v>58</v>
      </c>
      <c r="C70" s="9" t="s">
        <v>64</v>
      </c>
      <c r="D70" s="17" t="s">
        <v>65</v>
      </c>
      <c r="E70" s="17" t="s">
        <v>168</v>
      </c>
      <c r="F70" s="17" t="s">
        <v>162</v>
      </c>
      <c r="G70" s="17"/>
      <c r="H70" s="12">
        <v>2</v>
      </c>
      <c r="I70" s="5">
        <v>2</v>
      </c>
      <c r="J70" s="11">
        <v>2</v>
      </c>
      <c r="K70" s="12"/>
      <c r="L70" s="5">
        <v>2</v>
      </c>
      <c r="M70" s="5"/>
      <c r="N70" s="5"/>
      <c r="O70" s="5"/>
      <c r="P70" s="5">
        <v>3</v>
      </c>
      <c r="Q70" s="5"/>
      <c r="R70" s="5"/>
      <c r="S70" s="5"/>
      <c r="T70" s="5"/>
      <c r="U70" s="5"/>
      <c r="V70" s="5">
        <v>2</v>
      </c>
      <c r="W70" s="5"/>
      <c r="X70" s="5"/>
      <c r="Y70" s="5"/>
      <c r="Z70" s="5"/>
      <c r="AA70" s="5">
        <v>1</v>
      </c>
      <c r="AB70" s="5"/>
      <c r="AC70" s="5"/>
      <c r="AD70" s="5"/>
      <c r="AE70" s="5"/>
      <c r="AF70" s="5">
        <v>1</v>
      </c>
      <c r="AG70" s="5"/>
      <c r="AH70" s="11">
        <v>2</v>
      </c>
      <c r="AI70" s="12"/>
      <c r="AJ70" s="5"/>
      <c r="AK70" s="5"/>
      <c r="AL70" s="5"/>
      <c r="AM70" s="5"/>
      <c r="AN70" s="30">
        <v>3.5</v>
      </c>
      <c r="AO70" s="30">
        <v>3.8</v>
      </c>
      <c r="AP70" s="30">
        <v>3.4</v>
      </c>
      <c r="AQ70" s="30"/>
      <c r="AR70" s="30">
        <v>3.6</v>
      </c>
      <c r="AS70" s="30"/>
      <c r="AT70" s="30"/>
      <c r="AU70" s="30"/>
      <c r="AV70" s="30">
        <v>3.6</v>
      </c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>
        <v>3.6</v>
      </c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</row>
    <row r="71" spans="1:71" s="64" customFormat="1" ht="30" customHeight="1" x14ac:dyDescent="0.25">
      <c r="A71" s="54" t="s">
        <v>144</v>
      </c>
      <c r="B71" s="55" t="s">
        <v>51</v>
      </c>
      <c r="C71" s="56" t="s">
        <v>64</v>
      </c>
      <c r="D71" s="57" t="s">
        <v>66</v>
      </c>
      <c r="E71" s="57" t="s">
        <v>161</v>
      </c>
      <c r="F71" s="57" t="s">
        <v>162</v>
      </c>
      <c r="G71" s="57"/>
      <c r="H71" s="58">
        <v>2</v>
      </c>
      <c r="I71" s="62">
        <v>2</v>
      </c>
      <c r="J71" s="65">
        <v>2</v>
      </c>
      <c r="K71" s="58"/>
      <c r="L71" s="62">
        <v>1</v>
      </c>
      <c r="M71" s="62"/>
      <c r="N71" s="62"/>
      <c r="O71" s="62">
        <v>1</v>
      </c>
      <c r="P71" s="62">
        <v>3</v>
      </c>
      <c r="Q71" s="62"/>
      <c r="R71" s="62">
        <v>2</v>
      </c>
      <c r="S71" s="62"/>
      <c r="T71" s="62"/>
      <c r="U71" s="62"/>
      <c r="V71" s="62"/>
      <c r="W71" s="62"/>
      <c r="X71" s="62"/>
      <c r="Y71" s="62">
        <v>2</v>
      </c>
      <c r="Z71" s="62">
        <v>2</v>
      </c>
      <c r="AA71" s="62">
        <v>1</v>
      </c>
      <c r="AB71" s="62"/>
      <c r="AC71" s="62"/>
      <c r="AD71" s="62"/>
      <c r="AE71" s="62"/>
      <c r="AF71" s="62"/>
      <c r="AG71" s="62"/>
      <c r="AH71" s="65">
        <v>1</v>
      </c>
      <c r="AI71" s="58"/>
      <c r="AJ71" s="62"/>
      <c r="AK71" s="62"/>
      <c r="AL71" s="62"/>
      <c r="AM71" s="62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</row>
    <row r="72" spans="1:71" s="64" customFormat="1" ht="30" customHeight="1" x14ac:dyDescent="0.25">
      <c r="A72" s="54" t="s">
        <v>145</v>
      </c>
      <c r="B72" s="55" t="s">
        <v>51</v>
      </c>
      <c r="C72" s="56" t="s">
        <v>64</v>
      </c>
      <c r="D72" s="57" t="s">
        <v>66</v>
      </c>
      <c r="E72" s="57" t="s">
        <v>161</v>
      </c>
      <c r="F72" s="57" t="s">
        <v>162</v>
      </c>
      <c r="G72" s="57"/>
      <c r="H72" s="58">
        <v>2</v>
      </c>
      <c r="I72" s="62">
        <v>2</v>
      </c>
      <c r="J72" s="65">
        <v>2</v>
      </c>
      <c r="K72" s="58"/>
      <c r="L72" s="62">
        <v>2</v>
      </c>
      <c r="M72" s="62"/>
      <c r="N72" s="62"/>
      <c r="O72" s="62"/>
      <c r="P72" s="62">
        <v>2</v>
      </c>
      <c r="Q72" s="62">
        <v>2</v>
      </c>
      <c r="R72" s="62"/>
      <c r="S72" s="62">
        <v>2</v>
      </c>
      <c r="T72" s="62"/>
      <c r="U72" s="62"/>
      <c r="V72" s="62">
        <v>2</v>
      </c>
      <c r="W72" s="62"/>
      <c r="X72" s="62"/>
      <c r="Y72" s="62"/>
      <c r="Z72" s="62"/>
      <c r="AA72" s="62">
        <v>1</v>
      </c>
      <c r="AB72" s="62"/>
      <c r="AC72" s="62"/>
      <c r="AD72" s="62"/>
      <c r="AE72" s="62"/>
      <c r="AF72" s="62">
        <v>1</v>
      </c>
      <c r="AG72" s="62"/>
      <c r="AH72" s="65">
        <v>1</v>
      </c>
      <c r="AI72" s="58"/>
      <c r="AJ72" s="62"/>
      <c r="AK72" s="62"/>
      <c r="AL72" s="62"/>
      <c r="AM72" s="62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</row>
    <row r="73" spans="1:71" ht="30" customHeight="1" x14ac:dyDescent="0.25">
      <c r="A73" s="50" t="s">
        <v>146</v>
      </c>
      <c r="B73" s="51" t="s">
        <v>46</v>
      </c>
      <c r="C73" s="9" t="s">
        <v>64</v>
      </c>
      <c r="D73" s="17" t="s">
        <v>66</v>
      </c>
      <c r="E73" s="17" t="s">
        <v>161</v>
      </c>
      <c r="F73" s="17" t="s">
        <v>162</v>
      </c>
      <c r="G73" s="17"/>
      <c r="H73" s="12">
        <v>2</v>
      </c>
      <c r="I73" s="5">
        <v>2</v>
      </c>
      <c r="J73" s="11">
        <v>2</v>
      </c>
      <c r="K73" s="12"/>
      <c r="L73" s="5">
        <v>2</v>
      </c>
      <c r="M73" s="5"/>
      <c r="N73" s="5"/>
      <c r="O73" s="5">
        <v>1</v>
      </c>
      <c r="P73" s="5">
        <v>2</v>
      </c>
      <c r="Q73" s="5"/>
      <c r="R73" s="5"/>
      <c r="S73" s="5"/>
      <c r="T73" s="5"/>
      <c r="U73" s="5"/>
      <c r="V73" s="5">
        <v>2</v>
      </c>
      <c r="W73" s="5"/>
      <c r="X73" s="5"/>
      <c r="Y73" s="5"/>
      <c r="Z73" s="5"/>
      <c r="AA73" s="5">
        <v>1</v>
      </c>
      <c r="AB73" s="5"/>
      <c r="AC73" s="5"/>
      <c r="AD73" s="5"/>
      <c r="AE73" s="5"/>
      <c r="AF73" s="5">
        <v>1</v>
      </c>
      <c r="AG73" s="5"/>
      <c r="AH73" s="11">
        <v>1</v>
      </c>
      <c r="AI73" s="12"/>
      <c r="AJ73" s="5"/>
      <c r="AK73" s="5"/>
      <c r="AL73" s="5"/>
      <c r="AM73" s="5"/>
      <c r="AN73" s="30">
        <v>3.5</v>
      </c>
      <c r="AO73" s="30">
        <v>3.1</v>
      </c>
      <c r="AP73" s="30">
        <v>3</v>
      </c>
      <c r="AQ73" s="30"/>
      <c r="AR73" s="30">
        <v>3.4</v>
      </c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</row>
    <row r="74" spans="1:71" s="64" customFormat="1" ht="30" customHeight="1" x14ac:dyDescent="0.25">
      <c r="A74" s="54" t="s">
        <v>147</v>
      </c>
      <c r="B74" s="55" t="s">
        <v>50</v>
      </c>
      <c r="C74" s="56" t="s">
        <v>64</v>
      </c>
      <c r="D74" s="57" t="s">
        <v>66</v>
      </c>
      <c r="E74" s="57" t="s">
        <v>161</v>
      </c>
      <c r="F74" s="57" t="s">
        <v>162</v>
      </c>
      <c r="G74" s="57"/>
      <c r="H74" s="58">
        <v>2</v>
      </c>
      <c r="I74" s="62">
        <v>2</v>
      </c>
      <c r="J74" s="65">
        <v>2</v>
      </c>
      <c r="K74" s="58"/>
      <c r="L74" s="62">
        <v>2</v>
      </c>
      <c r="M74" s="62"/>
      <c r="N74" s="62"/>
      <c r="O74" s="62"/>
      <c r="P74" s="62">
        <v>3</v>
      </c>
      <c r="Q74" s="62"/>
      <c r="R74" s="62"/>
      <c r="S74" s="62"/>
      <c r="T74" s="62"/>
      <c r="U74" s="62"/>
      <c r="V74" s="62">
        <v>2</v>
      </c>
      <c r="W74" s="62"/>
      <c r="X74" s="62"/>
      <c r="Y74" s="62"/>
      <c r="Z74" s="62"/>
      <c r="AA74" s="62">
        <v>1</v>
      </c>
      <c r="AB74" s="62"/>
      <c r="AC74" s="62"/>
      <c r="AD74" s="62"/>
      <c r="AE74" s="62"/>
      <c r="AF74" s="62">
        <v>1</v>
      </c>
      <c r="AG74" s="62"/>
      <c r="AH74" s="65">
        <v>1</v>
      </c>
      <c r="AI74" s="58"/>
      <c r="AJ74" s="62"/>
      <c r="AK74" s="62"/>
      <c r="AL74" s="62"/>
      <c r="AM74" s="62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</row>
    <row r="75" spans="1:71" s="64" customFormat="1" ht="30" customHeight="1" x14ac:dyDescent="0.25">
      <c r="A75" s="54" t="s">
        <v>148</v>
      </c>
      <c r="B75" s="55" t="s">
        <v>51</v>
      </c>
      <c r="C75" s="56" t="s">
        <v>64</v>
      </c>
      <c r="D75" s="57" t="s">
        <v>66</v>
      </c>
      <c r="E75" s="57" t="s">
        <v>161</v>
      </c>
      <c r="F75" s="57" t="s">
        <v>162</v>
      </c>
      <c r="G75" s="57"/>
      <c r="H75" s="58">
        <v>2</v>
      </c>
      <c r="I75" s="59">
        <v>2</v>
      </c>
      <c r="J75" s="60">
        <v>2</v>
      </c>
      <c r="K75" s="61"/>
      <c r="L75" s="59">
        <v>2</v>
      </c>
      <c r="M75" s="59"/>
      <c r="N75" s="59"/>
      <c r="O75" s="59"/>
      <c r="P75" s="59">
        <v>2</v>
      </c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>
        <v>1</v>
      </c>
      <c r="AB75" s="59">
        <v>1</v>
      </c>
      <c r="AC75" s="59"/>
      <c r="AD75" s="59">
        <v>2</v>
      </c>
      <c r="AE75" s="59">
        <v>2</v>
      </c>
      <c r="AF75" s="59"/>
      <c r="AG75" s="59"/>
      <c r="AH75" s="65">
        <v>1</v>
      </c>
      <c r="AI75" s="58"/>
      <c r="AJ75" s="62"/>
      <c r="AK75" s="62"/>
      <c r="AL75" s="62"/>
      <c r="AM75" s="62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</row>
    <row r="76" spans="1:71" ht="30" customHeight="1" x14ac:dyDescent="0.25">
      <c r="A76" s="50" t="s">
        <v>149</v>
      </c>
      <c r="B76" s="51" t="s">
        <v>150</v>
      </c>
      <c r="C76" s="9" t="s">
        <v>64</v>
      </c>
      <c r="D76" s="17" t="s">
        <v>43</v>
      </c>
      <c r="E76" s="17"/>
      <c r="F76" s="17" t="s">
        <v>162</v>
      </c>
      <c r="G76" s="17"/>
      <c r="H76" s="12">
        <v>2</v>
      </c>
      <c r="I76" s="7">
        <v>2</v>
      </c>
      <c r="J76" s="13">
        <v>2</v>
      </c>
      <c r="K76" s="14"/>
      <c r="L76" s="7">
        <v>2</v>
      </c>
      <c r="M76" s="7"/>
      <c r="N76" s="7"/>
      <c r="O76" s="7"/>
      <c r="P76" s="7">
        <v>3</v>
      </c>
      <c r="Q76" s="7"/>
      <c r="R76" s="7"/>
      <c r="S76" s="7"/>
      <c r="T76" s="7"/>
      <c r="U76" s="7"/>
      <c r="V76" s="7">
        <v>2</v>
      </c>
      <c r="W76" s="7"/>
      <c r="X76" s="7"/>
      <c r="Y76" s="7"/>
      <c r="Z76" s="7"/>
      <c r="AA76" s="7">
        <v>1</v>
      </c>
      <c r="AB76" s="7"/>
      <c r="AC76" s="7"/>
      <c r="AD76" s="7"/>
      <c r="AE76" s="7"/>
      <c r="AF76" s="7">
        <v>1</v>
      </c>
      <c r="AG76" s="7"/>
      <c r="AH76" s="13"/>
      <c r="AI76" s="12"/>
      <c r="AJ76" s="5"/>
      <c r="AK76" s="5"/>
      <c r="AL76" s="5"/>
      <c r="AM76" s="5"/>
      <c r="AN76" s="30">
        <v>3.9</v>
      </c>
      <c r="AO76" s="30">
        <v>3.9</v>
      </c>
      <c r="AP76" s="30">
        <v>3.5</v>
      </c>
      <c r="AQ76" s="30"/>
      <c r="AR76" s="30">
        <v>3.8</v>
      </c>
      <c r="AS76" s="30"/>
      <c r="AT76" s="30"/>
      <c r="AU76" s="30"/>
      <c r="AV76" s="30">
        <v>3.8</v>
      </c>
      <c r="AW76" s="30"/>
      <c r="AX76" s="30"/>
      <c r="AY76" s="30"/>
      <c r="AZ76" s="30"/>
      <c r="BA76" s="30"/>
      <c r="BB76" s="30">
        <v>3.8</v>
      </c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</row>
    <row r="77" spans="1:71" ht="30" customHeight="1" x14ac:dyDescent="0.25">
      <c r="A77" s="50" t="s">
        <v>151</v>
      </c>
      <c r="B77" s="51" t="s">
        <v>114</v>
      </c>
      <c r="C77" s="9" t="s">
        <v>64</v>
      </c>
      <c r="D77" s="17" t="s">
        <v>68</v>
      </c>
      <c r="E77" s="17" t="s">
        <v>171</v>
      </c>
      <c r="F77" s="17" t="s">
        <v>162</v>
      </c>
      <c r="G77" s="17"/>
      <c r="H77" s="12">
        <v>2</v>
      </c>
      <c r="I77" s="7">
        <v>2</v>
      </c>
      <c r="J77" s="13">
        <v>2</v>
      </c>
      <c r="K77" s="14"/>
      <c r="L77" s="7">
        <v>1</v>
      </c>
      <c r="M77" s="7"/>
      <c r="N77" s="7"/>
      <c r="O77" s="7"/>
      <c r="P77" s="7">
        <v>3</v>
      </c>
      <c r="Q77" s="7"/>
      <c r="R77" s="7"/>
      <c r="S77" s="7"/>
      <c r="T77" s="7"/>
      <c r="U77" s="7"/>
      <c r="V77" s="7"/>
      <c r="W77" s="7">
        <v>1</v>
      </c>
      <c r="X77" s="7"/>
      <c r="Y77" s="7"/>
      <c r="Z77" s="7"/>
      <c r="AA77" s="7">
        <v>1</v>
      </c>
      <c r="AB77" s="7"/>
      <c r="AC77" s="7"/>
      <c r="AD77" s="7"/>
      <c r="AE77" s="7"/>
      <c r="AF77" s="7">
        <v>1</v>
      </c>
      <c r="AG77" s="7"/>
      <c r="AH77" s="15"/>
      <c r="AI77" s="12"/>
      <c r="AJ77" s="5"/>
      <c r="AK77" s="5"/>
      <c r="AL77" s="5"/>
      <c r="AM77" s="5"/>
      <c r="AN77" s="30">
        <v>3.8</v>
      </c>
      <c r="AO77" s="30">
        <v>3.7</v>
      </c>
      <c r="AP77" s="30">
        <v>3.6</v>
      </c>
      <c r="AQ77" s="30">
        <v>4</v>
      </c>
      <c r="AR77" s="30">
        <v>3.8</v>
      </c>
      <c r="AS77" s="30"/>
      <c r="AT77" s="30">
        <v>3.8</v>
      </c>
      <c r="AU77" s="30"/>
      <c r="AV77" s="30">
        <v>3.9</v>
      </c>
      <c r="AW77" s="30"/>
      <c r="AX77" s="30"/>
      <c r="AY77" s="30"/>
      <c r="AZ77" s="30">
        <v>3.5</v>
      </c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>
        <v>3.7</v>
      </c>
      <c r="BO77" s="30"/>
      <c r="BP77" s="30"/>
      <c r="BQ77" s="30"/>
      <c r="BR77" s="30"/>
      <c r="BS77" s="30"/>
    </row>
    <row r="78" spans="1:71" ht="30" customHeight="1" x14ac:dyDescent="0.25">
      <c r="A78" s="50" t="s">
        <v>152</v>
      </c>
      <c r="B78" s="51" t="s">
        <v>153</v>
      </c>
      <c r="C78" s="9" t="s">
        <v>64</v>
      </c>
      <c r="D78" s="17" t="s">
        <v>68</v>
      </c>
      <c r="E78" s="17" t="s">
        <v>171</v>
      </c>
      <c r="F78" s="17" t="s">
        <v>162</v>
      </c>
      <c r="G78" s="17"/>
      <c r="H78" s="12">
        <v>2</v>
      </c>
      <c r="I78" s="5">
        <v>2</v>
      </c>
      <c r="J78" s="11">
        <v>2</v>
      </c>
      <c r="K78" s="12"/>
      <c r="L78" s="5">
        <v>2</v>
      </c>
      <c r="M78" s="5"/>
      <c r="N78" s="5"/>
      <c r="O78" s="5"/>
      <c r="P78" s="5">
        <v>3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</v>
      </c>
      <c r="AB78" s="5">
        <v>1</v>
      </c>
      <c r="AC78" s="5"/>
      <c r="AD78" s="5"/>
      <c r="AE78" s="5"/>
      <c r="AF78" s="5"/>
      <c r="AG78" s="5"/>
      <c r="AH78" s="11">
        <v>1</v>
      </c>
      <c r="AI78" s="12"/>
      <c r="AJ78" s="5"/>
      <c r="AK78" s="5"/>
      <c r="AL78" s="5"/>
      <c r="AM78" s="5"/>
      <c r="AN78" s="30">
        <v>3.8</v>
      </c>
      <c r="AO78" s="30">
        <v>3.9</v>
      </c>
      <c r="AP78" s="30">
        <v>3.8</v>
      </c>
      <c r="AQ78" s="30"/>
      <c r="AR78" s="30">
        <v>3.7</v>
      </c>
      <c r="AS78" s="30"/>
      <c r="AT78" s="30"/>
      <c r="AU78" s="30"/>
      <c r="AV78" s="30">
        <v>3.9</v>
      </c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>
        <v>3.8</v>
      </c>
      <c r="BO78" s="30"/>
      <c r="BP78" s="30"/>
      <c r="BQ78" s="30"/>
      <c r="BR78" s="30"/>
      <c r="BS78" s="30"/>
    </row>
    <row r="79" spans="1:71" ht="30" customHeight="1" x14ac:dyDescent="0.25">
      <c r="A79" s="53" t="s">
        <v>154</v>
      </c>
      <c r="B79" s="51" t="s">
        <v>52</v>
      </c>
      <c r="C79" s="9" t="s">
        <v>64</v>
      </c>
      <c r="D79" s="17" t="s">
        <v>65</v>
      </c>
      <c r="E79" s="17" t="s">
        <v>168</v>
      </c>
      <c r="F79" s="17" t="s">
        <v>162</v>
      </c>
      <c r="G79" s="17"/>
      <c r="H79" s="12">
        <v>2</v>
      </c>
      <c r="I79" s="5">
        <v>2</v>
      </c>
      <c r="J79" s="11">
        <v>2</v>
      </c>
      <c r="K79" s="12"/>
      <c r="L79" s="5">
        <v>2</v>
      </c>
      <c r="M79" s="5"/>
      <c r="N79" s="5"/>
      <c r="O79" s="5"/>
      <c r="P79" s="5">
        <v>2</v>
      </c>
      <c r="Q79" s="5"/>
      <c r="R79" s="5"/>
      <c r="S79" s="5"/>
      <c r="T79" s="5"/>
      <c r="U79" s="5"/>
      <c r="V79" s="5">
        <v>2</v>
      </c>
      <c r="W79" s="5"/>
      <c r="X79" s="5"/>
      <c r="Y79" s="5"/>
      <c r="Z79" s="5"/>
      <c r="AA79" s="5">
        <v>1</v>
      </c>
      <c r="AB79" s="5"/>
      <c r="AC79" s="5"/>
      <c r="AD79" s="5"/>
      <c r="AE79" s="5"/>
      <c r="AF79" s="5">
        <v>2</v>
      </c>
      <c r="AG79" s="5"/>
      <c r="AH79" s="11">
        <v>2</v>
      </c>
      <c r="AI79" s="12"/>
      <c r="AJ79" s="5"/>
      <c r="AK79" s="5"/>
      <c r="AL79" s="5"/>
      <c r="AM79" s="5"/>
      <c r="AN79" s="30">
        <v>4</v>
      </c>
      <c r="AO79" s="30">
        <v>3.4</v>
      </c>
      <c r="AP79" s="30">
        <v>3.4</v>
      </c>
      <c r="AQ79" s="30"/>
      <c r="AR79" s="30">
        <v>3.8</v>
      </c>
      <c r="AS79" s="30"/>
      <c r="AT79" s="30"/>
      <c r="AU79" s="30"/>
      <c r="AV79" s="30">
        <v>3.6</v>
      </c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>
        <v>4</v>
      </c>
      <c r="BH79" s="30">
        <v>3.4</v>
      </c>
      <c r="BI79" s="30"/>
      <c r="BJ79" s="30"/>
      <c r="BK79" s="30"/>
      <c r="BL79" s="30"/>
      <c r="BM79" s="30"/>
      <c r="BN79" s="30">
        <v>3.8</v>
      </c>
      <c r="BO79" s="30"/>
      <c r="BP79" s="30"/>
      <c r="BQ79" s="30"/>
      <c r="BR79" s="30"/>
      <c r="BS79" s="30"/>
    </row>
    <row r="80" spans="1:71" ht="30" customHeight="1" x14ac:dyDescent="0.25">
      <c r="A80" s="50" t="s">
        <v>155</v>
      </c>
      <c r="B80" s="51" t="s">
        <v>53</v>
      </c>
      <c r="C80" s="9" t="s">
        <v>64</v>
      </c>
      <c r="D80" s="17" t="s">
        <v>67</v>
      </c>
      <c r="E80" s="17"/>
      <c r="F80" s="17" t="s">
        <v>162</v>
      </c>
      <c r="G80" s="17"/>
      <c r="H80" s="12">
        <v>2</v>
      </c>
      <c r="I80" s="5">
        <v>1</v>
      </c>
      <c r="J80" s="11">
        <v>2</v>
      </c>
      <c r="K80" s="12"/>
      <c r="L80" s="5">
        <v>2</v>
      </c>
      <c r="M80" s="5"/>
      <c r="N80" s="5"/>
      <c r="O80" s="5"/>
      <c r="P80" s="5">
        <v>2</v>
      </c>
      <c r="Q80" s="5"/>
      <c r="R80" s="5"/>
      <c r="S80" s="5"/>
      <c r="T80" s="5"/>
      <c r="U80" s="5"/>
      <c r="V80" s="5">
        <v>2</v>
      </c>
      <c r="W80" s="5"/>
      <c r="X80" s="5"/>
      <c r="Y80" s="5"/>
      <c r="Z80" s="5"/>
      <c r="AA80" s="5">
        <v>1</v>
      </c>
      <c r="AB80" s="5"/>
      <c r="AC80" s="5"/>
      <c r="AD80" s="5"/>
      <c r="AE80" s="5"/>
      <c r="AF80" s="5">
        <v>1</v>
      </c>
      <c r="AG80" s="5"/>
      <c r="AH80" s="11">
        <v>1</v>
      </c>
      <c r="AI80" s="12"/>
      <c r="AJ80" s="5"/>
      <c r="AK80" s="5"/>
      <c r="AL80" s="5"/>
      <c r="AM80" s="5"/>
      <c r="AN80" s="30">
        <v>4</v>
      </c>
      <c r="AO80" s="30">
        <v>3.9</v>
      </c>
      <c r="AP80" s="30">
        <v>3.8</v>
      </c>
      <c r="AQ80" s="30"/>
      <c r="AR80" s="30">
        <v>3.7</v>
      </c>
      <c r="AS80" s="30"/>
      <c r="AT80" s="30"/>
      <c r="AU80" s="30"/>
      <c r="AV80" s="30">
        <v>3.9</v>
      </c>
      <c r="AW80" s="30"/>
      <c r="AX80" s="30"/>
      <c r="AY80" s="30">
        <v>4</v>
      </c>
      <c r="AZ80" s="30"/>
      <c r="BA80" s="30"/>
      <c r="BB80" s="30"/>
      <c r="BC80" s="30"/>
      <c r="BD80" s="30"/>
      <c r="BE80" s="30"/>
      <c r="BF80" s="30"/>
      <c r="BG80" s="30">
        <v>4</v>
      </c>
      <c r="BH80" s="30"/>
      <c r="BI80" s="30"/>
      <c r="BJ80" s="30"/>
      <c r="BK80" s="30"/>
      <c r="BL80" s="30">
        <v>3.5</v>
      </c>
      <c r="BM80" s="30"/>
      <c r="BN80" s="30">
        <v>3.9</v>
      </c>
      <c r="BO80" s="30"/>
      <c r="BP80" s="30"/>
      <c r="BQ80" s="30"/>
      <c r="BR80" s="30"/>
      <c r="BS80" s="30"/>
    </row>
    <row r="81" spans="1:73" ht="30" customHeight="1" x14ac:dyDescent="0.25">
      <c r="A81" s="50" t="s">
        <v>156</v>
      </c>
      <c r="B81" s="51" t="s">
        <v>44</v>
      </c>
      <c r="C81" s="9" t="s">
        <v>64</v>
      </c>
      <c r="D81" s="17" t="s">
        <v>67</v>
      </c>
      <c r="E81" s="17"/>
      <c r="F81" s="17" t="s">
        <v>162</v>
      </c>
      <c r="G81" s="17"/>
      <c r="H81" s="12">
        <v>2</v>
      </c>
      <c r="I81" s="5">
        <v>2</v>
      </c>
      <c r="J81" s="11">
        <v>2</v>
      </c>
      <c r="K81" s="12"/>
      <c r="L81" s="5">
        <v>2</v>
      </c>
      <c r="M81" s="5"/>
      <c r="N81" s="5"/>
      <c r="O81" s="5"/>
      <c r="P81" s="5">
        <v>2</v>
      </c>
      <c r="Q81" s="5"/>
      <c r="R81" s="5"/>
      <c r="S81" s="5"/>
      <c r="T81" s="5"/>
      <c r="U81" s="5"/>
      <c r="V81" s="5">
        <v>2</v>
      </c>
      <c r="W81" s="5"/>
      <c r="X81" s="5"/>
      <c r="Y81" s="5"/>
      <c r="Z81" s="5"/>
      <c r="AA81" s="5">
        <v>1</v>
      </c>
      <c r="AB81" s="5"/>
      <c r="AC81" s="5"/>
      <c r="AD81" s="5"/>
      <c r="AE81" s="5"/>
      <c r="AF81" s="5">
        <v>1</v>
      </c>
      <c r="AG81" s="5"/>
      <c r="AH81" s="11">
        <v>1</v>
      </c>
      <c r="AI81" s="12"/>
      <c r="AJ81" s="5"/>
      <c r="AK81" s="5"/>
      <c r="AL81" s="5"/>
      <c r="AM81" s="5"/>
      <c r="AN81" s="30">
        <v>3.8</v>
      </c>
      <c r="AO81" s="30">
        <v>4</v>
      </c>
      <c r="AP81" s="30">
        <v>3.1</v>
      </c>
      <c r="AQ81" s="30"/>
      <c r="AR81" s="30">
        <v>3.5</v>
      </c>
      <c r="AS81" s="30"/>
      <c r="AT81" s="30"/>
      <c r="AU81" s="30"/>
      <c r="AV81" s="30">
        <v>3.7</v>
      </c>
      <c r="AW81" s="30"/>
      <c r="AX81" s="30"/>
      <c r="AY81" s="30"/>
      <c r="AZ81" s="30"/>
      <c r="BA81" s="30"/>
      <c r="BB81" s="30">
        <v>3.4</v>
      </c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>
        <v>3.4</v>
      </c>
      <c r="BO81" s="30"/>
      <c r="BP81" s="30"/>
      <c r="BQ81" s="30"/>
      <c r="BR81" s="30"/>
      <c r="BS81" s="30"/>
    </row>
    <row r="82" spans="1:73" ht="30" customHeight="1" x14ac:dyDescent="0.25">
      <c r="A82" s="50" t="s">
        <v>157</v>
      </c>
      <c r="B82" s="51" t="s">
        <v>49</v>
      </c>
      <c r="C82" s="9" t="s">
        <v>64</v>
      </c>
      <c r="D82" s="17" t="s">
        <v>68</v>
      </c>
      <c r="E82" s="17" t="s">
        <v>171</v>
      </c>
      <c r="F82" s="17" t="s">
        <v>162</v>
      </c>
      <c r="G82" s="17"/>
      <c r="H82" s="12">
        <v>2</v>
      </c>
      <c r="I82" s="5">
        <v>1</v>
      </c>
      <c r="J82" s="11">
        <v>2</v>
      </c>
      <c r="K82" s="12"/>
      <c r="L82" s="5">
        <v>2</v>
      </c>
      <c r="M82" s="5"/>
      <c r="N82" s="5"/>
      <c r="O82" s="5"/>
      <c r="P82" s="5">
        <v>2</v>
      </c>
      <c r="Q82" s="5"/>
      <c r="R82" s="5"/>
      <c r="S82" s="5"/>
      <c r="T82" s="5"/>
      <c r="U82" s="5"/>
      <c r="V82" s="5">
        <v>2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1</v>
      </c>
      <c r="AG82" s="5"/>
      <c r="AH82" s="11">
        <v>1</v>
      </c>
      <c r="AI82" s="12"/>
      <c r="AJ82" s="5"/>
      <c r="AK82" s="5"/>
      <c r="AL82" s="5"/>
      <c r="AM82" s="5"/>
      <c r="AN82" s="30">
        <v>3.9</v>
      </c>
      <c r="AO82" s="30">
        <v>3.7</v>
      </c>
      <c r="AP82" s="30">
        <v>3</v>
      </c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>
        <v>3.9</v>
      </c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</row>
    <row r="83" spans="1:73" ht="30" customHeight="1" x14ac:dyDescent="0.25">
      <c r="A83" s="53" t="s">
        <v>158</v>
      </c>
      <c r="B83" s="51" t="s">
        <v>52</v>
      </c>
      <c r="C83" s="9" t="s">
        <v>64</v>
      </c>
      <c r="D83" s="17" t="s">
        <v>65</v>
      </c>
      <c r="E83" s="17" t="s">
        <v>165</v>
      </c>
      <c r="F83" s="17" t="s">
        <v>162</v>
      </c>
      <c r="G83" s="17"/>
      <c r="H83" s="12">
        <v>2</v>
      </c>
      <c r="I83" s="5">
        <v>1</v>
      </c>
      <c r="J83" s="11">
        <v>2</v>
      </c>
      <c r="K83" s="12"/>
      <c r="L83" s="5">
        <v>2</v>
      </c>
      <c r="M83" s="5"/>
      <c r="N83" s="5"/>
      <c r="O83" s="5"/>
      <c r="P83" s="5">
        <v>2</v>
      </c>
      <c r="Q83" s="5"/>
      <c r="R83" s="5"/>
      <c r="S83" s="5"/>
      <c r="T83" s="5"/>
      <c r="U83" s="5"/>
      <c r="V83" s="5">
        <v>2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1</v>
      </c>
      <c r="AG83" s="5"/>
      <c r="AH83" s="11">
        <v>1</v>
      </c>
      <c r="AI83" s="12"/>
      <c r="AJ83" s="5"/>
      <c r="AK83" s="5"/>
      <c r="AL83" s="5"/>
      <c r="AM83" s="5"/>
      <c r="AN83" s="30">
        <v>4</v>
      </c>
      <c r="AO83" s="30">
        <v>4</v>
      </c>
      <c r="AP83" s="30">
        <v>4</v>
      </c>
      <c r="AQ83" s="30"/>
      <c r="AR83" s="30">
        <v>4</v>
      </c>
      <c r="AS83" s="30"/>
      <c r="AT83" s="30"/>
      <c r="AU83" s="30"/>
      <c r="AV83" s="30">
        <v>4</v>
      </c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>
        <v>4</v>
      </c>
      <c r="BI83" s="30"/>
      <c r="BJ83" s="30"/>
      <c r="BK83" s="30"/>
      <c r="BL83" s="30">
        <v>3.4</v>
      </c>
      <c r="BM83" s="30"/>
      <c r="BN83" s="30">
        <v>3.8</v>
      </c>
      <c r="BO83" s="30"/>
      <c r="BP83" s="30"/>
      <c r="BQ83" s="30"/>
      <c r="BR83" s="30"/>
      <c r="BS83" s="30"/>
    </row>
    <row r="84" spans="1:73" s="64" customFormat="1" ht="30" customHeight="1" x14ac:dyDescent="0.25">
      <c r="A84" s="73" t="s">
        <v>159</v>
      </c>
      <c r="B84" s="55" t="s">
        <v>50</v>
      </c>
      <c r="C84" s="56" t="s">
        <v>64</v>
      </c>
      <c r="D84" s="57" t="s">
        <v>66</v>
      </c>
      <c r="E84" s="57" t="s">
        <v>163</v>
      </c>
      <c r="F84" s="57" t="s">
        <v>162</v>
      </c>
      <c r="G84" s="57"/>
      <c r="H84" s="58">
        <v>2</v>
      </c>
      <c r="I84" s="62">
        <v>2</v>
      </c>
      <c r="J84" s="65">
        <v>2</v>
      </c>
      <c r="K84" s="58"/>
      <c r="L84" s="62">
        <v>1</v>
      </c>
      <c r="M84" s="62"/>
      <c r="N84" s="62"/>
      <c r="O84" s="62"/>
      <c r="P84" s="62">
        <v>2</v>
      </c>
      <c r="Q84" s="62"/>
      <c r="R84" s="62"/>
      <c r="S84" s="62"/>
      <c r="T84" s="62"/>
      <c r="U84" s="62"/>
      <c r="V84" s="62">
        <v>1</v>
      </c>
      <c r="W84" s="62"/>
      <c r="X84" s="62"/>
      <c r="Y84" s="62"/>
      <c r="Z84" s="62"/>
      <c r="AA84" s="62"/>
      <c r="AB84" s="62"/>
      <c r="AC84" s="62">
        <v>2</v>
      </c>
      <c r="AD84" s="62"/>
      <c r="AE84" s="62"/>
      <c r="AF84" s="62"/>
      <c r="AG84" s="62"/>
      <c r="AH84" s="65">
        <v>1</v>
      </c>
      <c r="AI84" s="58"/>
      <c r="AJ84" s="62"/>
      <c r="AK84" s="62"/>
      <c r="AL84" s="62"/>
      <c r="AM84" s="62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</row>
    <row r="85" spans="1:73" ht="30" customHeight="1" x14ac:dyDescent="0.25">
      <c r="A85" s="50" t="s">
        <v>160</v>
      </c>
      <c r="B85" s="51" t="s">
        <v>50</v>
      </c>
      <c r="C85" s="9" t="s">
        <v>64</v>
      </c>
      <c r="D85" s="17" t="s">
        <v>66</v>
      </c>
      <c r="E85" s="17" t="s">
        <v>163</v>
      </c>
      <c r="F85" s="17" t="s">
        <v>162</v>
      </c>
      <c r="G85" s="17"/>
      <c r="H85" s="12">
        <v>2</v>
      </c>
      <c r="I85" s="5">
        <v>2</v>
      </c>
      <c r="J85" s="11">
        <v>2</v>
      </c>
      <c r="K85" s="12"/>
      <c r="L85" s="5">
        <v>2</v>
      </c>
      <c r="M85" s="5"/>
      <c r="N85" s="5"/>
      <c r="O85" s="5"/>
      <c r="P85" s="5">
        <v>1</v>
      </c>
      <c r="Q85" s="5"/>
      <c r="R85" s="5"/>
      <c r="S85" s="5"/>
      <c r="T85" s="5"/>
      <c r="U85" s="5"/>
      <c r="V85" s="5">
        <v>2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1</v>
      </c>
      <c r="AG85" s="5"/>
      <c r="AH85" s="11">
        <v>1</v>
      </c>
      <c r="AI85" s="12"/>
      <c r="AJ85" s="5"/>
      <c r="AK85" s="5"/>
      <c r="AL85" s="5"/>
      <c r="AM85" s="5"/>
      <c r="AN85" s="30">
        <v>3.4</v>
      </c>
      <c r="AO85" s="30">
        <v>3.1</v>
      </c>
      <c r="AP85" s="30">
        <v>3.2</v>
      </c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</row>
    <row r="86" spans="1:73" ht="30" customHeight="1" x14ac:dyDescent="0.25">
      <c r="A86" s="17"/>
      <c r="B86" s="6"/>
      <c r="C86" s="6"/>
      <c r="D86" s="17"/>
      <c r="E86" s="17"/>
      <c r="F86" s="17"/>
      <c r="G86" s="17"/>
      <c r="H86" s="12">
        <v>2</v>
      </c>
      <c r="I86" s="5">
        <v>2</v>
      </c>
      <c r="J86" s="11">
        <v>2</v>
      </c>
      <c r="K86" s="12"/>
      <c r="L86" s="5">
        <v>1</v>
      </c>
      <c r="M86" s="5"/>
      <c r="N86" s="5"/>
      <c r="O86" s="5"/>
      <c r="P86" s="5">
        <v>3</v>
      </c>
      <c r="Q86" s="5"/>
      <c r="R86" s="5"/>
      <c r="S86" s="5"/>
      <c r="T86" s="5"/>
      <c r="U86" s="5"/>
      <c r="V86" s="5">
        <v>2</v>
      </c>
      <c r="W86" s="5"/>
      <c r="X86" s="5"/>
      <c r="Y86" s="5"/>
      <c r="Z86" s="5"/>
      <c r="AA86" s="5">
        <v>1</v>
      </c>
      <c r="AB86" s="5"/>
      <c r="AC86" s="5"/>
      <c r="AD86" s="5"/>
      <c r="AE86" s="5"/>
      <c r="AF86" s="5">
        <v>1</v>
      </c>
      <c r="AG86" s="5"/>
      <c r="AH86" s="11">
        <v>1</v>
      </c>
      <c r="AI86" s="12"/>
      <c r="AJ86" s="5"/>
      <c r="AK86" s="5"/>
      <c r="AL86" s="5"/>
      <c r="AM86" s="5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</row>
    <row r="87" spans="1:73" ht="30" customHeight="1" x14ac:dyDescent="0.25">
      <c r="A87" s="17" t="s">
        <v>172</v>
      </c>
      <c r="B87" s="6" t="s">
        <v>173</v>
      </c>
      <c r="C87" s="11">
        <v>18</v>
      </c>
      <c r="D87" s="98">
        <v>11</v>
      </c>
      <c r="E87" s="18" t="s">
        <v>64</v>
      </c>
      <c r="F87" s="17" t="s">
        <v>174</v>
      </c>
      <c r="G87" s="17"/>
      <c r="H87" s="17" t="s">
        <v>175</v>
      </c>
      <c r="I87" s="17"/>
      <c r="J87" s="12">
        <v>3</v>
      </c>
      <c r="K87" s="5">
        <v>3</v>
      </c>
      <c r="L87" s="11">
        <v>3</v>
      </c>
      <c r="M87" s="12"/>
      <c r="N87" s="5">
        <v>2</v>
      </c>
      <c r="O87" s="5"/>
      <c r="P87" s="5"/>
      <c r="Q87" s="5"/>
      <c r="R87" s="5">
        <v>3</v>
      </c>
      <c r="S87" s="5"/>
      <c r="T87" s="5"/>
      <c r="U87" s="5"/>
      <c r="V87" s="5"/>
      <c r="W87" s="5"/>
      <c r="X87" s="5">
        <v>3</v>
      </c>
      <c r="Y87" s="5">
        <v>3</v>
      </c>
      <c r="Z87" s="5"/>
      <c r="AA87" s="5"/>
      <c r="AB87" s="5"/>
      <c r="AC87" s="5">
        <v>2</v>
      </c>
      <c r="AD87" s="5">
        <v>1</v>
      </c>
      <c r="AE87" s="5"/>
      <c r="AF87" s="5"/>
      <c r="AG87" s="5"/>
      <c r="AH87" s="5"/>
      <c r="AI87" s="5"/>
      <c r="AJ87" s="11">
        <v>2</v>
      </c>
      <c r="AK87" s="12"/>
      <c r="AL87" s="5"/>
      <c r="AM87" s="5"/>
      <c r="AN87" s="99">
        <v>4</v>
      </c>
      <c r="AO87" s="99">
        <v>3.9</v>
      </c>
      <c r="AP87" s="99">
        <v>3.9</v>
      </c>
      <c r="AQ87" s="99"/>
      <c r="AR87" s="99">
        <v>3.7</v>
      </c>
      <c r="AS87" s="99"/>
      <c r="AT87" s="99"/>
      <c r="AU87" s="99"/>
      <c r="AV87" s="99">
        <v>3.9</v>
      </c>
      <c r="AW87" s="99"/>
      <c r="AX87" s="99"/>
      <c r="AY87" s="99"/>
      <c r="AZ87" s="99"/>
      <c r="BA87" s="99"/>
      <c r="BB87" s="99">
        <v>4</v>
      </c>
      <c r="BC87" s="99">
        <v>3.9</v>
      </c>
      <c r="BD87" s="99"/>
      <c r="BE87" s="99"/>
      <c r="BF87" s="99"/>
      <c r="BG87" s="99">
        <v>4</v>
      </c>
      <c r="BH87" s="99">
        <v>3.8</v>
      </c>
      <c r="BI87" s="99"/>
      <c r="BJ87" s="99"/>
      <c r="BK87" s="99"/>
      <c r="BL87" s="99"/>
      <c r="BM87" s="99"/>
      <c r="BN87" s="99">
        <v>3.8</v>
      </c>
      <c r="BO87" s="99"/>
      <c r="BP87" s="99"/>
      <c r="BQ87" s="99"/>
      <c r="BR87" s="20"/>
      <c r="BS87" s="20"/>
      <c r="BT87" s="20"/>
      <c r="BU87" s="20"/>
    </row>
    <row r="88" spans="1:73" ht="30" customHeight="1" x14ac:dyDescent="0.25">
      <c r="A88" s="17" t="s">
        <v>176</v>
      </c>
      <c r="B88" s="6" t="s">
        <v>173</v>
      </c>
      <c r="C88" s="11">
        <v>18</v>
      </c>
      <c r="D88" s="98">
        <v>11</v>
      </c>
      <c r="E88" s="18" t="s">
        <v>64</v>
      </c>
      <c r="F88" s="17" t="s">
        <v>66</v>
      </c>
      <c r="G88" s="17" t="s">
        <v>161</v>
      </c>
      <c r="H88" s="17" t="s">
        <v>177</v>
      </c>
      <c r="I88" s="17"/>
      <c r="J88" s="12">
        <v>3</v>
      </c>
      <c r="K88" s="5">
        <v>3</v>
      </c>
      <c r="L88" s="11">
        <v>3</v>
      </c>
      <c r="M88" s="12"/>
      <c r="N88" s="5">
        <v>2</v>
      </c>
      <c r="O88" s="5"/>
      <c r="P88" s="5"/>
      <c r="Q88" s="5"/>
      <c r="R88" s="5">
        <v>3</v>
      </c>
      <c r="S88" s="5"/>
      <c r="T88" s="5"/>
      <c r="U88" s="5"/>
      <c r="V88" s="5"/>
      <c r="W88" s="5"/>
      <c r="X88" s="5">
        <v>3</v>
      </c>
      <c r="Y88" s="5">
        <v>3</v>
      </c>
      <c r="Z88" s="5"/>
      <c r="AA88" s="5"/>
      <c r="AB88" s="5"/>
      <c r="AC88" s="5">
        <v>2</v>
      </c>
      <c r="AD88" s="5">
        <v>1</v>
      </c>
      <c r="AE88" s="5"/>
      <c r="AF88" s="5"/>
      <c r="AG88" s="5"/>
      <c r="AH88" s="5"/>
      <c r="AI88" s="5"/>
      <c r="AJ88" s="11">
        <v>2</v>
      </c>
      <c r="AK88" s="12"/>
      <c r="AL88" s="5"/>
      <c r="AM88" s="5"/>
      <c r="AN88" s="19">
        <v>3.8</v>
      </c>
      <c r="AO88" s="19">
        <v>3.8</v>
      </c>
      <c r="AP88" s="19">
        <v>3.6</v>
      </c>
      <c r="AQ88" s="19"/>
      <c r="AR88" s="19">
        <v>4</v>
      </c>
      <c r="AS88" s="99"/>
      <c r="AT88" s="99"/>
      <c r="AU88" s="99"/>
      <c r="AV88" s="99">
        <v>4</v>
      </c>
      <c r="AW88" s="99"/>
      <c r="AX88" s="99"/>
      <c r="AY88" s="99"/>
      <c r="AZ88" s="99"/>
      <c r="BA88" s="99"/>
      <c r="BB88" s="99">
        <v>3.6</v>
      </c>
      <c r="BC88" s="99">
        <v>3.8</v>
      </c>
      <c r="BD88" s="99"/>
      <c r="BE88" s="99"/>
      <c r="BF88" s="99"/>
      <c r="BG88" s="99">
        <v>3.5</v>
      </c>
      <c r="BH88" s="99">
        <v>3.6</v>
      </c>
      <c r="BI88" s="99"/>
      <c r="BJ88" s="99"/>
      <c r="BK88" s="99"/>
      <c r="BL88" s="99"/>
      <c r="BM88" s="99"/>
      <c r="BN88" s="99">
        <v>3.5</v>
      </c>
      <c r="BO88" s="99"/>
      <c r="BP88" s="99"/>
      <c r="BQ88" s="99"/>
      <c r="BR88" s="20"/>
      <c r="BS88" s="20"/>
      <c r="BT88" s="20"/>
      <c r="BU88" s="20"/>
    </row>
    <row r="89" spans="1:73" ht="30" hidden="1" customHeight="1" x14ac:dyDescent="0.25">
      <c r="A89" s="17"/>
      <c r="B89" s="6" t="s">
        <v>178</v>
      </c>
      <c r="C89" s="11">
        <v>18</v>
      </c>
      <c r="D89" s="98"/>
      <c r="E89" s="18" t="s">
        <v>43</v>
      </c>
      <c r="F89" s="17"/>
      <c r="G89" s="17"/>
      <c r="H89" s="17"/>
      <c r="I89" s="17"/>
      <c r="J89" s="12">
        <v>3</v>
      </c>
      <c r="K89" s="5">
        <v>3</v>
      </c>
      <c r="L89" s="11">
        <v>3</v>
      </c>
      <c r="M89" s="12"/>
      <c r="N89" s="5">
        <v>2</v>
      </c>
      <c r="O89" s="5"/>
      <c r="P89" s="5"/>
      <c r="Q89" s="5"/>
      <c r="R89" s="5">
        <v>3</v>
      </c>
      <c r="S89" s="5"/>
      <c r="T89" s="5"/>
      <c r="U89" s="5"/>
      <c r="V89" s="5"/>
      <c r="W89" s="5">
        <v>3</v>
      </c>
      <c r="X89" s="5">
        <v>1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1">
        <v>2</v>
      </c>
      <c r="AK89" s="12"/>
      <c r="AL89" s="5"/>
      <c r="AM89" s="5"/>
      <c r="AN89" s="19"/>
      <c r="AO89" s="19"/>
      <c r="AP89" s="19"/>
      <c r="AQ89" s="19"/>
      <c r="AR89" s="1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20"/>
      <c r="BS89" s="20"/>
      <c r="BT89" s="20"/>
      <c r="BU89" s="20"/>
    </row>
    <row r="90" spans="1:73" ht="30" hidden="1" customHeight="1" x14ac:dyDescent="0.25">
      <c r="A90" s="17"/>
      <c r="B90" s="9" t="s">
        <v>179</v>
      </c>
      <c r="C90" s="11">
        <v>17</v>
      </c>
      <c r="D90" s="98"/>
      <c r="E90" s="18" t="s">
        <v>43</v>
      </c>
      <c r="F90" s="17"/>
      <c r="G90" s="17"/>
      <c r="H90" s="17"/>
      <c r="I90" s="17"/>
      <c r="J90" s="12">
        <v>2</v>
      </c>
      <c r="K90" s="7">
        <v>2</v>
      </c>
      <c r="L90" s="13">
        <v>2</v>
      </c>
      <c r="M90" s="14"/>
      <c r="N90" s="7">
        <v>2</v>
      </c>
      <c r="O90" s="7"/>
      <c r="P90" s="7"/>
      <c r="Q90" s="5">
        <v>2</v>
      </c>
      <c r="R90" s="7">
        <v>2</v>
      </c>
      <c r="S90" s="7"/>
      <c r="T90" s="7">
        <v>2</v>
      </c>
      <c r="U90" s="7"/>
      <c r="V90" s="7"/>
      <c r="W90" s="7"/>
      <c r="X90" s="7"/>
      <c r="Y90" s="7"/>
      <c r="Z90" s="7"/>
      <c r="AA90" s="7">
        <v>2</v>
      </c>
      <c r="AB90" s="7">
        <v>2</v>
      </c>
      <c r="AC90" s="7">
        <v>1</v>
      </c>
      <c r="AD90" s="7">
        <v>1</v>
      </c>
      <c r="AE90" s="7"/>
      <c r="AF90" s="7"/>
      <c r="AG90" s="7"/>
      <c r="AH90" s="7"/>
      <c r="AI90" s="7"/>
      <c r="AJ90" s="11">
        <v>2</v>
      </c>
      <c r="AK90" s="12"/>
      <c r="AL90" s="5"/>
      <c r="AM90" s="5"/>
      <c r="AN90" s="19"/>
      <c r="AO90" s="19"/>
      <c r="AP90" s="19"/>
      <c r="AQ90" s="19"/>
      <c r="AR90" s="1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20"/>
      <c r="BS90" s="20"/>
      <c r="BT90" s="20"/>
      <c r="BU90" s="20"/>
    </row>
    <row r="91" spans="1:73" ht="30" hidden="1" customHeight="1" x14ac:dyDescent="0.25">
      <c r="A91" s="17"/>
      <c r="B91" s="6" t="s">
        <v>180</v>
      </c>
      <c r="C91" s="11">
        <v>16</v>
      </c>
      <c r="D91" s="98"/>
      <c r="E91" s="18" t="s">
        <v>43</v>
      </c>
      <c r="F91" s="17"/>
      <c r="G91" s="17"/>
      <c r="H91" s="17"/>
      <c r="I91" s="17"/>
      <c r="J91" s="12">
        <v>2</v>
      </c>
      <c r="K91" s="7">
        <v>2</v>
      </c>
      <c r="L91" s="13">
        <v>2</v>
      </c>
      <c r="M91" s="14"/>
      <c r="N91" s="7">
        <v>2</v>
      </c>
      <c r="O91" s="7"/>
      <c r="P91" s="7"/>
      <c r="Q91" s="7"/>
      <c r="R91" s="7">
        <v>2</v>
      </c>
      <c r="S91" s="7"/>
      <c r="T91" s="7">
        <v>2</v>
      </c>
      <c r="U91" s="7"/>
      <c r="V91" s="7"/>
      <c r="W91" s="7">
        <v>2</v>
      </c>
      <c r="X91" s="7">
        <v>1</v>
      </c>
      <c r="Y91" s="7"/>
      <c r="Z91" s="7"/>
      <c r="AA91" s="7"/>
      <c r="AB91" s="7">
        <v>1</v>
      </c>
      <c r="AC91" s="7"/>
      <c r="AD91" s="7"/>
      <c r="AE91" s="7"/>
      <c r="AF91" s="7"/>
      <c r="AG91" s="7"/>
      <c r="AH91" s="7"/>
      <c r="AI91" s="7"/>
      <c r="AJ91" s="11">
        <v>2</v>
      </c>
      <c r="AK91" s="12"/>
      <c r="AL91" s="5"/>
      <c r="AM91" s="5"/>
      <c r="AN91" s="19"/>
      <c r="AO91" s="19"/>
      <c r="AP91" s="19"/>
      <c r="AQ91" s="19"/>
      <c r="AR91" s="1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20"/>
      <c r="BS91" s="20"/>
      <c r="BT91" s="20"/>
      <c r="BU91" s="20"/>
    </row>
    <row r="92" spans="1:73" s="108" customFormat="1" ht="30" customHeight="1" x14ac:dyDescent="0.25">
      <c r="A92" s="17" t="s">
        <v>181</v>
      </c>
      <c r="B92" s="100" t="s">
        <v>182</v>
      </c>
      <c r="C92" s="101">
        <v>16</v>
      </c>
      <c r="D92" s="98">
        <v>10</v>
      </c>
      <c r="E92" s="102" t="s">
        <v>64</v>
      </c>
      <c r="F92" s="17" t="s">
        <v>65</v>
      </c>
      <c r="G92" s="17" t="s">
        <v>168</v>
      </c>
      <c r="H92" s="17" t="s">
        <v>177</v>
      </c>
      <c r="I92" s="103"/>
      <c r="J92" s="104">
        <v>2</v>
      </c>
      <c r="K92" s="105">
        <v>2</v>
      </c>
      <c r="L92" s="106">
        <v>2</v>
      </c>
      <c r="M92" s="104"/>
      <c r="N92" s="105">
        <v>2</v>
      </c>
      <c r="O92" s="105"/>
      <c r="P92" s="105"/>
      <c r="Q92" s="105"/>
      <c r="R92" s="105">
        <v>3</v>
      </c>
      <c r="S92" s="105"/>
      <c r="T92" s="105"/>
      <c r="U92" s="105"/>
      <c r="V92" s="105"/>
      <c r="W92" s="105"/>
      <c r="X92" s="105"/>
      <c r="Y92" s="105">
        <v>2</v>
      </c>
      <c r="Z92" s="105"/>
      <c r="AA92" s="105"/>
      <c r="AB92" s="105"/>
      <c r="AC92" s="105">
        <v>1</v>
      </c>
      <c r="AD92" s="105">
        <v>1</v>
      </c>
      <c r="AE92" s="105"/>
      <c r="AF92" s="105"/>
      <c r="AG92" s="105"/>
      <c r="AH92" s="105"/>
      <c r="AI92" s="105"/>
      <c r="AJ92" s="106"/>
      <c r="AK92" s="104"/>
      <c r="AL92" s="105"/>
      <c r="AM92" s="105"/>
      <c r="AN92" s="107">
        <v>3.3</v>
      </c>
      <c r="AO92" s="107">
        <v>3.6</v>
      </c>
      <c r="AP92" s="107">
        <v>3.4</v>
      </c>
      <c r="AQ92" s="107"/>
      <c r="AR92" s="107">
        <v>3</v>
      </c>
      <c r="AS92" s="107"/>
      <c r="AT92" s="107"/>
      <c r="AU92" s="107"/>
      <c r="AV92" s="107">
        <v>1.7</v>
      </c>
      <c r="AW92" s="107"/>
      <c r="AX92" s="107"/>
      <c r="AY92" s="107"/>
      <c r="AZ92" s="107"/>
      <c r="BA92" s="107"/>
      <c r="BB92" s="107"/>
      <c r="BC92" s="107">
        <v>2.7</v>
      </c>
      <c r="BD92" s="107"/>
      <c r="BE92" s="107"/>
      <c r="BF92" s="107"/>
      <c r="BG92" s="107">
        <v>3.2</v>
      </c>
      <c r="BH92" s="107">
        <v>3</v>
      </c>
      <c r="BI92" s="107"/>
      <c r="BJ92" s="107"/>
      <c r="BK92" s="107"/>
      <c r="BL92" s="107"/>
      <c r="BM92" s="107"/>
      <c r="BN92" s="107"/>
      <c r="BO92" s="107"/>
      <c r="BP92" s="107"/>
      <c r="BQ92" s="107"/>
      <c r="BR92" s="20"/>
      <c r="BS92" s="20"/>
      <c r="BT92" s="20"/>
      <c r="BU92" s="20"/>
    </row>
    <row r="93" spans="1:73" s="119" customFormat="1" ht="30" customHeight="1" x14ac:dyDescent="0.25">
      <c r="A93" s="109" t="s">
        <v>183</v>
      </c>
      <c r="B93" s="110" t="s">
        <v>184</v>
      </c>
      <c r="C93" s="111">
        <v>16</v>
      </c>
      <c r="D93" s="112">
        <v>10</v>
      </c>
      <c r="E93" s="113" t="s">
        <v>64</v>
      </c>
      <c r="F93" s="109" t="s">
        <v>65</v>
      </c>
      <c r="G93" s="109" t="s">
        <v>165</v>
      </c>
      <c r="H93" s="109" t="s">
        <v>177</v>
      </c>
      <c r="I93" s="109"/>
      <c r="J93" s="114">
        <v>2</v>
      </c>
      <c r="K93" s="115">
        <v>2</v>
      </c>
      <c r="L93" s="111">
        <v>2</v>
      </c>
      <c r="M93" s="114"/>
      <c r="N93" s="115">
        <v>2</v>
      </c>
      <c r="O93" s="115"/>
      <c r="P93" s="115"/>
      <c r="Q93" s="115"/>
      <c r="R93" s="115">
        <v>2</v>
      </c>
      <c r="S93" s="115"/>
      <c r="T93" s="115"/>
      <c r="U93" s="115"/>
      <c r="V93" s="115"/>
      <c r="W93" s="115"/>
      <c r="X93" s="115">
        <v>2</v>
      </c>
      <c r="Y93" s="115"/>
      <c r="Z93" s="115"/>
      <c r="AA93" s="115"/>
      <c r="AB93" s="115"/>
      <c r="AC93" s="115">
        <v>2</v>
      </c>
      <c r="AD93" s="115"/>
      <c r="AE93" s="115"/>
      <c r="AF93" s="115"/>
      <c r="AG93" s="115"/>
      <c r="AH93" s="115">
        <v>2</v>
      </c>
      <c r="AI93" s="115"/>
      <c r="AJ93" s="111">
        <v>2</v>
      </c>
      <c r="AK93" s="114"/>
      <c r="AL93" s="115"/>
      <c r="AM93" s="115"/>
      <c r="AN93" s="116">
        <v>3.9</v>
      </c>
      <c r="AO93" s="117">
        <v>4</v>
      </c>
      <c r="AP93" s="117">
        <v>3.6</v>
      </c>
      <c r="AQ93" s="116"/>
      <c r="AR93" s="117">
        <v>3.7</v>
      </c>
      <c r="AS93" s="117"/>
      <c r="AT93" s="117"/>
      <c r="AU93" s="117"/>
      <c r="AV93" s="117">
        <v>3.8</v>
      </c>
      <c r="AW93" s="117"/>
      <c r="AX93" s="117"/>
      <c r="AY93" s="117"/>
      <c r="AZ93" s="117"/>
      <c r="BA93" s="117"/>
      <c r="BB93" s="117"/>
      <c r="BC93" s="117">
        <v>2.9</v>
      </c>
      <c r="BD93" s="117"/>
      <c r="BE93" s="117"/>
      <c r="BF93" s="117"/>
      <c r="BG93" s="117">
        <v>4</v>
      </c>
      <c r="BH93" s="117">
        <v>3.8</v>
      </c>
      <c r="BI93" s="117"/>
      <c r="BJ93" s="117"/>
      <c r="BK93" s="117"/>
      <c r="BL93" s="117"/>
      <c r="BM93" s="117"/>
      <c r="BN93" s="117"/>
      <c r="BO93" s="117"/>
      <c r="BP93" s="117"/>
      <c r="BQ93" s="117"/>
      <c r="BR93" s="118"/>
      <c r="BS93" s="118"/>
      <c r="BT93" s="118"/>
      <c r="BU93" s="118"/>
    </row>
    <row r="94" spans="1:73" ht="30" customHeight="1" x14ac:dyDescent="0.25">
      <c r="A94" s="17" t="s">
        <v>185</v>
      </c>
      <c r="B94" s="6" t="s">
        <v>182</v>
      </c>
      <c r="C94" s="11">
        <v>16</v>
      </c>
      <c r="D94" s="98">
        <v>10</v>
      </c>
      <c r="E94" s="18" t="s">
        <v>64</v>
      </c>
      <c r="F94" s="17" t="s">
        <v>67</v>
      </c>
      <c r="G94" s="17"/>
      <c r="H94" s="17" t="s">
        <v>175</v>
      </c>
      <c r="I94" s="17"/>
      <c r="J94" s="12">
        <v>2</v>
      </c>
      <c r="K94" s="5">
        <v>2</v>
      </c>
      <c r="L94" s="11">
        <v>2</v>
      </c>
      <c r="M94" s="12"/>
      <c r="N94" s="5">
        <v>2</v>
      </c>
      <c r="O94" s="5"/>
      <c r="P94" s="5"/>
      <c r="Q94" s="5"/>
      <c r="R94" s="5">
        <v>3</v>
      </c>
      <c r="S94" s="5"/>
      <c r="T94" s="5"/>
      <c r="U94" s="5"/>
      <c r="V94" s="5"/>
      <c r="W94" s="5"/>
      <c r="X94" s="5"/>
      <c r="Y94" s="5">
        <v>2</v>
      </c>
      <c r="Z94" s="5"/>
      <c r="AA94" s="5"/>
      <c r="AB94" s="5"/>
      <c r="AC94" s="5">
        <v>1</v>
      </c>
      <c r="AD94" s="5">
        <v>1</v>
      </c>
      <c r="AE94" s="5"/>
      <c r="AF94" s="5"/>
      <c r="AG94" s="5"/>
      <c r="AH94" s="5"/>
      <c r="AI94" s="5"/>
      <c r="AJ94" s="11"/>
      <c r="AK94" s="12"/>
      <c r="AL94" s="5"/>
      <c r="AM94" s="5"/>
      <c r="AN94" s="99">
        <v>4</v>
      </c>
      <c r="AO94" s="99">
        <v>4</v>
      </c>
      <c r="AP94" s="99">
        <v>4</v>
      </c>
      <c r="AQ94" s="99"/>
      <c r="AR94" s="99">
        <v>3.9</v>
      </c>
      <c r="AS94" s="99"/>
      <c r="AT94" s="99"/>
      <c r="AU94" s="99"/>
      <c r="AV94" s="99">
        <v>3.5</v>
      </c>
      <c r="AW94" s="99"/>
      <c r="AX94" s="99"/>
      <c r="AY94" s="99"/>
      <c r="AZ94" s="99"/>
      <c r="BA94" s="99"/>
      <c r="BB94" s="99"/>
      <c r="BC94" s="99">
        <v>3.8</v>
      </c>
      <c r="BD94" s="99"/>
      <c r="BE94" s="19"/>
      <c r="BF94" s="99"/>
      <c r="BG94" s="99">
        <v>4</v>
      </c>
      <c r="BH94" s="99">
        <v>4</v>
      </c>
      <c r="BI94" s="99"/>
      <c r="BJ94" s="99"/>
      <c r="BK94" s="99"/>
      <c r="BL94" s="99"/>
      <c r="BM94" s="99"/>
      <c r="BN94" s="19"/>
      <c r="BO94" s="20"/>
      <c r="BP94" s="20"/>
      <c r="BQ94" s="20"/>
      <c r="BR94" s="20"/>
      <c r="BS94" s="20"/>
      <c r="BT94" s="20"/>
      <c r="BU94" s="20"/>
    </row>
    <row r="95" spans="1:73" ht="30" customHeight="1" x14ac:dyDescent="0.25">
      <c r="A95" s="17" t="s">
        <v>186</v>
      </c>
      <c r="B95" s="6" t="s">
        <v>182</v>
      </c>
      <c r="C95" s="11">
        <v>16</v>
      </c>
      <c r="D95" s="98">
        <v>10</v>
      </c>
      <c r="E95" s="18" t="s">
        <v>64</v>
      </c>
      <c r="F95" s="17" t="s">
        <v>65</v>
      </c>
      <c r="G95" s="17" t="s">
        <v>168</v>
      </c>
      <c r="H95" s="17" t="s">
        <v>177</v>
      </c>
      <c r="I95" s="17"/>
      <c r="J95" s="12">
        <v>2</v>
      </c>
      <c r="K95" s="5">
        <v>2</v>
      </c>
      <c r="L95" s="11">
        <v>2</v>
      </c>
      <c r="M95" s="12"/>
      <c r="N95" s="5">
        <v>2</v>
      </c>
      <c r="O95" s="5"/>
      <c r="P95" s="5"/>
      <c r="Q95" s="5"/>
      <c r="R95" s="5">
        <v>3</v>
      </c>
      <c r="S95" s="5"/>
      <c r="T95" s="5"/>
      <c r="U95" s="5"/>
      <c r="V95" s="5"/>
      <c r="W95" s="5"/>
      <c r="X95" s="5"/>
      <c r="Y95" s="5">
        <v>2</v>
      </c>
      <c r="Z95" s="5"/>
      <c r="AA95" s="5"/>
      <c r="AB95" s="5"/>
      <c r="AC95" s="5">
        <v>1</v>
      </c>
      <c r="AD95" s="5">
        <v>1</v>
      </c>
      <c r="AE95" s="5"/>
      <c r="AF95" s="5"/>
      <c r="AG95" s="5"/>
      <c r="AH95" s="5"/>
      <c r="AI95" s="5"/>
      <c r="AJ95" s="11"/>
      <c r="AK95" s="12"/>
      <c r="AL95" s="5"/>
      <c r="AM95" s="5"/>
      <c r="AN95" s="99">
        <v>3.7</v>
      </c>
      <c r="AO95" s="99">
        <v>3.4</v>
      </c>
      <c r="AP95" s="99">
        <v>3.7</v>
      </c>
      <c r="AQ95" s="99"/>
      <c r="AR95" s="99">
        <v>3.5</v>
      </c>
      <c r="AS95" s="99"/>
      <c r="AT95" s="99"/>
      <c r="AU95" s="99"/>
      <c r="AV95" s="99">
        <v>2.9</v>
      </c>
      <c r="AW95" s="99"/>
      <c r="AX95" s="99"/>
      <c r="AY95" s="99"/>
      <c r="AZ95" s="99"/>
      <c r="BA95" s="99"/>
      <c r="BB95" s="99"/>
      <c r="BC95" s="99">
        <v>3.5</v>
      </c>
      <c r="BD95" s="99"/>
      <c r="BE95" s="99"/>
      <c r="BF95" s="99"/>
      <c r="BG95" s="99">
        <v>2.6</v>
      </c>
      <c r="BH95" s="99">
        <v>3.3</v>
      </c>
      <c r="BI95" s="99"/>
      <c r="BJ95" s="99"/>
      <c r="BK95" s="99"/>
      <c r="BL95" s="99"/>
      <c r="BM95" s="99"/>
      <c r="BN95" s="99"/>
      <c r="BO95" s="99"/>
      <c r="BP95" s="99"/>
      <c r="BQ95" s="99"/>
      <c r="BR95" s="20"/>
      <c r="BS95" s="20"/>
      <c r="BT95" s="20"/>
      <c r="BU95" s="20"/>
    </row>
    <row r="96" spans="1:73" ht="30" customHeight="1" x14ac:dyDescent="0.25">
      <c r="A96" s="17" t="s">
        <v>187</v>
      </c>
      <c r="B96" s="6" t="s">
        <v>182</v>
      </c>
      <c r="C96" s="11">
        <v>16</v>
      </c>
      <c r="D96" s="98">
        <v>10</v>
      </c>
      <c r="E96" s="18" t="s">
        <v>64</v>
      </c>
      <c r="F96" s="17" t="s">
        <v>65</v>
      </c>
      <c r="G96" s="17" t="s">
        <v>168</v>
      </c>
      <c r="H96" s="17" t="s">
        <v>177</v>
      </c>
      <c r="I96" s="17"/>
      <c r="J96" s="12">
        <v>2</v>
      </c>
      <c r="K96" s="5">
        <v>2</v>
      </c>
      <c r="L96" s="11">
        <v>2</v>
      </c>
      <c r="M96" s="12"/>
      <c r="N96" s="5">
        <v>2</v>
      </c>
      <c r="O96" s="5"/>
      <c r="P96" s="5"/>
      <c r="Q96" s="5"/>
      <c r="R96" s="5">
        <v>3</v>
      </c>
      <c r="S96" s="5"/>
      <c r="T96" s="5"/>
      <c r="U96" s="5"/>
      <c r="V96" s="5"/>
      <c r="W96" s="5"/>
      <c r="X96" s="5"/>
      <c r="Y96" s="5">
        <v>2</v>
      </c>
      <c r="Z96" s="5"/>
      <c r="AA96" s="5"/>
      <c r="AB96" s="5"/>
      <c r="AC96" s="5">
        <v>1</v>
      </c>
      <c r="AD96" s="5">
        <v>1</v>
      </c>
      <c r="AE96" s="5"/>
      <c r="AF96" s="5"/>
      <c r="AG96" s="5"/>
      <c r="AH96" s="5"/>
      <c r="AI96" s="5"/>
      <c r="AJ96" s="11"/>
      <c r="AK96" s="12"/>
      <c r="AL96" s="5"/>
      <c r="AM96" s="5"/>
      <c r="AN96" s="99">
        <v>4</v>
      </c>
      <c r="AO96" s="99">
        <v>4</v>
      </c>
      <c r="AP96" s="99">
        <v>4</v>
      </c>
      <c r="AQ96" s="99"/>
      <c r="AR96" s="99">
        <v>4</v>
      </c>
      <c r="AS96" s="99"/>
      <c r="AT96" s="99"/>
      <c r="AU96" s="99"/>
      <c r="AV96" s="99">
        <v>4</v>
      </c>
      <c r="AW96" s="99"/>
      <c r="AX96" s="99"/>
      <c r="AY96" s="99"/>
      <c r="AZ96" s="99"/>
      <c r="BA96" s="99"/>
      <c r="BB96" s="99"/>
      <c r="BC96" s="99">
        <v>3</v>
      </c>
      <c r="BD96" s="99"/>
      <c r="BE96" s="99"/>
      <c r="BF96" s="99"/>
      <c r="BG96" s="99">
        <v>3</v>
      </c>
      <c r="BH96" s="99">
        <v>4</v>
      </c>
      <c r="BI96" s="99"/>
      <c r="BJ96" s="99"/>
      <c r="BK96" s="99"/>
      <c r="BL96" s="99"/>
      <c r="BM96" s="99"/>
      <c r="BN96" s="99"/>
      <c r="BO96" s="99"/>
      <c r="BP96" s="99"/>
      <c r="BQ96" s="99"/>
      <c r="BR96" s="20"/>
      <c r="BS96" s="20"/>
      <c r="BT96" s="20"/>
      <c r="BU96" s="20"/>
    </row>
    <row r="97" spans="1:73" ht="30" hidden="1" customHeight="1" x14ac:dyDescent="0.25">
      <c r="A97" s="17"/>
      <c r="B97" s="9" t="s">
        <v>188</v>
      </c>
      <c r="C97" s="11">
        <v>15</v>
      </c>
      <c r="D97" s="98"/>
      <c r="E97" s="18" t="s">
        <v>43</v>
      </c>
      <c r="F97" s="17"/>
      <c r="G97" s="17"/>
      <c r="H97" s="17"/>
      <c r="I97" s="17"/>
      <c r="J97" s="12">
        <v>2</v>
      </c>
      <c r="K97" s="5">
        <v>2</v>
      </c>
      <c r="L97" s="11">
        <v>2</v>
      </c>
      <c r="M97" s="12"/>
      <c r="N97" s="5">
        <v>2</v>
      </c>
      <c r="O97" s="5"/>
      <c r="P97" s="5"/>
      <c r="Q97" s="5"/>
      <c r="R97" s="5">
        <v>3</v>
      </c>
      <c r="S97" s="5"/>
      <c r="T97" s="5">
        <v>2</v>
      </c>
      <c r="U97" s="5"/>
      <c r="V97" s="5"/>
      <c r="W97" s="5">
        <v>2</v>
      </c>
      <c r="X97" s="5">
        <v>2</v>
      </c>
      <c r="Y97" s="5"/>
      <c r="Z97" s="5"/>
      <c r="AA97" s="5">
        <v>2</v>
      </c>
      <c r="AB97" s="5">
        <v>2</v>
      </c>
      <c r="AC97" s="5"/>
      <c r="AD97" s="5"/>
      <c r="AE97" s="5"/>
      <c r="AF97" s="5"/>
      <c r="AG97" s="5"/>
      <c r="AH97" s="5"/>
      <c r="AI97" s="5"/>
      <c r="AJ97" s="11">
        <v>1</v>
      </c>
      <c r="AK97" s="12"/>
      <c r="AL97" s="5"/>
      <c r="AM97" s="5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20"/>
      <c r="BS97" s="20"/>
      <c r="BT97" s="20"/>
      <c r="BU97" s="20"/>
    </row>
    <row r="98" spans="1:73" ht="30" hidden="1" customHeight="1" x14ac:dyDescent="0.25">
      <c r="A98" s="17"/>
      <c r="B98" s="120" t="s">
        <v>189</v>
      </c>
      <c r="C98" s="11">
        <v>15</v>
      </c>
      <c r="D98" s="98"/>
      <c r="E98" s="18" t="s">
        <v>43</v>
      </c>
      <c r="F98" s="17"/>
      <c r="G98" s="17"/>
      <c r="H98" s="17"/>
      <c r="I98" s="17"/>
      <c r="J98" s="12">
        <v>2</v>
      </c>
      <c r="K98" s="5">
        <v>2</v>
      </c>
      <c r="L98" s="11">
        <v>2</v>
      </c>
      <c r="M98" s="12"/>
      <c r="N98" s="5">
        <v>1</v>
      </c>
      <c r="O98" s="5"/>
      <c r="P98" s="5"/>
      <c r="Q98" s="5"/>
      <c r="R98" s="5">
        <v>2</v>
      </c>
      <c r="S98" s="5"/>
      <c r="T98" s="5">
        <v>2</v>
      </c>
      <c r="U98" s="5"/>
      <c r="V98" s="5"/>
      <c r="W98" s="5">
        <v>2</v>
      </c>
      <c r="X98" s="7">
        <v>1</v>
      </c>
      <c r="Y98" s="5"/>
      <c r="Z98" s="5"/>
      <c r="AA98" s="5"/>
      <c r="AB98" s="5">
        <v>1</v>
      </c>
      <c r="AC98" s="5"/>
      <c r="AD98" s="5"/>
      <c r="AE98" s="5"/>
      <c r="AF98" s="5"/>
      <c r="AG98" s="5"/>
      <c r="AH98" s="5"/>
      <c r="AI98" s="5"/>
      <c r="AJ98" s="11">
        <v>2</v>
      </c>
      <c r="AK98" s="12"/>
      <c r="AL98" s="5"/>
      <c r="AM98" s="5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20"/>
      <c r="BS98" s="20"/>
      <c r="BT98" s="20"/>
      <c r="BU98" s="20"/>
    </row>
    <row r="99" spans="1:73" ht="30" hidden="1" customHeight="1" x14ac:dyDescent="0.25">
      <c r="A99" s="17"/>
      <c r="B99" s="6" t="s">
        <v>190</v>
      </c>
      <c r="C99" s="11">
        <v>15</v>
      </c>
      <c r="D99" s="98"/>
      <c r="E99" s="18" t="s">
        <v>43</v>
      </c>
      <c r="F99" s="17"/>
      <c r="G99" s="17"/>
      <c r="H99" s="17"/>
      <c r="I99" s="17"/>
      <c r="J99" s="12">
        <v>2</v>
      </c>
      <c r="K99" s="5">
        <v>2</v>
      </c>
      <c r="L99" s="11">
        <v>2</v>
      </c>
      <c r="M99" s="12"/>
      <c r="N99" s="5">
        <v>2</v>
      </c>
      <c r="O99" s="5"/>
      <c r="P99" s="5"/>
      <c r="Q99" s="5"/>
      <c r="R99" s="5">
        <v>2</v>
      </c>
      <c r="S99" s="5">
        <v>2</v>
      </c>
      <c r="T99" s="5"/>
      <c r="U99" s="5">
        <v>2</v>
      </c>
      <c r="V99" s="5"/>
      <c r="W99" s="5"/>
      <c r="X99" s="5"/>
      <c r="Y99" s="5"/>
      <c r="Z99" s="5"/>
      <c r="AA99" s="5"/>
      <c r="AB99" s="5"/>
      <c r="AC99" s="5">
        <v>1</v>
      </c>
      <c r="AD99" s="5">
        <v>1</v>
      </c>
      <c r="AE99" s="5"/>
      <c r="AF99" s="5"/>
      <c r="AG99" s="5">
        <v>1</v>
      </c>
      <c r="AH99" s="5"/>
      <c r="AI99" s="5"/>
      <c r="AJ99" s="11"/>
      <c r="AK99" s="12"/>
      <c r="AL99" s="5"/>
      <c r="AM99" s="5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20"/>
      <c r="BS99" s="20"/>
      <c r="BT99" s="20"/>
      <c r="BU99" s="20"/>
    </row>
    <row r="100" spans="1:73" ht="30" hidden="1" customHeight="1" x14ac:dyDescent="0.25">
      <c r="A100" s="17"/>
      <c r="B100" s="9" t="s">
        <v>191</v>
      </c>
      <c r="C100" s="11">
        <v>15</v>
      </c>
      <c r="D100" s="98"/>
      <c r="E100" s="18" t="s">
        <v>43</v>
      </c>
      <c r="F100" s="17"/>
      <c r="G100" s="17"/>
      <c r="H100" s="17"/>
      <c r="I100" s="17"/>
      <c r="J100" s="12">
        <v>2</v>
      </c>
      <c r="K100" s="5">
        <v>2</v>
      </c>
      <c r="L100" s="11">
        <v>2</v>
      </c>
      <c r="M100" s="12"/>
      <c r="N100" s="5">
        <v>2</v>
      </c>
      <c r="O100" s="5"/>
      <c r="P100" s="5"/>
      <c r="Q100" s="5"/>
      <c r="R100" s="5">
        <v>3</v>
      </c>
      <c r="S100" s="5"/>
      <c r="T100" s="5"/>
      <c r="U100" s="5">
        <v>1</v>
      </c>
      <c r="V100" s="5"/>
      <c r="W100" s="5"/>
      <c r="X100" s="5">
        <v>2</v>
      </c>
      <c r="Y100" s="5"/>
      <c r="Z100" s="5"/>
      <c r="AA100" s="5"/>
      <c r="AB100" s="5"/>
      <c r="AC100" s="5">
        <v>1</v>
      </c>
      <c r="AD100" s="5"/>
      <c r="AE100" s="5"/>
      <c r="AF100" s="5"/>
      <c r="AG100" s="5"/>
      <c r="AH100" s="5">
        <v>1</v>
      </c>
      <c r="AI100" s="5"/>
      <c r="AJ100" s="11">
        <v>1</v>
      </c>
      <c r="AK100" s="12"/>
      <c r="AL100" s="5"/>
      <c r="AM100" s="5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20"/>
      <c r="BS100" s="20"/>
      <c r="BT100" s="20"/>
      <c r="BU100" s="20"/>
    </row>
    <row r="101" spans="1:73" ht="30" hidden="1" customHeight="1" x14ac:dyDescent="0.25">
      <c r="A101" s="17"/>
      <c r="B101" s="6" t="s">
        <v>192</v>
      </c>
      <c r="C101" s="11">
        <v>15</v>
      </c>
      <c r="D101" s="98"/>
      <c r="E101" s="18" t="s">
        <v>43</v>
      </c>
      <c r="F101" s="17"/>
      <c r="G101" s="17"/>
      <c r="H101" s="17"/>
      <c r="I101" s="17"/>
      <c r="J101" s="12">
        <v>2</v>
      </c>
      <c r="K101" s="5">
        <v>2</v>
      </c>
      <c r="L101" s="11">
        <v>2</v>
      </c>
      <c r="M101" s="12"/>
      <c r="N101" s="5">
        <v>2</v>
      </c>
      <c r="O101" s="5"/>
      <c r="P101" s="5"/>
      <c r="Q101" s="5"/>
      <c r="R101" s="5">
        <v>3</v>
      </c>
      <c r="S101" s="5"/>
      <c r="T101" s="5"/>
      <c r="U101" s="5"/>
      <c r="V101" s="5"/>
      <c r="W101" s="5"/>
      <c r="X101" s="5"/>
      <c r="Y101" s="5">
        <v>2</v>
      </c>
      <c r="Z101" s="5"/>
      <c r="AA101" s="5"/>
      <c r="AB101" s="5"/>
      <c r="AC101" s="5">
        <v>1</v>
      </c>
      <c r="AD101" s="5">
        <v>1</v>
      </c>
      <c r="AE101" s="5"/>
      <c r="AF101" s="5"/>
      <c r="AG101" s="5"/>
      <c r="AH101" s="5"/>
      <c r="AI101" s="5"/>
      <c r="AJ101" s="11"/>
      <c r="AK101" s="12"/>
      <c r="AL101" s="5"/>
      <c r="AM101" s="5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20"/>
      <c r="BS101" s="20"/>
      <c r="BT101" s="20"/>
      <c r="BU101" s="20"/>
    </row>
    <row r="102" spans="1:73" ht="30" hidden="1" customHeight="1" x14ac:dyDescent="0.25">
      <c r="A102" s="17"/>
      <c r="B102" s="6" t="s">
        <v>193</v>
      </c>
      <c r="C102" s="11">
        <v>15</v>
      </c>
      <c r="D102" s="98"/>
      <c r="E102" s="18" t="s">
        <v>43</v>
      </c>
      <c r="F102" s="17"/>
      <c r="G102" s="17"/>
      <c r="H102" s="17"/>
      <c r="I102" s="17"/>
      <c r="J102" s="12">
        <v>2</v>
      </c>
      <c r="K102" s="5">
        <v>2</v>
      </c>
      <c r="L102" s="11">
        <v>2</v>
      </c>
      <c r="M102" s="12">
        <v>2</v>
      </c>
      <c r="N102" s="5">
        <v>2</v>
      </c>
      <c r="O102" s="5"/>
      <c r="P102" s="5"/>
      <c r="Q102" s="5"/>
      <c r="R102" s="5">
        <v>2</v>
      </c>
      <c r="S102" s="5"/>
      <c r="T102" s="5"/>
      <c r="U102" s="5"/>
      <c r="V102" s="5">
        <v>2</v>
      </c>
      <c r="W102" s="5"/>
      <c r="X102" s="5"/>
      <c r="Y102" s="5"/>
      <c r="Z102" s="5"/>
      <c r="AA102" s="5"/>
      <c r="AB102" s="5"/>
      <c r="AC102" s="5">
        <v>1</v>
      </c>
      <c r="AD102" s="5"/>
      <c r="AE102" s="5"/>
      <c r="AF102" s="5"/>
      <c r="AG102" s="5"/>
      <c r="AH102" s="5"/>
      <c r="AI102" s="5"/>
      <c r="AJ102" s="11">
        <v>1</v>
      </c>
      <c r="AK102" s="12"/>
      <c r="AL102" s="5"/>
      <c r="AM102" s="5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20"/>
      <c r="BS102" s="20"/>
      <c r="BT102" s="20"/>
      <c r="BU102" s="20"/>
    </row>
    <row r="103" spans="1:73" ht="30" customHeight="1" x14ac:dyDescent="0.25">
      <c r="A103" s="17" t="s">
        <v>194</v>
      </c>
      <c r="B103" s="6" t="s">
        <v>195</v>
      </c>
      <c r="C103" s="11">
        <v>14</v>
      </c>
      <c r="D103" s="98">
        <v>9</v>
      </c>
      <c r="E103" s="18" t="s">
        <v>64</v>
      </c>
      <c r="F103" s="17" t="s">
        <v>41</v>
      </c>
      <c r="G103" s="17"/>
      <c r="H103" s="17" t="s">
        <v>177</v>
      </c>
      <c r="I103" s="17"/>
      <c r="J103" s="12">
        <v>2</v>
      </c>
      <c r="K103" s="5">
        <v>2</v>
      </c>
      <c r="L103" s="11">
        <v>2</v>
      </c>
      <c r="M103" s="12"/>
      <c r="N103" s="5">
        <v>1</v>
      </c>
      <c r="O103" s="5"/>
      <c r="P103" s="5"/>
      <c r="Q103" s="5"/>
      <c r="R103" s="5">
        <v>2</v>
      </c>
      <c r="S103" s="5"/>
      <c r="T103" s="5">
        <v>1</v>
      </c>
      <c r="U103" s="5"/>
      <c r="V103" s="5"/>
      <c r="W103" s="5">
        <v>1</v>
      </c>
      <c r="X103" s="5">
        <v>1</v>
      </c>
      <c r="Y103" s="5"/>
      <c r="Z103" s="5"/>
      <c r="AA103" s="5"/>
      <c r="AB103" s="5">
        <v>1</v>
      </c>
      <c r="AC103" s="5"/>
      <c r="AD103" s="5"/>
      <c r="AE103" s="5"/>
      <c r="AF103" s="5"/>
      <c r="AG103" s="5"/>
      <c r="AH103" s="5"/>
      <c r="AI103" s="5"/>
      <c r="AJ103" s="11">
        <v>1</v>
      </c>
      <c r="AK103" s="12"/>
      <c r="AL103" s="5"/>
      <c r="AM103" s="5"/>
      <c r="AN103" s="99">
        <v>3.7</v>
      </c>
      <c r="AO103" s="99">
        <v>3.8</v>
      </c>
      <c r="AP103" s="99">
        <v>3.2</v>
      </c>
      <c r="AQ103" s="99"/>
      <c r="AR103" s="99">
        <v>3.7</v>
      </c>
      <c r="AS103" s="99"/>
      <c r="AT103" s="99"/>
      <c r="AU103" s="99"/>
      <c r="AV103" s="99">
        <v>3</v>
      </c>
      <c r="AW103" s="99"/>
      <c r="AX103" s="99">
        <v>3</v>
      </c>
      <c r="AY103" s="99"/>
      <c r="AZ103" s="99"/>
      <c r="BA103" s="99">
        <v>3.7</v>
      </c>
      <c r="BB103" s="99">
        <v>3.3</v>
      </c>
      <c r="BC103" s="99"/>
      <c r="BD103" s="99"/>
      <c r="BE103" s="99"/>
      <c r="BF103" s="99">
        <v>3.2</v>
      </c>
      <c r="BG103" s="99"/>
      <c r="BH103" s="99"/>
      <c r="BI103" s="99"/>
      <c r="BJ103" s="99"/>
      <c r="BK103" s="99"/>
      <c r="BL103" s="99"/>
      <c r="BM103" s="99"/>
      <c r="BN103" s="99">
        <v>3.9</v>
      </c>
      <c r="BO103" s="99"/>
      <c r="BP103" s="99"/>
      <c r="BQ103" s="99"/>
      <c r="BR103" s="20"/>
      <c r="BS103" s="20"/>
      <c r="BT103" s="20"/>
      <c r="BU103" s="20"/>
    </row>
    <row r="104" spans="1:73" ht="30" hidden="1" customHeight="1" x14ac:dyDescent="0.25">
      <c r="A104" s="17"/>
      <c r="B104" s="6" t="s">
        <v>196</v>
      </c>
      <c r="C104" s="11">
        <v>14</v>
      </c>
      <c r="D104" s="98"/>
      <c r="E104" s="18" t="s">
        <v>43</v>
      </c>
      <c r="F104" s="17"/>
      <c r="G104" s="17"/>
      <c r="H104" s="17"/>
      <c r="I104" s="17"/>
      <c r="J104" s="12">
        <v>2</v>
      </c>
      <c r="K104" s="5">
        <v>1</v>
      </c>
      <c r="L104" s="11">
        <v>2</v>
      </c>
      <c r="M104" s="12"/>
      <c r="N104" s="5">
        <v>2</v>
      </c>
      <c r="O104" s="5"/>
      <c r="P104" s="5"/>
      <c r="Q104" s="5"/>
      <c r="R104" s="5">
        <v>2</v>
      </c>
      <c r="S104" s="5"/>
      <c r="T104" s="5"/>
      <c r="U104" s="5"/>
      <c r="V104" s="5"/>
      <c r="W104" s="5"/>
      <c r="X104" s="5">
        <v>2</v>
      </c>
      <c r="Y104" s="5"/>
      <c r="Z104" s="5"/>
      <c r="AA104" s="5"/>
      <c r="AB104" s="5"/>
      <c r="AC104" s="5">
        <v>2</v>
      </c>
      <c r="AD104" s="5"/>
      <c r="AE104" s="5"/>
      <c r="AF104" s="5"/>
      <c r="AG104" s="5"/>
      <c r="AH104" s="5">
        <v>1</v>
      </c>
      <c r="AI104" s="5"/>
      <c r="AJ104" s="11">
        <v>1</v>
      </c>
      <c r="AK104" s="12"/>
      <c r="AL104" s="5"/>
      <c r="AM104" s="5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20"/>
      <c r="BS104" s="20"/>
      <c r="BT104" s="20"/>
      <c r="BU104" s="20"/>
    </row>
    <row r="105" spans="1:73" ht="30" hidden="1" customHeight="1" x14ac:dyDescent="0.25">
      <c r="A105" s="17"/>
      <c r="B105" s="6" t="s">
        <v>197</v>
      </c>
      <c r="C105" s="11">
        <v>14</v>
      </c>
      <c r="D105" s="98"/>
      <c r="E105" s="18" t="s">
        <v>43</v>
      </c>
      <c r="F105" s="17"/>
      <c r="G105" s="17"/>
      <c r="H105" s="17"/>
      <c r="I105" s="17"/>
      <c r="J105" s="12">
        <v>2</v>
      </c>
      <c r="K105" s="5">
        <v>2</v>
      </c>
      <c r="L105" s="11">
        <v>2</v>
      </c>
      <c r="M105" s="12"/>
      <c r="N105" s="5">
        <v>2</v>
      </c>
      <c r="O105" s="5"/>
      <c r="P105" s="5"/>
      <c r="Q105" s="5"/>
      <c r="R105" s="5">
        <v>3</v>
      </c>
      <c r="S105" s="5"/>
      <c r="T105" s="5"/>
      <c r="U105" s="5">
        <v>2</v>
      </c>
      <c r="V105" s="5"/>
      <c r="W105" s="5"/>
      <c r="X105" s="5">
        <v>2</v>
      </c>
      <c r="Y105" s="5"/>
      <c r="Z105" s="5"/>
      <c r="AA105" s="5"/>
      <c r="AB105" s="5"/>
      <c r="AC105" s="5">
        <v>1</v>
      </c>
      <c r="AD105" s="5">
        <v>1</v>
      </c>
      <c r="AE105" s="5"/>
      <c r="AF105" s="5"/>
      <c r="AG105" s="5"/>
      <c r="AH105" s="5"/>
      <c r="AI105" s="5"/>
      <c r="AJ105" s="11">
        <v>1</v>
      </c>
      <c r="AK105" s="12"/>
      <c r="AL105" s="5"/>
      <c r="AM105" s="5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20"/>
      <c r="BP105" s="20"/>
      <c r="BQ105" s="20"/>
      <c r="BR105" s="20"/>
      <c r="BS105" s="20"/>
      <c r="BT105" s="20"/>
      <c r="BU105" s="20"/>
    </row>
    <row r="106" spans="1:73" ht="30" hidden="1" customHeight="1" x14ac:dyDescent="0.25">
      <c r="A106" s="17"/>
      <c r="B106" s="6" t="s">
        <v>198</v>
      </c>
      <c r="C106" s="11">
        <v>14</v>
      </c>
      <c r="D106" s="98"/>
      <c r="E106" s="18" t="s">
        <v>43</v>
      </c>
      <c r="F106" s="17"/>
      <c r="G106" s="17"/>
      <c r="H106" s="17"/>
      <c r="I106" s="17"/>
      <c r="J106" s="12">
        <v>2</v>
      </c>
      <c r="K106" s="5">
        <v>2</v>
      </c>
      <c r="L106" s="11">
        <v>2</v>
      </c>
      <c r="M106" s="12"/>
      <c r="N106" s="5">
        <v>1</v>
      </c>
      <c r="O106" s="5"/>
      <c r="P106" s="5">
        <v>1</v>
      </c>
      <c r="Q106" s="5"/>
      <c r="R106" s="5">
        <v>2</v>
      </c>
      <c r="S106" s="5"/>
      <c r="T106" s="5"/>
      <c r="U106" s="5"/>
      <c r="V106" s="5">
        <v>1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11">
        <v>1</v>
      </c>
      <c r="AK106" s="12"/>
      <c r="AL106" s="5"/>
      <c r="AM106" s="5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20"/>
      <c r="BP106" s="20"/>
      <c r="BQ106" s="20"/>
      <c r="BR106" s="20"/>
      <c r="BS106" s="20"/>
      <c r="BT106" s="20"/>
      <c r="BU106" s="20"/>
    </row>
    <row r="107" spans="1:73" ht="30" hidden="1" customHeight="1" x14ac:dyDescent="0.25">
      <c r="A107" s="17"/>
      <c r="B107" s="6" t="s">
        <v>199</v>
      </c>
      <c r="C107" s="11">
        <v>14</v>
      </c>
      <c r="D107" s="98"/>
      <c r="E107" s="18" t="s">
        <v>43</v>
      </c>
      <c r="F107" s="17"/>
      <c r="G107" s="17"/>
      <c r="H107" s="17"/>
      <c r="I107" s="17"/>
      <c r="J107" s="12">
        <v>2</v>
      </c>
      <c r="K107" s="5">
        <v>2</v>
      </c>
      <c r="L107" s="11">
        <v>2</v>
      </c>
      <c r="M107" s="12"/>
      <c r="N107" s="5">
        <v>1</v>
      </c>
      <c r="O107" s="5"/>
      <c r="P107" s="5"/>
      <c r="Q107" s="5">
        <v>1</v>
      </c>
      <c r="R107" s="5">
        <v>2</v>
      </c>
      <c r="S107" s="5"/>
      <c r="T107" s="5">
        <v>2</v>
      </c>
      <c r="U107" s="5"/>
      <c r="V107" s="5"/>
      <c r="W107" s="5"/>
      <c r="X107" s="5"/>
      <c r="Y107" s="5"/>
      <c r="Z107" s="5"/>
      <c r="AA107" s="5">
        <v>2</v>
      </c>
      <c r="AB107" s="5">
        <v>2</v>
      </c>
      <c r="AC107" s="5">
        <v>1</v>
      </c>
      <c r="AD107" s="5"/>
      <c r="AE107" s="5"/>
      <c r="AF107" s="5"/>
      <c r="AG107" s="5"/>
      <c r="AH107" s="5"/>
      <c r="AI107" s="5"/>
      <c r="AJ107" s="11">
        <v>1</v>
      </c>
      <c r="AK107" s="12"/>
      <c r="AL107" s="5"/>
      <c r="AM107" s="5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20"/>
      <c r="BP107" s="20"/>
      <c r="BQ107" s="20"/>
      <c r="BR107" s="20"/>
      <c r="BS107" s="20"/>
      <c r="BT107" s="20"/>
      <c r="BU107" s="20"/>
    </row>
    <row r="108" spans="1:73" ht="30" hidden="1" customHeight="1" x14ac:dyDescent="0.25">
      <c r="A108" s="17"/>
      <c r="B108" s="6" t="s">
        <v>200</v>
      </c>
      <c r="C108" s="11">
        <v>14</v>
      </c>
      <c r="D108" s="98"/>
      <c r="E108" s="18" t="s">
        <v>43</v>
      </c>
      <c r="F108" s="17"/>
      <c r="G108" s="17"/>
      <c r="H108" s="17"/>
      <c r="I108" s="17"/>
      <c r="J108" s="12">
        <v>2</v>
      </c>
      <c r="K108" s="5">
        <v>2</v>
      </c>
      <c r="L108" s="11">
        <v>2</v>
      </c>
      <c r="M108" s="12"/>
      <c r="N108" s="5">
        <v>2</v>
      </c>
      <c r="O108" s="5"/>
      <c r="P108" s="5"/>
      <c r="Q108" s="5"/>
      <c r="R108" s="5"/>
      <c r="S108" s="5">
        <v>2</v>
      </c>
      <c r="T108" s="5"/>
      <c r="U108" s="5"/>
      <c r="V108" s="5"/>
      <c r="W108" s="5"/>
      <c r="X108" s="5">
        <v>2</v>
      </c>
      <c r="Y108" s="5"/>
      <c r="Z108" s="5"/>
      <c r="AA108" s="5"/>
      <c r="AB108" s="5"/>
      <c r="AC108" s="5">
        <v>2</v>
      </c>
      <c r="AD108" s="5">
        <v>1</v>
      </c>
      <c r="AE108" s="5"/>
      <c r="AF108" s="5"/>
      <c r="AG108" s="5">
        <v>1</v>
      </c>
      <c r="AH108" s="5"/>
      <c r="AI108" s="5"/>
      <c r="AJ108" s="11"/>
      <c r="AK108" s="12"/>
      <c r="AL108" s="5"/>
      <c r="AM108" s="5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20"/>
      <c r="BP108" s="20"/>
      <c r="BQ108" s="20"/>
      <c r="BR108" s="20"/>
      <c r="BS108" s="20"/>
      <c r="BT108" s="20"/>
      <c r="BU108" s="20"/>
    </row>
    <row r="109" spans="1:73" ht="30" hidden="1" customHeight="1" x14ac:dyDescent="0.25">
      <c r="A109" s="17"/>
      <c r="B109" s="6" t="s">
        <v>201</v>
      </c>
      <c r="C109" s="11">
        <v>14</v>
      </c>
      <c r="D109" s="98"/>
      <c r="E109" s="18" t="s">
        <v>43</v>
      </c>
      <c r="F109" s="17"/>
      <c r="G109" s="17"/>
      <c r="H109" s="17"/>
      <c r="I109" s="17"/>
      <c r="J109" s="12">
        <v>2</v>
      </c>
      <c r="K109" s="5">
        <v>2</v>
      </c>
      <c r="L109" s="11">
        <v>2</v>
      </c>
      <c r="M109" s="12"/>
      <c r="N109" s="5">
        <v>1</v>
      </c>
      <c r="O109" s="5"/>
      <c r="P109" s="5"/>
      <c r="Q109" s="5"/>
      <c r="R109" s="5">
        <v>3</v>
      </c>
      <c r="S109" s="5"/>
      <c r="T109" s="5"/>
      <c r="U109" s="5">
        <v>2</v>
      </c>
      <c r="V109" s="5"/>
      <c r="W109" s="5"/>
      <c r="X109" s="5">
        <v>2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1</v>
      </c>
      <c r="AI109" s="5"/>
      <c r="AJ109" s="11">
        <v>1</v>
      </c>
      <c r="AK109" s="12"/>
      <c r="AL109" s="5"/>
      <c r="AM109" s="5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20"/>
      <c r="BP109" s="20"/>
      <c r="BQ109" s="20"/>
      <c r="BR109" s="20"/>
      <c r="BS109" s="20"/>
      <c r="BT109" s="20"/>
      <c r="BU109" s="20"/>
    </row>
    <row r="110" spans="1:73" ht="30" customHeight="1" x14ac:dyDescent="0.25">
      <c r="A110" s="17" t="s">
        <v>202</v>
      </c>
      <c r="B110" s="6" t="s">
        <v>52</v>
      </c>
      <c r="C110" s="11">
        <v>14</v>
      </c>
      <c r="D110" s="98">
        <v>9</v>
      </c>
      <c r="E110" s="18" t="s">
        <v>64</v>
      </c>
      <c r="F110" s="17" t="s">
        <v>65</v>
      </c>
      <c r="G110" s="17" t="s">
        <v>203</v>
      </c>
      <c r="H110" s="17" t="s">
        <v>177</v>
      </c>
      <c r="I110" s="17"/>
      <c r="J110" s="12">
        <v>2</v>
      </c>
      <c r="K110" s="7">
        <v>2</v>
      </c>
      <c r="L110" s="13">
        <v>2</v>
      </c>
      <c r="M110" s="12"/>
      <c r="N110" s="7">
        <v>2</v>
      </c>
      <c r="O110" s="5"/>
      <c r="P110" s="5"/>
      <c r="Q110" s="5"/>
      <c r="R110" s="7">
        <v>2</v>
      </c>
      <c r="S110" s="7">
        <v>1</v>
      </c>
      <c r="T110" s="5"/>
      <c r="U110" s="7">
        <v>1</v>
      </c>
      <c r="V110" s="5"/>
      <c r="W110" s="5"/>
      <c r="X110" s="5"/>
      <c r="Y110" s="5"/>
      <c r="Z110" s="5"/>
      <c r="AA110" s="5"/>
      <c r="AB110" s="5"/>
      <c r="AC110" s="7">
        <v>1</v>
      </c>
      <c r="AD110" s="7">
        <v>1</v>
      </c>
      <c r="AE110" s="5"/>
      <c r="AF110" s="7">
        <v>2</v>
      </c>
      <c r="AG110" s="5"/>
      <c r="AH110" s="7">
        <v>1</v>
      </c>
      <c r="AI110" s="5"/>
      <c r="AJ110" s="11">
        <v>1</v>
      </c>
      <c r="AK110" s="12"/>
      <c r="AL110" s="5"/>
      <c r="AM110" s="5"/>
      <c r="AN110" s="99">
        <v>3.9</v>
      </c>
      <c r="AO110" s="99">
        <v>3.8</v>
      </c>
      <c r="AP110" s="99">
        <v>3.8</v>
      </c>
      <c r="AQ110" s="99"/>
      <c r="AR110" s="99">
        <v>3.7</v>
      </c>
      <c r="AS110" s="99"/>
      <c r="AT110" s="99"/>
      <c r="AU110" s="99"/>
      <c r="AV110" s="99">
        <v>3.6</v>
      </c>
      <c r="AW110" s="99">
        <v>4</v>
      </c>
      <c r="AX110" s="99"/>
      <c r="AY110" s="99">
        <v>3.9</v>
      </c>
      <c r="AZ110" s="99"/>
      <c r="BA110" s="99"/>
      <c r="BB110" s="99"/>
      <c r="BC110" s="99"/>
      <c r="BD110" s="99"/>
      <c r="BE110" s="19"/>
      <c r="BF110" s="99"/>
      <c r="BG110" s="99" t="s">
        <v>204</v>
      </c>
      <c r="BH110" s="99">
        <v>3.7</v>
      </c>
      <c r="BI110" s="99"/>
      <c r="BJ110" s="99">
        <v>3.4</v>
      </c>
      <c r="BK110" s="99"/>
      <c r="BL110" s="99">
        <v>3.7</v>
      </c>
      <c r="BM110" s="99"/>
      <c r="BN110" s="19">
        <v>3.6</v>
      </c>
      <c r="BO110" s="20"/>
      <c r="BP110" s="20"/>
      <c r="BQ110" s="20"/>
      <c r="BR110" s="20"/>
      <c r="BS110" s="20"/>
      <c r="BT110" s="20"/>
      <c r="BU110" s="20"/>
    </row>
    <row r="111" spans="1:73" ht="30" customHeight="1" x14ac:dyDescent="0.25">
      <c r="A111" s="17" t="s">
        <v>205</v>
      </c>
      <c r="B111" s="6" t="s">
        <v>206</v>
      </c>
      <c r="C111" s="11">
        <v>14</v>
      </c>
      <c r="D111" s="98">
        <v>9</v>
      </c>
      <c r="E111" s="18" t="s">
        <v>64</v>
      </c>
      <c r="F111" s="17" t="s">
        <v>65</v>
      </c>
      <c r="G111" s="17" t="s">
        <v>163</v>
      </c>
      <c r="H111" s="17" t="s">
        <v>177</v>
      </c>
      <c r="I111" s="17"/>
      <c r="J111" s="12">
        <v>2</v>
      </c>
      <c r="K111" s="7">
        <v>2</v>
      </c>
      <c r="L111" s="13">
        <v>2</v>
      </c>
      <c r="M111" s="12"/>
      <c r="N111" s="7">
        <v>2</v>
      </c>
      <c r="O111" s="5"/>
      <c r="P111" s="5"/>
      <c r="Q111" s="5"/>
      <c r="R111" s="7">
        <v>2</v>
      </c>
      <c r="S111" s="5"/>
      <c r="T111" s="5"/>
      <c r="U111" s="5"/>
      <c r="V111" s="5"/>
      <c r="W111" s="5"/>
      <c r="X111" s="5">
        <v>2</v>
      </c>
      <c r="Y111" s="5"/>
      <c r="Z111" s="5"/>
      <c r="AA111" s="5"/>
      <c r="AB111" s="5"/>
      <c r="AC111" s="7">
        <v>1</v>
      </c>
      <c r="AD111" s="5"/>
      <c r="AE111" s="5"/>
      <c r="AF111" s="5"/>
      <c r="AG111" s="5"/>
      <c r="AH111" s="5"/>
      <c r="AI111" s="5"/>
      <c r="AJ111" s="11">
        <v>1</v>
      </c>
      <c r="AK111" s="12"/>
      <c r="AL111" s="5"/>
      <c r="AM111" s="5"/>
      <c r="AN111" s="99">
        <v>3.6</v>
      </c>
      <c r="AO111" s="99">
        <v>3.8</v>
      </c>
      <c r="AP111" s="99">
        <v>3</v>
      </c>
      <c r="AQ111" s="99"/>
      <c r="AR111" s="99">
        <v>3</v>
      </c>
      <c r="AS111" s="99">
        <v>3</v>
      </c>
      <c r="AT111" s="99"/>
      <c r="AU111" s="99"/>
      <c r="AV111" s="99">
        <v>4</v>
      </c>
      <c r="AW111" s="99"/>
      <c r="AX111" s="99"/>
      <c r="AY111" s="99"/>
      <c r="AZ111" s="99"/>
      <c r="BA111" s="99"/>
      <c r="BB111" s="99">
        <v>3</v>
      </c>
      <c r="BC111" s="99"/>
      <c r="BD111" s="99"/>
      <c r="BE111" s="99"/>
      <c r="BF111" s="99"/>
      <c r="BG111" s="19">
        <v>3</v>
      </c>
      <c r="BH111" s="99"/>
      <c r="BI111" s="19"/>
      <c r="BJ111" s="99"/>
      <c r="BK111" s="99"/>
      <c r="BL111" s="99"/>
      <c r="BM111" s="19"/>
      <c r="BN111" s="19">
        <v>4</v>
      </c>
      <c r="BO111" s="20"/>
      <c r="BP111" s="20"/>
      <c r="BQ111" s="20"/>
      <c r="BR111" s="20"/>
      <c r="BS111" s="20"/>
      <c r="BT111" s="20"/>
      <c r="BU111" s="20"/>
    </row>
    <row r="112" spans="1:73" s="132" customFormat="1" ht="30" customHeight="1" x14ac:dyDescent="0.25">
      <c r="A112" s="121" t="s">
        <v>207</v>
      </c>
      <c r="B112" s="122" t="s">
        <v>52</v>
      </c>
      <c r="C112" s="123">
        <v>14</v>
      </c>
      <c r="D112" s="124">
        <v>9</v>
      </c>
      <c r="E112" s="125" t="s">
        <v>64</v>
      </c>
      <c r="F112" s="121" t="s">
        <v>65</v>
      </c>
      <c r="G112" s="121"/>
      <c r="H112" s="121" t="s">
        <v>175</v>
      </c>
      <c r="I112" s="121"/>
      <c r="J112" s="126">
        <v>2</v>
      </c>
      <c r="K112" s="127">
        <v>2</v>
      </c>
      <c r="L112" s="128">
        <v>2</v>
      </c>
      <c r="M112" s="126"/>
      <c r="N112" s="127">
        <v>2</v>
      </c>
      <c r="O112" s="124"/>
      <c r="P112" s="124"/>
      <c r="Q112" s="124"/>
      <c r="R112" s="127">
        <v>2</v>
      </c>
      <c r="S112" s="127">
        <v>1</v>
      </c>
      <c r="T112" s="124"/>
      <c r="U112" s="127">
        <v>1</v>
      </c>
      <c r="V112" s="124"/>
      <c r="W112" s="124"/>
      <c r="X112" s="124"/>
      <c r="Y112" s="124"/>
      <c r="Z112" s="124"/>
      <c r="AA112" s="124"/>
      <c r="AB112" s="124"/>
      <c r="AC112" s="127">
        <v>1</v>
      </c>
      <c r="AD112" s="127">
        <v>1</v>
      </c>
      <c r="AE112" s="124"/>
      <c r="AF112" s="127">
        <v>2</v>
      </c>
      <c r="AG112" s="124"/>
      <c r="AH112" s="127">
        <v>1</v>
      </c>
      <c r="AI112" s="124"/>
      <c r="AJ112" s="123">
        <v>1</v>
      </c>
      <c r="AK112" s="126"/>
      <c r="AL112" s="124"/>
      <c r="AM112" s="124"/>
      <c r="AN112" s="129">
        <v>3.7</v>
      </c>
      <c r="AO112" s="129">
        <v>3.8</v>
      </c>
      <c r="AP112" s="129">
        <v>3.8</v>
      </c>
      <c r="AQ112" s="129"/>
      <c r="AR112" s="129">
        <v>3.9</v>
      </c>
      <c r="AS112" s="129">
        <v>3.6</v>
      </c>
      <c r="AT112" s="129"/>
      <c r="AU112" s="129"/>
      <c r="AV112" s="129">
        <v>3.8</v>
      </c>
      <c r="AW112" s="129"/>
      <c r="AX112" s="129"/>
      <c r="AY112" s="129"/>
      <c r="AZ112" s="129"/>
      <c r="BA112" s="129"/>
      <c r="BB112" s="129">
        <v>3.7</v>
      </c>
      <c r="BC112" s="129"/>
      <c r="BD112" s="129"/>
      <c r="BE112" s="130"/>
      <c r="BF112" s="129"/>
      <c r="BG112" s="129">
        <v>3.5</v>
      </c>
      <c r="BH112" s="129"/>
      <c r="BI112" s="129"/>
      <c r="BJ112" s="129"/>
      <c r="BK112" s="129"/>
      <c r="BL112" s="129"/>
      <c r="BM112" s="129"/>
      <c r="BN112" s="130">
        <v>3.8</v>
      </c>
      <c r="BO112" s="131"/>
      <c r="BP112" s="131"/>
      <c r="BQ112" s="131"/>
      <c r="BR112" s="131"/>
      <c r="BS112" s="131"/>
      <c r="BT112" s="131"/>
      <c r="BU112" s="131"/>
    </row>
    <row r="113" spans="1:73" s="132" customFormat="1" ht="30" customHeight="1" x14ac:dyDescent="0.25">
      <c r="A113" s="121" t="s">
        <v>208</v>
      </c>
      <c r="B113" s="122" t="s">
        <v>52</v>
      </c>
      <c r="C113" s="123">
        <v>14</v>
      </c>
      <c r="D113" s="124">
        <v>9</v>
      </c>
      <c r="E113" s="125" t="s">
        <v>64</v>
      </c>
      <c r="F113" s="121" t="s">
        <v>65</v>
      </c>
      <c r="G113" s="121" t="s">
        <v>203</v>
      </c>
      <c r="H113" s="121" t="s">
        <v>177</v>
      </c>
      <c r="I113" s="121"/>
      <c r="J113" s="126">
        <v>2</v>
      </c>
      <c r="K113" s="127">
        <v>2</v>
      </c>
      <c r="L113" s="128">
        <v>2</v>
      </c>
      <c r="M113" s="126"/>
      <c r="N113" s="127">
        <v>2</v>
      </c>
      <c r="O113" s="124"/>
      <c r="P113" s="124"/>
      <c r="Q113" s="124"/>
      <c r="R113" s="127">
        <v>2</v>
      </c>
      <c r="S113" s="127">
        <v>1</v>
      </c>
      <c r="T113" s="124"/>
      <c r="U113" s="127">
        <v>1</v>
      </c>
      <c r="V113" s="124"/>
      <c r="W113" s="124"/>
      <c r="X113" s="124"/>
      <c r="Y113" s="124"/>
      <c r="Z113" s="124"/>
      <c r="AA113" s="124"/>
      <c r="AB113" s="124"/>
      <c r="AC113" s="127">
        <v>1</v>
      </c>
      <c r="AD113" s="127">
        <v>1</v>
      </c>
      <c r="AE113" s="124"/>
      <c r="AF113" s="127">
        <v>2</v>
      </c>
      <c r="AG113" s="124"/>
      <c r="AH113" s="127">
        <v>1</v>
      </c>
      <c r="AI113" s="124"/>
      <c r="AJ113" s="123">
        <v>1</v>
      </c>
      <c r="AK113" s="126"/>
      <c r="AL113" s="124"/>
      <c r="AM113" s="124"/>
      <c r="AN113" s="129">
        <v>3.6</v>
      </c>
      <c r="AO113" s="129">
        <v>3.4</v>
      </c>
      <c r="AP113" s="129">
        <v>3.4</v>
      </c>
      <c r="AQ113" s="129"/>
      <c r="AR113" s="129">
        <v>3.6</v>
      </c>
      <c r="AS113" s="129">
        <v>3.4</v>
      </c>
      <c r="AT113" s="129"/>
      <c r="AU113" s="129"/>
      <c r="AV113" s="129">
        <v>4</v>
      </c>
      <c r="AW113" s="129"/>
      <c r="AX113" s="129"/>
      <c r="AY113" s="129"/>
      <c r="AZ113" s="129"/>
      <c r="BA113" s="129"/>
      <c r="BB113" s="129">
        <v>3.6</v>
      </c>
      <c r="BC113" s="129"/>
      <c r="BD113" s="129"/>
      <c r="BE113" s="129"/>
      <c r="BF113" s="129"/>
      <c r="BG113" s="129">
        <v>3.6</v>
      </c>
      <c r="BH113" s="129"/>
      <c r="BI113" s="129"/>
      <c r="BJ113" s="129"/>
      <c r="BK113" s="129"/>
      <c r="BL113" s="129"/>
      <c r="BM113" s="129"/>
      <c r="BN113" s="130">
        <v>3.8</v>
      </c>
      <c r="BO113" s="131"/>
      <c r="BP113" s="131"/>
      <c r="BQ113" s="131"/>
      <c r="BR113" s="131"/>
      <c r="BS113" s="131"/>
      <c r="BT113" s="131"/>
      <c r="BU113" s="131"/>
    </row>
    <row r="114" spans="1:73" s="119" customFormat="1" ht="30" customHeight="1" x14ac:dyDescent="0.25">
      <c r="A114" s="109" t="s">
        <v>209</v>
      </c>
      <c r="B114" s="110" t="s">
        <v>52</v>
      </c>
      <c r="C114" s="111">
        <v>14</v>
      </c>
      <c r="D114" s="112">
        <v>9</v>
      </c>
      <c r="E114" s="113" t="s">
        <v>64</v>
      </c>
      <c r="F114" s="109" t="s">
        <v>65</v>
      </c>
      <c r="G114" s="109" t="s">
        <v>203</v>
      </c>
      <c r="H114" s="109" t="s">
        <v>177</v>
      </c>
      <c r="I114" s="109" t="s">
        <v>204</v>
      </c>
      <c r="J114" s="114">
        <v>2</v>
      </c>
      <c r="K114" s="133">
        <v>2</v>
      </c>
      <c r="L114" s="134">
        <v>2</v>
      </c>
      <c r="M114" s="114"/>
      <c r="N114" s="133">
        <v>2</v>
      </c>
      <c r="O114" s="115"/>
      <c r="P114" s="115"/>
      <c r="Q114" s="115"/>
      <c r="R114" s="133">
        <v>2</v>
      </c>
      <c r="S114" s="133">
        <v>1</v>
      </c>
      <c r="T114" s="115"/>
      <c r="U114" s="133">
        <v>1</v>
      </c>
      <c r="V114" s="115"/>
      <c r="W114" s="115"/>
      <c r="X114" s="115"/>
      <c r="Y114" s="115"/>
      <c r="Z114" s="115"/>
      <c r="AA114" s="115"/>
      <c r="AB114" s="115"/>
      <c r="AC114" s="133">
        <v>1</v>
      </c>
      <c r="AD114" s="133">
        <v>1</v>
      </c>
      <c r="AE114" s="115"/>
      <c r="AF114" s="133">
        <v>2</v>
      </c>
      <c r="AG114" s="115"/>
      <c r="AH114" s="133">
        <v>1</v>
      </c>
      <c r="AI114" s="115"/>
      <c r="AJ114" s="111">
        <v>1</v>
      </c>
      <c r="AK114" s="114"/>
      <c r="AL114" s="115"/>
      <c r="AM114" s="115"/>
      <c r="AN114" s="117">
        <v>4</v>
      </c>
      <c r="AO114" s="117">
        <v>4</v>
      </c>
      <c r="AP114" s="117">
        <v>3.1</v>
      </c>
      <c r="AQ114" s="117"/>
      <c r="AR114" s="117">
        <v>4</v>
      </c>
      <c r="AS114" s="117"/>
      <c r="AT114" s="117"/>
      <c r="AU114" s="117"/>
      <c r="AV114" s="117">
        <v>4</v>
      </c>
      <c r="AW114" s="129">
        <v>4</v>
      </c>
      <c r="AX114" s="117"/>
      <c r="AY114" s="117">
        <v>4</v>
      </c>
      <c r="AZ114" s="117"/>
      <c r="BA114" s="117"/>
      <c r="BB114" s="117"/>
      <c r="BC114" s="117"/>
      <c r="BD114" s="117"/>
      <c r="BE114" s="116"/>
      <c r="BF114" s="117"/>
      <c r="BG114" s="117">
        <v>3.5</v>
      </c>
      <c r="BH114" s="117">
        <v>4</v>
      </c>
      <c r="BI114" s="117"/>
      <c r="BJ114" s="117">
        <v>3.7</v>
      </c>
      <c r="BK114" s="117"/>
      <c r="BL114" s="117">
        <v>3.5</v>
      </c>
      <c r="BM114" s="117"/>
      <c r="BN114" s="116">
        <v>4</v>
      </c>
      <c r="BO114" s="118"/>
      <c r="BP114" s="118"/>
      <c r="BQ114" s="118"/>
      <c r="BR114" s="118"/>
      <c r="BS114" s="118"/>
      <c r="BT114" s="118"/>
      <c r="BU114" s="118"/>
    </row>
    <row r="115" spans="1:73" s="132" customFormat="1" ht="30" customHeight="1" x14ac:dyDescent="0.25">
      <c r="A115" s="121" t="s">
        <v>210</v>
      </c>
      <c r="B115" s="122" t="s">
        <v>52</v>
      </c>
      <c r="C115" s="123">
        <v>14</v>
      </c>
      <c r="D115" s="124">
        <v>9</v>
      </c>
      <c r="E115" s="125" t="s">
        <v>64</v>
      </c>
      <c r="F115" s="121" t="s">
        <v>65</v>
      </c>
      <c r="G115" s="121" t="s">
        <v>203</v>
      </c>
      <c r="H115" s="121" t="s">
        <v>177</v>
      </c>
      <c r="I115" s="121"/>
      <c r="J115" s="126">
        <v>2</v>
      </c>
      <c r="K115" s="127">
        <v>2</v>
      </c>
      <c r="L115" s="128">
        <v>2</v>
      </c>
      <c r="M115" s="126"/>
      <c r="N115" s="127">
        <v>2</v>
      </c>
      <c r="O115" s="124"/>
      <c r="P115" s="124"/>
      <c r="Q115" s="124"/>
      <c r="R115" s="127">
        <v>2</v>
      </c>
      <c r="S115" s="127">
        <v>1</v>
      </c>
      <c r="T115" s="124"/>
      <c r="U115" s="127">
        <v>1</v>
      </c>
      <c r="V115" s="124"/>
      <c r="W115" s="124"/>
      <c r="X115" s="124"/>
      <c r="Y115" s="124"/>
      <c r="Z115" s="124"/>
      <c r="AA115" s="124"/>
      <c r="AB115" s="124"/>
      <c r="AC115" s="127">
        <v>1</v>
      </c>
      <c r="AD115" s="127">
        <v>1</v>
      </c>
      <c r="AE115" s="124"/>
      <c r="AF115" s="127">
        <v>2</v>
      </c>
      <c r="AG115" s="124"/>
      <c r="AH115" s="127">
        <v>1</v>
      </c>
      <c r="AI115" s="124"/>
      <c r="AJ115" s="123">
        <v>1</v>
      </c>
      <c r="AK115" s="126"/>
      <c r="AL115" s="124"/>
      <c r="AM115" s="124"/>
      <c r="AN115" s="129">
        <v>3.7</v>
      </c>
      <c r="AO115" s="129">
        <v>3.8</v>
      </c>
      <c r="AP115" s="129">
        <v>3.6</v>
      </c>
      <c r="AQ115" s="129"/>
      <c r="AR115" s="129">
        <v>3.6</v>
      </c>
      <c r="AS115" s="129"/>
      <c r="AT115" s="129"/>
      <c r="AU115" s="129"/>
      <c r="AV115" s="129">
        <v>3.6</v>
      </c>
      <c r="AW115" s="129"/>
      <c r="AX115" s="129"/>
      <c r="AY115" s="129"/>
      <c r="AZ115" s="129"/>
      <c r="BA115" s="129"/>
      <c r="BB115" s="129">
        <v>3.7</v>
      </c>
      <c r="BC115" s="129"/>
      <c r="BD115" s="129"/>
      <c r="BE115" s="130"/>
      <c r="BF115" s="129"/>
      <c r="BG115" s="129"/>
      <c r="BH115" s="129"/>
      <c r="BI115" s="129"/>
      <c r="BJ115" s="129"/>
      <c r="BK115" s="129"/>
      <c r="BL115" s="129"/>
      <c r="BM115" s="129"/>
      <c r="BN115" s="130">
        <v>3.8</v>
      </c>
      <c r="BO115" s="131"/>
      <c r="BP115" s="131"/>
      <c r="BQ115" s="131"/>
      <c r="BR115" s="131"/>
      <c r="BS115" s="131"/>
      <c r="BT115" s="131"/>
      <c r="BU115" s="131"/>
    </row>
    <row r="116" spans="1:73" ht="30" hidden="1" customHeight="1" x14ac:dyDescent="0.25">
      <c r="A116" s="17"/>
      <c r="B116" s="6" t="s">
        <v>211</v>
      </c>
      <c r="C116" s="11">
        <v>15</v>
      </c>
      <c r="D116" s="98">
        <v>10</v>
      </c>
      <c r="E116" s="18" t="s">
        <v>64</v>
      </c>
      <c r="F116" s="17" t="s">
        <v>65</v>
      </c>
      <c r="G116" s="17"/>
      <c r="H116" s="17" t="s">
        <v>177</v>
      </c>
      <c r="I116" s="17"/>
      <c r="J116" s="12">
        <v>2</v>
      </c>
      <c r="K116" s="7">
        <v>2</v>
      </c>
      <c r="L116" s="13">
        <v>2</v>
      </c>
      <c r="M116" s="12"/>
      <c r="N116" s="7">
        <v>1</v>
      </c>
      <c r="O116" s="7"/>
      <c r="P116" s="5"/>
      <c r="Q116" s="5"/>
      <c r="R116" s="7">
        <v>3</v>
      </c>
      <c r="S116" s="5"/>
      <c r="T116" s="5"/>
      <c r="U116" s="5"/>
      <c r="V116" s="5"/>
      <c r="W116" s="5"/>
      <c r="X116" s="5"/>
      <c r="Y116" s="7">
        <v>1</v>
      </c>
      <c r="Z116" s="5"/>
      <c r="AA116" s="5"/>
      <c r="AB116" s="5"/>
      <c r="AC116" s="7">
        <v>1</v>
      </c>
      <c r="AD116" s="5"/>
      <c r="AE116" s="5"/>
      <c r="AF116" s="5"/>
      <c r="AG116" s="5"/>
      <c r="AH116" s="7">
        <v>1</v>
      </c>
      <c r="AI116" s="5"/>
      <c r="AJ116" s="11"/>
      <c r="AK116" s="12"/>
      <c r="AL116" s="5"/>
      <c r="AM116" s="5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20"/>
      <c r="BP116" s="20"/>
      <c r="BQ116" s="20"/>
      <c r="BR116" s="20"/>
      <c r="BS116" s="20"/>
      <c r="BT116" s="20"/>
      <c r="BU116" s="20"/>
    </row>
    <row r="117" spans="1:73" ht="30" hidden="1" customHeight="1" x14ac:dyDescent="0.25">
      <c r="A117" s="17"/>
      <c r="B117" s="6" t="s">
        <v>212</v>
      </c>
      <c r="C117" s="11">
        <v>16</v>
      </c>
      <c r="D117" s="98">
        <v>11</v>
      </c>
      <c r="E117" s="18" t="s">
        <v>64</v>
      </c>
      <c r="F117" s="17" t="s">
        <v>65</v>
      </c>
      <c r="G117" s="17"/>
      <c r="H117" s="17" t="s">
        <v>177</v>
      </c>
      <c r="I117" s="17"/>
      <c r="J117" s="12">
        <v>2</v>
      </c>
      <c r="K117" s="5">
        <v>2</v>
      </c>
      <c r="L117" s="11">
        <v>2</v>
      </c>
      <c r="M117" s="12"/>
      <c r="N117" s="5">
        <v>2</v>
      </c>
      <c r="O117" s="5"/>
      <c r="P117" s="5"/>
      <c r="Q117" s="5"/>
      <c r="R117" s="5">
        <v>3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>
        <v>1</v>
      </c>
      <c r="AD117" s="5">
        <v>1</v>
      </c>
      <c r="AE117" s="5"/>
      <c r="AF117" s="5"/>
      <c r="AG117" s="5"/>
      <c r="AH117" s="5"/>
      <c r="AI117" s="5"/>
      <c r="AJ117" s="11">
        <v>1</v>
      </c>
      <c r="AK117" s="12"/>
      <c r="AL117" s="5"/>
      <c r="AM117" s="5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20"/>
      <c r="BP117" s="20"/>
      <c r="BQ117" s="20"/>
      <c r="BR117" s="20"/>
      <c r="BS117" s="20"/>
      <c r="BT117" s="20"/>
      <c r="BU117" s="20"/>
    </row>
    <row r="118" spans="1:73" ht="30" hidden="1" customHeight="1" x14ac:dyDescent="0.25">
      <c r="A118" s="17"/>
      <c r="B118" s="120" t="s">
        <v>213</v>
      </c>
      <c r="C118" s="11">
        <v>17</v>
      </c>
      <c r="D118" s="98">
        <v>12</v>
      </c>
      <c r="E118" s="18" t="s">
        <v>64</v>
      </c>
      <c r="F118" s="17" t="s">
        <v>65</v>
      </c>
      <c r="G118" s="17"/>
      <c r="H118" s="17" t="s">
        <v>177</v>
      </c>
      <c r="I118" s="17"/>
      <c r="J118" s="12">
        <v>2</v>
      </c>
      <c r="K118" s="5">
        <v>2</v>
      </c>
      <c r="L118" s="11">
        <v>2</v>
      </c>
      <c r="M118" s="12"/>
      <c r="N118" s="5">
        <v>2</v>
      </c>
      <c r="O118" s="5"/>
      <c r="P118" s="5"/>
      <c r="Q118" s="5"/>
      <c r="R118" s="5">
        <v>3</v>
      </c>
      <c r="S118" s="5"/>
      <c r="T118" s="5"/>
      <c r="U118" s="5">
        <v>2</v>
      </c>
      <c r="V118" s="5"/>
      <c r="W118" s="5"/>
      <c r="X118" s="5">
        <v>2</v>
      </c>
      <c r="Y118" s="5"/>
      <c r="Z118" s="5"/>
      <c r="AA118" s="5"/>
      <c r="AB118" s="5"/>
      <c r="AC118" s="5">
        <v>1</v>
      </c>
      <c r="AD118" s="5"/>
      <c r="AE118" s="5"/>
      <c r="AF118" s="5"/>
      <c r="AG118" s="5"/>
      <c r="AH118" s="5"/>
      <c r="AI118" s="5"/>
      <c r="AJ118" s="11">
        <v>1</v>
      </c>
      <c r="AK118" s="12"/>
      <c r="AL118" s="5"/>
      <c r="AM118" s="5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20"/>
      <c r="BP118" s="20"/>
      <c r="BQ118" s="20"/>
      <c r="BR118" s="20"/>
      <c r="BS118" s="20"/>
      <c r="BT118" s="20"/>
      <c r="BU118" s="20"/>
    </row>
    <row r="119" spans="1:73" ht="30" hidden="1" customHeight="1" x14ac:dyDescent="0.25">
      <c r="A119" s="17"/>
      <c r="B119" s="6" t="s">
        <v>214</v>
      </c>
      <c r="C119" s="11">
        <v>18</v>
      </c>
      <c r="D119" s="98">
        <v>13</v>
      </c>
      <c r="E119" s="18" t="s">
        <v>64</v>
      </c>
      <c r="F119" s="17" t="s">
        <v>65</v>
      </c>
      <c r="G119" s="17"/>
      <c r="H119" s="17" t="s">
        <v>177</v>
      </c>
      <c r="I119" s="17"/>
      <c r="J119" s="12">
        <v>2</v>
      </c>
      <c r="K119" s="5">
        <v>2</v>
      </c>
      <c r="L119" s="11">
        <v>2</v>
      </c>
      <c r="M119" s="12"/>
      <c r="N119" s="5">
        <v>2</v>
      </c>
      <c r="O119" s="5"/>
      <c r="P119" s="5"/>
      <c r="Q119" s="5"/>
      <c r="R119" s="5">
        <v>2</v>
      </c>
      <c r="S119" s="5"/>
      <c r="T119" s="5"/>
      <c r="U119" s="5"/>
      <c r="V119" s="5"/>
      <c r="W119" s="5"/>
      <c r="X119" s="5">
        <v>2</v>
      </c>
      <c r="Y119" s="5"/>
      <c r="Z119" s="5"/>
      <c r="AA119" s="5"/>
      <c r="AB119" s="5"/>
      <c r="AC119" s="5">
        <v>1</v>
      </c>
      <c r="AD119" s="5"/>
      <c r="AE119" s="5"/>
      <c r="AF119" s="5"/>
      <c r="AG119" s="5"/>
      <c r="AH119" s="5">
        <v>1</v>
      </c>
      <c r="AI119" s="5"/>
      <c r="AJ119" s="11">
        <v>1</v>
      </c>
      <c r="AK119" s="12"/>
      <c r="AL119" s="5"/>
      <c r="AM119" s="5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20"/>
      <c r="BR119" s="20"/>
      <c r="BS119" s="20"/>
      <c r="BT119" s="20"/>
      <c r="BU119" s="20"/>
    </row>
    <row r="120" spans="1:73" ht="30" hidden="1" customHeight="1" x14ac:dyDescent="0.25">
      <c r="A120" s="17"/>
      <c r="B120" s="6" t="s">
        <v>215</v>
      </c>
      <c r="C120" s="11">
        <v>19</v>
      </c>
      <c r="D120" s="98">
        <v>14</v>
      </c>
      <c r="E120" s="18" t="s">
        <v>64</v>
      </c>
      <c r="F120" s="17" t="s">
        <v>65</v>
      </c>
      <c r="G120" s="17"/>
      <c r="H120" s="17" t="s">
        <v>177</v>
      </c>
      <c r="I120" s="17"/>
      <c r="J120" s="12">
        <v>2</v>
      </c>
      <c r="K120" s="5">
        <v>2</v>
      </c>
      <c r="L120" s="11">
        <v>2</v>
      </c>
      <c r="M120" s="12"/>
      <c r="N120" s="5">
        <v>1</v>
      </c>
      <c r="O120" s="5"/>
      <c r="P120" s="5">
        <v>2</v>
      </c>
      <c r="Q120" s="5"/>
      <c r="R120" s="5">
        <v>2</v>
      </c>
      <c r="S120" s="5"/>
      <c r="T120" s="5"/>
      <c r="U120" s="5"/>
      <c r="V120" s="5">
        <v>1</v>
      </c>
      <c r="W120" s="5"/>
      <c r="X120" s="5"/>
      <c r="Y120" s="5"/>
      <c r="Z120" s="5"/>
      <c r="AA120" s="5"/>
      <c r="AB120" s="5"/>
      <c r="AC120" s="5">
        <v>1</v>
      </c>
      <c r="AD120" s="5"/>
      <c r="AE120" s="5"/>
      <c r="AF120" s="5"/>
      <c r="AG120" s="5"/>
      <c r="AH120" s="5"/>
      <c r="AI120" s="5"/>
      <c r="AJ120" s="11">
        <v>1</v>
      </c>
      <c r="AK120" s="12"/>
      <c r="AL120" s="5"/>
      <c r="AM120" s="5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20"/>
      <c r="BR120" s="20"/>
      <c r="BS120" s="20"/>
      <c r="BT120" s="20"/>
      <c r="BU120" s="20"/>
    </row>
    <row r="121" spans="1:73" ht="30" hidden="1" customHeight="1" x14ac:dyDescent="0.25">
      <c r="A121" s="17"/>
      <c r="B121" s="9" t="s">
        <v>216</v>
      </c>
      <c r="C121" s="11">
        <v>20</v>
      </c>
      <c r="D121" s="98">
        <v>15</v>
      </c>
      <c r="E121" s="18" t="s">
        <v>64</v>
      </c>
      <c r="F121" s="17" t="s">
        <v>65</v>
      </c>
      <c r="G121" s="17"/>
      <c r="H121" s="17" t="s">
        <v>177</v>
      </c>
      <c r="I121" s="17"/>
      <c r="J121" s="12">
        <v>2</v>
      </c>
      <c r="K121" s="5">
        <v>2</v>
      </c>
      <c r="L121" s="11">
        <v>2</v>
      </c>
      <c r="M121" s="12"/>
      <c r="N121" s="5">
        <v>1</v>
      </c>
      <c r="O121" s="5"/>
      <c r="P121" s="5"/>
      <c r="Q121" s="5"/>
      <c r="R121" s="5">
        <v>3</v>
      </c>
      <c r="S121" s="5"/>
      <c r="T121" s="5">
        <v>1</v>
      </c>
      <c r="U121" s="5"/>
      <c r="V121" s="5"/>
      <c r="W121" s="5">
        <v>2</v>
      </c>
      <c r="X121" s="5">
        <v>2</v>
      </c>
      <c r="Y121" s="5"/>
      <c r="Z121" s="5"/>
      <c r="AA121" s="5"/>
      <c r="AB121" s="5">
        <v>1</v>
      </c>
      <c r="AC121" s="5"/>
      <c r="AD121" s="5"/>
      <c r="AE121" s="5"/>
      <c r="AF121" s="5"/>
      <c r="AG121" s="5"/>
      <c r="AH121" s="5"/>
      <c r="AI121" s="5"/>
      <c r="AJ121" s="11">
        <v>1</v>
      </c>
      <c r="AK121" s="12"/>
      <c r="AL121" s="5"/>
      <c r="AM121" s="5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  <c r="BK121" s="99"/>
      <c r="BL121" s="99"/>
      <c r="BM121" s="99"/>
      <c r="BN121" s="99"/>
      <c r="BO121" s="99"/>
      <c r="BP121" s="99"/>
      <c r="BQ121" s="20"/>
      <c r="BR121" s="20"/>
      <c r="BS121" s="20"/>
      <c r="BT121" s="20"/>
      <c r="BU121" s="20"/>
    </row>
    <row r="122" spans="1:73" ht="30" hidden="1" customHeight="1" x14ac:dyDescent="0.25">
      <c r="A122" s="17"/>
      <c r="B122" s="9" t="s">
        <v>217</v>
      </c>
      <c r="C122" s="11">
        <v>21</v>
      </c>
      <c r="D122" s="98">
        <v>16</v>
      </c>
      <c r="E122" s="18" t="s">
        <v>64</v>
      </c>
      <c r="F122" s="17" t="s">
        <v>65</v>
      </c>
      <c r="G122" s="17"/>
      <c r="H122" s="17" t="s">
        <v>177</v>
      </c>
      <c r="I122" s="17"/>
      <c r="J122" s="12">
        <v>2</v>
      </c>
      <c r="K122" s="5">
        <v>2</v>
      </c>
      <c r="L122" s="11">
        <v>2</v>
      </c>
      <c r="M122" s="12"/>
      <c r="N122" s="5">
        <v>2</v>
      </c>
      <c r="O122" s="5"/>
      <c r="P122" s="5"/>
      <c r="Q122" s="5"/>
      <c r="R122" s="5">
        <v>2</v>
      </c>
      <c r="S122" s="5"/>
      <c r="T122" s="5"/>
      <c r="U122" s="5">
        <v>1</v>
      </c>
      <c r="V122" s="5"/>
      <c r="W122" s="5"/>
      <c r="X122" s="5">
        <v>2</v>
      </c>
      <c r="Y122" s="5"/>
      <c r="Z122" s="5"/>
      <c r="AA122" s="5"/>
      <c r="AB122" s="5"/>
      <c r="AC122" s="5">
        <v>1</v>
      </c>
      <c r="AD122" s="5"/>
      <c r="AE122" s="5"/>
      <c r="AF122" s="5"/>
      <c r="AG122" s="5"/>
      <c r="AH122" s="5">
        <v>1</v>
      </c>
      <c r="AI122" s="5"/>
      <c r="AJ122" s="11">
        <v>1</v>
      </c>
      <c r="AK122" s="12"/>
      <c r="AL122" s="5"/>
      <c r="AM122" s="5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99"/>
      <c r="BO122" s="99"/>
      <c r="BP122" s="99"/>
      <c r="BQ122" s="20"/>
      <c r="BR122" s="20"/>
      <c r="BS122" s="20"/>
      <c r="BT122" s="20"/>
      <c r="BU122" s="20"/>
    </row>
    <row r="123" spans="1:73" ht="30" hidden="1" customHeight="1" x14ac:dyDescent="0.25">
      <c r="A123" s="17"/>
      <c r="B123" s="6" t="s">
        <v>218</v>
      </c>
      <c r="C123" s="11">
        <v>22</v>
      </c>
      <c r="D123" s="98">
        <v>17</v>
      </c>
      <c r="E123" s="18" t="s">
        <v>64</v>
      </c>
      <c r="F123" s="17" t="s">
        <v>65</v>
      </c>
      <c r="G123" s="17"/>
      <c r="H123" s="17" t="s">
        <v>177</v>
      </c>
      <c r="I123" s="17"/>
      <c r="J123" s="12">
        <v>2</v>
      </c>
      <c r="K123" s="5">
        <v>2</v>
      </c>
      <c r="L123" s="11">
        <v>2</v>
      </c>
      <c r="M123" s="12"/>
      <c r="N123" s="5">
        <v>1</v>
      </c>
      <c r="O123" s="5"/>
      <c r="P123" s="5"/>
      <c r="Q123" s="5"/>
      <c r="R123" s="5">
        <v>3</v>
      </c>
      <c r="S123" s="5"/>
      <c r="T123" s="5"/>
      <c r="U123" s="5"/>
      <c r="V123" s="5"/>
      <c r="W123" s="5"/>
      <c r="X123" s="5">
        <v>2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11">
        <v>1</v>
      </c>
      <c r="AK123" s="12"/>
      <c r="AL123" s="5"/>
      <c r="AM123" s="5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20"/>
      <c r="BR123" s="20"/>
      <c r="BS123" s="20"/>
      <c r="BT123" s="20"/>
      <c r="BU123" s="20"/>
    </row>
    <row r="124" spans="1:73" ht="30" hidden="1" customHeight="1" x14ac:dyDescent="0.25">
      <c r="A124" s="17"/>
      <c r="B124" s="6" t="s">
        <v>219</v>
      </c>
      <c r="C124" s="11">
        <v>23</v>
      </c>
      <c r="D124" s="98">
        <v>18</v>
      </c>
      <c r="E124" s="18" t="s">
        <v>64</v>
      </c>
      <c r="F124" s="17" t="s">
        <v>65</v>
      </c>
      <c r="G124" s="17"/>
      <c r="H124" s="17" t="s">
        <v>177</v>
      </c>
      <c r="I124" s="17"/>
      <c r="J124" s="12">
        <v>1</v>
      </c>
      <c r="K124" s="5">
        <v>1</v>
      </c>
      <c r="L124" s="11">
        <v>1</v>
      </c>
      <c r="M124" s="12"/>
      <c r="N124" s="5">
        <v>1</v>
      </c>
      <c r="O124" s="5"/>
      <c r="P124" s="5"/>
      <c r="Q124" s="5"/>
      <c r="R124" s="5">
        <v>2</v>
      </c>
      <c r="S124" s="5"/>
      <c r="T124" s="5"/>
      <c r="U124" s="5"/>
      <c r="V124" s="5"/>
      <c r="W124" s="5"/>
      <c r="X124" s="5">
        <v>2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11">
        <v>1</v>
      </c>
      <c r="AK124" s="12"/>
      <c r="AL124" s="5"/>
      <c r="AM124" s="5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20"/>
      <c r="BR124" s="20"/>
      <c r="BS124" s="20"/>
      <c r="BT124" s="20"/>
      <c r="BU124" s="20"/>
    </row>
    <row r="125" spans="1:73" ht="30" hidden="1" customHeight="1" x14ac:dyDescent="0.25">
      <c r="A125" s="17"/>
      <c r="B125" s="6" t="s">
        <v>220</v>
      </c>
      <c r="C125" s="11">
        <v>24</v>
      </c>
      <c r="D125" s="98">
        <v>19</v>
      </c>
      <c r="E125" s="18" t="s">
        <v>64</v>
      </c>
      <c r="F125" s="17" t="s">
        <v>65</v>
      </c>
      <c r="G125" s="17"/>
      <c r="H125" s="17" t="s">
        <v>177</v>
      </c>
      <c r="I125" s="17"/>
      <c r="J125" s="12">
        <v>2</v>
      </c>
      <c r="K125" s="5">
        <v>1</v>
      </c>
      <c r="L125" s="11">
        <v>2</v>
      </c>
      <c r="M125" s="12"/>
      <c r="N125" s="5">
        <v>1</v>
      </c>
      <c r="O125" s="5"/>
      <c r="P125" s="5"/>
      <c r="Q125" s="5"/>
      <c r="R125" s="5">
        <v>2</v>
      </c>
      <c r="S125" s="5"/>
      <c r="T125" s="5"/>
      <c r="U125" s="5"/>
      <c r="V125" s="5"/>
      <c r="W125" s="5"/>
      <c r="X125" s="5">
        <v>2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>
        <v>1</v>
      </c>
      <c r="AI125" s="5"/>
      <c r="AJ125" s="11">
        <v>1</v>
      </c>
      <c r="AK125" s="12"/>
      <c r="AL125" s="5"/>
      <c r="AM125" s="5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20"/>
      <c r="BR125" s="20"/>
      <c r="BS125" s="20"/>
      <c r="BT125" s="20"/>
      <c r="BU125" s="20"/>
    </row>
    <row r="126" spans="1:73" ht="30" hidden="1" customHeight="1" x14ac:dyDescent="0.25">
      <c r="A126" s="17"/>
      <c r="B126" s="6" t="s">
        <v>221</v>
      </c>
      <c r="C126" s="11">
        <v>25</v>
      </c>
      <c r="D126" s="98">
        <v>20</v>
      </c>
      <c r="E126" s="18" t="s">
        <v>64</v>
      </c>
      <c r="F126" s="17" t="s">
        <v>65</v>
      </c>
      <c r="G126" s="17"/>
      <c r="H126" s="17" t="s">
        <v>177</v>
      </c>
      <c r="I126" s="17"/>
      <c r="J126" s="12">
        <v>2</v>
      </c>
      <c r="K126" s="5">
        <v>1</v>
      </c>
      <c r="L126" s="11">
        <v>2</v>
      </c>
      <c r="M126" s="12"/>
      <c r="N126" s="5">
        <v>1</v>
      </c>
      <c r="O126" s="5"/>
      <c r="P126" s="5"/>
      <c r="Q126" s="5"/>
      <c r="R126" s="5">
        <v>2</v>
      </c>
      <c r="S126" s="5"/>
      <c r="T126" s="5"/>
      <c r="U126" s="5">
        <v>1</v>
      </c>
      <c r="V126" s="5"/>
      <c r="W126" s="5"/>
      <c r="X126" s="5">
        <v>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11">
        <v>1</v>
      </c>
      <c r="AK126" s="12"/>
      <c r="AL126" s="5"/>
      <c r="AM126" s="5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20"/>
      <c r="BR126" s="20"/>
      <c r="BS126" s="20"/>
      <c r="BT126" s="20"/>
      <c r="BU126" s="20"/>
    </row>
    <row r="127" spans="1:73" ht="30" hidden="1" customHeight="1" x14ac:dyDescent="0.25">
      <c r="A127" s="17"/>
      <c r="B127" s="6" t="s">
        <v>222</v>
      </c>
      <c r="C127" s="11">
        <v>26</v>
      </c>
      <c r="D127" s="98">
        <v>21</v>
      </c>
      <c r="E127" s="18" t="s">
        <v>64</v>
      </c>
      <c r="F127" s="17" t="s">
        <v>65</v>
      </c>
      <c r="G127" s="17"/>
      <c r="H127" s="17" t="s">
        <v>177</v>
      </c>
      <c r="I127" s="17"/>
      <c r="J127" s="12">
        <v>2</v>
      </c>
      <c r="K127" s="5">
        <v>1</v>
      </c>
      <c r="L127" s="11">
        <v>2</v>
      </c>
      <c r="M127" s="12"/>
      <c r="N127" s="5">
        <v>1</v>
      </c>
      <c r="O127" s="5"/>
      <c r="P127" s="5"/>
      <c r="Q127" s="5">
        <v>1</v>
      </c>
      <c r="R127" s="5">
        <v>2</v>
      </c>
      <c r="S127" s="5"/>
      <c r="T127" s="5">
        <v>1</v>
      </c>
      <c r="U127" s="5"/>
      <c r="V127" s="5"/>
      <c r="W127" s="5"/>
      <c r="X127" s="5"/>
      <c r="Y127" s="5"/>
      <c r="Z127" s="5"/>
      <c r="AA127" s="5">
        <v>1</v>
      </c>
      <c r="AB127" s="5">
        <v>2</v>
      </c>
      <c r="AC127" s="5">
        <v>1</v>
      </c>
      <c r="AD127" s="5"/>
      <c r="AE127" s="5"/>
      <c r="AF127" s="5"/>
      <c r="AG127" s="5"/>
      <c r="AH127" s="5"/>
      <c r="AI127" s="5"/>
      <c r="AJ127" s="11">
        <v>1</v>
      </c>
      <c r="AK127" s="12"/>
      <c r="AL127" s="5"/>
      <c r="AM127" s="5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  <c r="BP127" s="99"/>
      <c r="BQ127" s="20"/>
      <c r="BR127" s="20"/>
      <c r="BS127" s="20"/>
      <c r="BT127" s="20"/>
      <c r="BU127" s="20"/>
    </row>
    <row r="128" spans="1:73" ht="30" hidden="1" customHeight="1" x14ac:dyDescent="0.25">
      <c r="A128" s="17"/>
      <c r="B128" s="120" t="s">
        <v>53</v>
      </c>
      <c r="C128" s="11">
        <v>27</v>
      </c>
      <c r="D128" s="98">
        <v>22</v>
      </c>
      <c r="E128" s="18" t="s">
        <v>64</v>
      </c>
      <c r="F128" s="17" t="s">
        <v>65</v>
      </c>
      <c r="G128" s="17"/>
      <c r="H128" s="17" t="s">
        <v>177</v>
      </c>
      <c r="I128" s="17"/>
      <c r="J128" s="12">
        <v>2</v>
      </c>
      <c r="K128" s="5">
        <v>1</v>
      </c>
      <c r="L128" s="11">
        <v>2</v>
      </c>
      <c r="M128" s="12"/>
      <c r="N128" s="5">
        <v>2</v>
      </c>
      <c r="O128" s="5"/>
      <c r="P128" s="5"/>
      <c r="Q128" s="5"/>
      <c r="R128" s="5">
        <v>1</v>
      </c>
      <c r="S128" s="5"/>
      <c r="T128" s="5"/>
      <c r="U128" s="5">
        <v>1</v>
      </c>
      <c r="V128" s="5"/>
      <c r="W128" s="5"/>
      <c r="X128" s="5"/>
      <c r="Y128" s="5"/>
      <c r="Z128" s="5"/>
      <c r="AA128" s="5"/>
      <c r="AB128" s="5"/>
      <c r="AC128" s="5">
        <v>1</v>
      </c>
      <c r="AD128" s="5"/>
      <c r="AE128" s="5"/>
      <c r="AF128" s="5"/>
      <c r="AG128" s="5"/>
      <c r="AH128" s="5">
        <v>1</v>
      </c>
      <c r="AI128" s="5"/>
      <c r="AJ128" s="11">
        <v>1</v>
      </c>
      <c r="AK128" s="12"/>
      <c r="AL128" s="5"/>
      <c r="AM128" s="5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20"/>
      <c r="BR128" s="20"/>
      <c r="BS128" s="20"/>
      <c r="BT128" s="20"/>
      <c r="BU128" s="20"/>
    </row>
    <row r="129" spans="1:73" ht="30" hidden="1" customHeight="1" x14ac:dyDescent="0.25">
      <c r="A129" s="17"/>
      <c r="B129" s="6" t="s">
        <v>54</v>
      </c>
      <c r="C129" s="11">
        <v>28</v>
      </c>
      <c r="D129" s="98">
        <v>23</v>
      </c>
      <c r="E129" s="18" t="s">
        <v>64</v>
      </c>
      <c r="F129" s="17" t="s">
        <v>65</v>
      </c>
      <c r="G129" s="17"/>
      <c r="H129" s="17" t="s">
        <v>177</v>
      </c>
      <c r="I129" s="17"/>
      <c r="J129" s="12">
        <v>2</v>
      </c>
      <c r="K129" s="5">
        <v>1</v>
      </c>
      <c r="L129" s="11">
        <v>2</v>
      </c>
      <c r="M129" s="12"/>
      <c r="N129" s="5">
        <v>2</v>
      </c>
      <c r="O129" s="5"/>
      <c r="P129" s="5"/>
      <c r="Q129" s="5"/>
      <c r="R129" s="5">
        <v>2</v>
      </c>
      <c r="S129" s="5"/>
      <c r="T129" s="5"/>
      <c r="U129" s="5"/>
      <c r="V129" s="5"/>
      <c r="W129" s="5"/>
      <c r="X129" s="5">
        <v>2</v>
      </c>
      <c r="Y129" s="5"/>
      <c r="Z129" s="5"/>
      <c r="AA129" s="5"/>
      <c r="AB129" s="5"/>
      <c r="AC129" s="5">
        <v>1</v>
      </c>
      <c r="AD129" s="5"/>
      <c r="AE129" s="5"/>
      <c r="AF129" s="5"/>
      <c r="AG129" s="5"/>
      <c r="AH129" s="5">
        <v>1</v>
      </c>
      <c r="AI129" s="5"/>
      <c r="AJ129" s="11">
        <v>1</v>
      </c>
      <c r="AK129" s="12"/>
      <c r="AL129" s="5"/>
      <c r="AM129" s="5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20"/>
      <c r="BR129" s="20"/>
      <c r="BS129" s="20"/>
      <c r="BT129" s="20"/>
      <c r="BU129" s="20"/>
    </row>
    <row r="130" spans="1:73" s="119" customFormat="1" ht="30" customHeight="1" x14ac:dyDescent="0.25">
      <c r="A130" s="109" t="s">
        <v>223</v>
      </c>
      <c r="B130" s="110" t="s">
        <v>52</v>
      </c>
      <c r="C130" s="111">
        <v>14</v>
      </c>
      <c r="D130" s="112">
        <v>9</v>
      </c>
      <c r="E130" s="113" t="s">
        <v>64</v>
      </c>
      <c r="F130" s="109" t="s">
        <v>65</v>
      </c>
      <c r="G130" s="109" t="s">
        <v>165</v>
      </c>
      <c r="H130" s="109" t="s">
        <v>177</v>
      </c>
      <c r="I130" s="109"/>
      <c r="J130" s="114"/>
      <c r="K130" s="115"/>
      <c r="L130" s="111">
        <v>2</v>
      </c>
      <c r="M130" s="114"/>
      <c r="N130" s="115">
        <v>1</v>
      </c>
      <c r="O130" s="115"/>
      <c r="P130" s="115"/>
      <c r="Q130" s="115"/>
      <c r="R130" s="115">
        <v>3</v>
      </c>
      <c r="S130" s="115"/>
      <c r="T130" s="115"/>
      <c r="U130" s="115"/>
      <c r="V130" s="115"/>
      <c r="W130" s="115"/>
      <c r="X130" s="115">
        <v>2</v>
      </c>
      <c r="Y130" s="115"/>
      <c r="Z130" s="115">
        <v>2</v>
      </c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1"/>
      <c r="AK130" s="114"/>
      <c r="AL130" s="115"/>
      <c r="AM130" s="115"/>
      <c r="AN130" s="117">
        <v>3.9</v>
      </c>
      <c r="AO130" s="117">
        <v>3.6</v>
      </c>
      <c r="AP130" s="117">
        <v>3.2</v>
      </c>
      <c r="AQ130" s="117"/>
      <c r="AR130" s="117">
        <v>3.6</v>
      </c>
      <c r="AS130" s="117"/>
      <c r="AT130" s="117"/>
      <c r="AU130" s="117"/>
      <c r="AV130" s="117">
        <v>3.7</v>
      </c>
      <c r="AW130" s="129">
        <v>0</v>
      </c>
      <c r="AX130" s="117"/>
      <c r="AY130" s="117">
        <v>3.3</v>
      </c>
      <c r="AZ130" s="117"/>
      <c r="BA130" s="117"/>
      <c r="BB130" s="117"/>
      <c r="BC130" s="117"/>
      <c r="BD130" s="117"/>
      <c r="BE130" s="117"/>
      <c r="BF130" s="117"/>
      <c r="BG130" s="117">
        <v>3.6</v>
      </c>
      <c r="BH130" s="117">
        <v>4</v>
      </c>
      <c r="BI130" s="117"/>
      <c r="BJ130" s="129">
        <v>0</v>
      </c>
      <c r="BK130" s="117"/>
      <c r="BL130" s="117">
        <v>3.1</v>
      </c>
      <c r="BM130" s="117"/>
      <c r="BN130" s="117">
        <v>3.7</v>
      </c>
      <c r="BO130" s="117"/>
      <c r="BP130" s="117"/>
      <c r="BQ130" s="118"/>
      <c r="BR130" s="118"/>
      <c r="BS130" s="118"/>
      <c r="BT130" s="118"/>
      <c r="BU130" s="118"/>
    </row>
    <row r="131" spans="1:73" ht="30" customHeight="1" x14ac:dyDescent="0.25">
      <c r="A131" s="17" t="s">
        <v>224</v>
      </c>
      <c r="B131" s="6" t="s">
        <v>225</v>
      </c>
      <c r="C131" s="11">
        <v>15</v>
      </c>
      <c r="D131" s="98"/>
      <c r="E131" s="18" t="s">
        <v>64</v>
      </c>
      <c r="F131" s="17" t="s">
        <v>66</v>
      </c>
      <c r="G131" s="17" t="s">
        <v>169</v>
      </c>
      <c r="H131" s="17" t="s">
        <v>226</v>
      </c>
      <c r="I131" s="17"/>
      <c r="J131" s="12">
        <v>2</v>
      </c>
      <c r="K131" s="7">
        <v>1</v>
      </c>
      <c r="L131" s="13">
        <v>2</v>
      </c>
      <c r="M131" s="14"/>
      <c r="N131" s="7">
        <v>1</v>
      </c>
      <c r="O131" s="7"/>
      <c r="P131" s="7"/>
      <c r="Q131" s="7">
        <v>1</v>
      </c>
      <c r="R131" s="7">
        <v>2</v>
      </c>
      <c r="S131" s="7"/>
      <c r="T131" s="5">
        <v>1</v>
      </c>
      <c r="U131" s="7"/>
      <c r="V131" s="7"/>
      <c r="W131" s="7"/>
      <c r="X131" s="7"/>
      <c r="Y131" s="7"/>
      <c r="Z131" s="7"/>
      <c r="AA131" s="5">
        <v>1</v>
      </c>
      <c r="AB131" s="7">
        <v>2</v>
      </c>
      <c r="AC131" s="7">
        <v>1</v>
      </c>
      <c r="AD131" s="7"/>
      <c r="AE131" s="7"/>
      <c r="AF131" s="7"/>
      <c r="AG131" s="7"/>
      <c r="AH131" s="7"/>
      <c r="AI131" s="7"/>
      <c r="AJ131" s="11">
        <v>1</v>
      </c>
      <c r="AK131" s="12"/>
      <c r="AL131" s="5"/>
      <c r="AM131" s="5"/>
      <c r="AN131" s="99">
        <v>3.3</v>
      </c>
      <c r="AO131" s="99">
        <v>3.2</v>
      </c>
      <c r="AP131" s="99">
        <v>3.9</v>
      </c>
      <c r="AQ131" s="99"/>
      <c r="AR131" s="99">
        <v>2.2999999999999998</v>
      </c>
      <c r="AS131" s="99"/>
      <c r="AT131" s="99"/>
      <c r="AU131" s="99">
        <v>4</v>
      </c>
      <c r="AV131" s="99">
        <v>2</v>
      </c>
      <c r="AW131" s="99"/>
      <c r="AX131" s="99">
        <v>4</v>
      </c>
      <c r="AY131" s="99"/>
      <c r="AZ131" s="99"/>
      <c r="BA131" s="99"/>
      <c r="BB131" s="99"/>
      <c r="BC131" s="99"/>
      <c r="BD131" s="99"/>
      <c r="BE131" s="99">
        <v>3.8</v>
      </c>
      <c r="BF131" s="99">
        <v>4</v>
      </c>
      <c r="BG131" s="99">
        <v>3.6</v>
      </c>
      <c r="BH131" s="99"/>
      <c r="BI131" s="99"/>
      <c r="BJ131" s="99"/>
      <c r="BK131" s="99"/>
      <c r="BL131" s="99"/>
      <c r="BM131" s="99"/>
      <c r="BN131" s="99">
        <v>2.7</v>
      </c>
      <c r="BO131" s="99"/>
      <c r="BP131" s="99"/>
      <c r="BQ131" s="20"/>
      <c r="BR131" s="20"/>
      <c r="BS131" s="20"/>
      <c r="BT131" s="20"/>
      <c r="BU131" s="20"/>
    </row>
    <row r="132" spans="1:73" ht="30" customHeight="1" x14ac:dyDescent="0.25">
      <c r="A132" s="17" t="s">
        <v>227</v>
      </c>
      <c r="B132" s="6" t="s">
        <v>55</v>
      </c>
      <c r="C132" s="11">
        <v>12</v>
      </c>
      <c r="D132" s="98">
        <v>8</v>
      </c>
      <c r="E132" s="18" t="s">
        <v>64</v>
      </c>
      <c r="F132" s="17" t="s">
        <v>66</v>
      </c>
      <c r="G132" s="17" t="s">
        <v>169</v>
      </c>
      <c r="H132" s="17" t="s">
        <v>177</v>
      </c>
      <c r="I132" s="17"/>
      <c r="J132" s="12">
        <v>2</v>
      </c>
      <c r="K132" s="7">
        <v>1</v>
      </c>
      <c r="L132" s="13">
        <v>2</v>
      </c>
      <c r="M132" s="14"/>
      <c r="N132" s="7">
        <v>1</v>
      </c>
      <c r="O132" s="7"/>
      <c r="P132" s="7"/>
      <c r="Q132" s="7">
        <v>1</v>
      </c>
      <c r="R132" s="7">
        <v>2</v>
      </c>
      <c r="S132" s="7"/>
      <c r="T132" s="5">
        <v>1</v>
      </c>
      <c r="U132" s="7"/>
      <c r="V132" s="7"/>
      <c r="W132" s="7"/>
      <c r="X132" s="7"/>
      <c r="Y132" s="7"/>
      <c r="Z132" s="7"/>
      <c r="AA132" s="5">
        <v>1</v>
      </c>
      <c r="AB132" s="7">
        <v>2</v>
      </c>
      <c r="AC132" s="7">
        <v>1</v>
      </c>
      <c r="AD132" s="7"/>
      <c r="AE132" s="7"/>
      <c r="AF132" s="7"/>
      <c r="AG132" s="7"/>
      <c r="AH132" s="7"/>
      <c r="AI132" s="7"/>
      <c r="AJ132" s="11">
        <v>1</v>
      </c>
      <c r="AK132" s="12"/>
      <c r="AL132" s="5"/>
      <c r="AM132" s="5"/>
      <c r="AN132" s="99">
        <v>4</v>
      </c>
      <c r="AO132" s="99">
        <v>4</v>
      </c>
      <c r="AP132" s="99">
        <v>4</v>
      </c>
      <c r="AQ132" s="99"/>
      <c r="AR132" s="99">
        <v>4</v>
      </c>
      <c r="AS132" s="99"/>
      <c r="AT132" s="99"/>
      <c r="AU132" s="99">
        <v>4</v>
      </c>
      <c r="AV132" s="99">
        <v>3.7</v>
      </c>
      <c r="AW132" s="99"/>
      <c r="AX132" s="99">
        <v>4</v>
      </c>
      <c r="AY132" s="99"/>
      <c r="AZ132" s="99"/>
      <c r="BA132" s="99"/>
      <c r="BB132" s="99"/>
      <c r="BC132" s="99"/>
      <c r="BD132" s="99"/>
      <c r="BE132" s="99">
        <v>4</v>
      </c>
      <c r="BF132" s="99">
        <v>4</v>
      </c>
      <c r="BG132" s="99">
        <v>3</v>
      </c>
      <c r="BH132" s="99"/>
      <c r="BI132" s="99"/>
      <c r="BJ132" s="99"/>
      <c r="BK132" s="99"/>
      <c r="BL132" s="99"/>
      <c r="BM132" s="99"/>
      <c r="BN132" s="99">
        <v>4</v>
      </c>
      <c r="BO132" s="99"/>
      <c r="BP132" s="99"/>
      <c r="BQ132" s="20"/>
      <c r="BR132" s="20"/>
      <c r="BS132" s="20"/>
      <c r="BT132" s="20"/>
      <c r="BU132" s="20"/>
    </row>
    <row r="133" spans="1:73" ht="30" customHeight="1" x14ac:dyDescent="0.25">
      <c r="A133" s="17" t="s">
        <v>228</v>
      </c>
      <c r="B133" s="6" t="s">
        <v>55</v>
      </c>
      <c r="C133" s="11">
        <v>12</v>
      </c>
      <c r="D133" s="98"/>
      <c r="E133" s="18" t="s">
        <v>64</v>
      </c>
      <c r="F133" s="17" t="s">
        <v>66</v>
      </c>
      <c r="G133" s="17" t="s">
        <v>169</v>
      </c>
      <c r="H133" s="17" t="s">
        <v>226</v>
      </c>
      <c r="I133" s="17"/>
      <c r="J133" s="12">
        <v>2</v>
      </c>
      <c r="K133" s="7">
        <v>1</v>
      </c>
      <c r="L133" s="13">
        <v>2</v>
      </c>
      <c r="M133" s="14"/>
      <c r="N133" s="7">
        <v>1</v>
      </c>
      <c r="O133" s="7"/>
      <c r="P133" s="7"/>
      <c r="Q133" s="7">
        <v>1</v>
      </c>
      <c r="R133" s="7">
        <v>2</v>
      </c>
      <c r="S133" s="7"/>
      <c r="T133" s="5">
        <v>1</v>
      </c>
      <c r="U133" s="7"/>
      <c r="V133" s="7"/>
      <c r="W133" s="7"/>
      <c r="X133" s="7"/>
      <c r="Y133" s="7"/>
      <c r="Z133" s="7"/>
      <c r="AA133" s="5">
        <v>1</v>
      </c>
      <c r="AB133" s="7">
        <v>2</v>
      </c>
      <c r="AC133" s="7">
        <v>1</v>
      </c>
      <c r="AD133" s="7"/>
      <c r="AE133" s="7"/>
      <c r="AF133" s="7"/>
      <c r="AG133" s="7"/>
      <c r="AH133" s="7"/>
      <c r="AI133" s="7"/>
      <c r="AJ133" s="11">
        <v>1</v>
      </c>
      <c r="AK133" s="12"/>
      <c r="AL133" s="5"/>
      <c r="AM133" s="5"/>
      <c r="AN133" s="99">
        <v>3</v>
      </c>
      <c r="AO133" s="99">
        <v>3</v>
      </c>
      <c r="AP133" s="99">
        <v>3</v>
      </c>
      <c r="AQ133" s="99"/>
      <c r="AR133" s="99">
        <v>2.2000000000000002</v>
      </c>
      <c r="AS133" s="99"/>
      <c r="AT133" s="99"/>
      <c r="AU133" s="99">
        <v>2.8</v>
      </c>
      <c r="AV133" s="99">
        <v>1.5</v>
      </c>
      <c r="AW133" s="99"/>
      <c r="AX133" s="99">
        <v>3</v>
      </c>
      <c r="AY133" s="99"/>
      <c r="AZ133" s="99"/>
      <c r="BA133" s="99"/>
      <c r="BB133" s="99"/>
      <c r="BC133" s="99"/>
      <c r="BD133" s="99"/>
      <c r="BE133" s="99">
        <v>3</v>
      </c>
      <c r="BF133" s="99">
        <v>2.6</v>
      </c>
      <c r="BG133" s="99">
        <v>2.5</v>
      </c>
      <c r="BH133" s="99"/>
      <c r="BI133" s="99"/>
      <c r="BJ133" s="99"/>
      <c r="BK133" s="99"/>
      <c r="BL133" s="99"/>
      <c r="BM133" s="99"/>
      <c r="BN133" s="99">
        <v>3.4</v>
      </c>
      <c r="BO133" s="99"/>
      <c r="BP133" s="99"/>
      <c r="BQ133" s="20"/>
      <c r="BR133" s="20"/>
      <c r="BS133" s="20"/>
      <c r="BT133" s="20"/>
      <c r="BU133" s="20"/>
    </row>
    <row r="134" spans="1:73" ht="30" customHeight="1" x14ac:dyDescent="0.25">
      <c r="A134" s="17" t="s">
        <v>229</v>
      </c>
      <c r="B134" s="6" t="s">
        <v>225</v>
      </c>
      <c r="C134" s="11">
        <v>15</v>
      </c>
      <c r="D134" s="98"/>
      <c r="E134" s="18" t="s">
        <v>64</v>
      </c>
      <c r="F134" s="17" t="s">
        <v>66</v>
      </c>
      <c r="G134" s="17" t="s">
        <v>169</v>
      </c>
      <c r="H134" s="17" t="s">
        <v>226</v>
      </c>
      <c r="I134" s="17"/>
      <c r="J134" s="12">
        <v>2</v>
      </c>
      <c r="K134" s="7">
        <v>1</v>
      </c>
      <c r="L134" s="13">
        <v>2</v>
      </c>
      <c r="M134" s="14"/>
      <c r="N134" s="7">
        <v>1</v>
      </c>
      <c r="O134" s="7"/>
      <c r="P134" s="7"/>
      <c r="Q134" s="7">
        <v>1</v>
      </c>
      <c r="R134" s="7">
        <v>2</v>
      </c>
      <c r="S134" s="7"/>
      <c r="T134" s="5">
        <v>1</v>
      </c>
      <c r="U134" s="7"/>
      <c r="V134" s="7"/>
      <c r="W134" s="7"/>
      <c r="X134" s="7"/>
      <c r="Y134" s="7"/>
      <c r="Z134" s="7"/>
      <c r="AA134" s="5">
        <v>1</v>
      </c>
      <c r="AB134" s="7">
        <v>2</v>
      </c>
      <c r="AC134" s="7">
        <v>1</v>
      </c>
      <c r="AD134" s="7"/>
      <c r="AE134" s="7"/>
      <c r="AF134" s="7"/>
      <c r="AG134" s="7"/>
      <c r="AH134" s="7"/>
      <c r="AI134" s="7"/>
      <c r="AJ134" s="11">
        <v>1</v>
      </c>
      <c r="AK134" s="12"/>
      <c r="AL134" s="5"/>
      <c r="AM134" s="5"/>
      <c r="AN134" s="99">
        <v>3.6</v>
      </c>
      <c r="AO134" s="99">
        <v>4</v>
      </c>
      <c r="AP134" s="99">
        <v>3.7</v>
      </c>
      <c r="AQ134" s="99"/>
      <c r="AR134" s="99">
        <v>3</v>
      </c>
      <c r="AS134" s="99"/>
      <c r="AT134" s="99"/>
      <c r="AU134" s="99">
        <v>4</v>
      </c>
      <c r="AV134" s="99">
        <v>3</v>
      </c>
      <c r="AW134" s="99"/>
      <c r="AX134" s="99">
        <v>4</v>
      </c>
      <c r="AY134" s="99"/>
      <c r="AZ134" s="99"/>
      <c r="BA134" s="99"/>
      <c r="BB134" s="99"/>
      <c r="BC134" s="99"/>
      <c r="BD134" s="99"/>
      <c r="BE134" s="99">
        <v>3.6</v>
      </c>
      <c r="BF134" s="99">
        <v>3.6</v>
      </c>
      <c r="BG134" s="99">
        <v>4</v>
      </c>
      <c r="BH134" s="99"/>
      <c r="BI134" s="99"/>
      <c r="BJ134" s="99"/>
      <c r="BK134" s="99"/>
      <c r="BL134" s="99"/>
      <c r="BM134" s="99"/>
      <c r="BN134" s="99">
        <v>3.6</v>
      </c>
      <c r="BO134" s="99"/>
      <c r="BP134" s="99"/>
      <c r="BQ134" s="20"/>
      <c r="BR134" s="20"/>
      <c r="BS134" s="20"/>
      <c r="BT134" s="20"/>
      <c r="BU134" s="20"/>
    </row>
    <row r="135" spans="1:73" ht="30" customHeight="1" x14ac:dyDescent="0.25">
      <c r="A135" s="17" t="s">
        <v>230</v>
      </c>
      <c r="B135" s="6" t="s">
        <v>225</v>
      </c>
      <c r="C135" s="11">
        <v>12</v>
      </c>
      <c r="D135" s="98"/>
      <c r="E135" s="18" t="s">
        <v>64</v>
      </c>
      <c r="F135" s="17" t="s">
        <v>66</v>
      </c>
      <c r="G135" s="17" t="s">
        <v>169</v>
      </c>
      <c r="H135" s="17" t="s">
        <v>231</v>
      </c>
      <c r="I135" s="17"/>
      <c r="J135" s="12">
        <v>2</v>
      </c>
      <c r="K135" s="7">
        <v>1</v>
      </c>
      <c r="L135" s="13">
        <v>2</v>
      </c>
      <c r="M135" s="14"/>
      <c r="N135" s="7">
        <v>1</v>
      </c>
      <c r="O135" s="7"/>
      <c r="P135" s="7"/>
      <c r="Q135" s="7">
        <v>1</v>
      </c>
      <c r="R135" s="7">
        <v>2</v>
      </c>
      <c r="S135" s="7"/>
      <c r="T135" s="5">
        <v>1</v>
      </c>
      <c r="U135" s="7"/>
      <c r="V135" s="7"/>
      <c r="W135" s="7"/>
      <c r="X135" s="7"/>
      <c r="Y135" s="7"/>
      <c r="Z135" s="7"/>
      <c r="AA135" s="5">
        <v>1</v>
      </c>
      <c r="AB135" s="7">
        <v>2</v>
      </c>
      <c r="AC135" s="7">
        <v>1</v>
      </c>
      <c r="AD135" s="7"/>
      <c r="AE135" s="7"/>
      <c r="AF135" s="7"/>
      <c r="AG135" s="7"/>
      <c r="AH135" s="7"/>
      <c r="AI135" s="7"/>
      <c r="AJ135" s="11">
        <v>1</v>
      </c>
      <c r="AK135" s="12"/>
      <c r="AL135" s="5"/>
      <c r="AM135" s="5"/>
      <c r="AN135" s="99">
        <v>4</v>
      </c>
      <c r="AO135" s="99">
        <v>4</v>
      </c>
      <c r="AP135" s="99">
        <v>4</v>
      </c>
      <c r="AQ135" s="99"/>
      <c r="AR135" s="99">
        <v>4</v>
      </c>
      <c r="AS135" s="99"/>
      <c r="AT135" s="99"/>
      <c r="AU135" s="99">
        <v>4</v>
      </c>
      <c r="AV135" s="99">
        <v>3.5</v>
      </c>
      <c r="AW135" s="99"/>
      <c r="AX135" s="99">
        <v>4</v>
      </c>
      <c r="AY135" s="99"/>
      <c r="AZ135" s="99"/>
      <c r="BA135" s="99"/>
      <c r="BB135" s="99"/>
      <c r="BC135" s="99"/>
      <c r="BD135" s="99"/>
      <c r="BE135" s="99">
        <v>4</v>
      </c>
      <c r="BF135" s="99">
        <v>4</v>
      </c>
      <c r="BG135" s="99">
        <v>4</v>
      </c>
      <c r="BH135" s="99"/>
      <c r="BI135" s="99"/>
      <c r="BJ135" s="99"/>
      <c r="BK135" s="99"/>
      <c r="BL135" s="99"/>
      <c r="BM135" s="99"/>
      <c r="BN135" s="99">
        <v>3.9</v>
      </c>
      <c r="BO135" s="99"/>
      <c r="BP135" s="99"/>
      <c r="BQ135" s="20"/>
      <c r="BR135" s="20"/>
      <c r="BS135" s="20"/>
      <c r="BT135" s="20"/>
      <c r="BU135" s="20"/>
    </row>
    <row r="136" spans="1:73" ht="30" customHeight="1" x14ac:dyDescent="0.25">
      <c r="A136" s="17" t="s">
        <v>232</v>
      </c>
      <c r="B136" s="6" t="s">
        <v>225</v>
      </c>
      <c r="C136" s="11">
        <v>15</v>
      </c>
      <c r="D136" s="98"/>
      <c r="E136" s="18" t="s">
        <v>64</v>
      </c>
      <c r="F136" s="17" t="s">
        <v>66</v>
      </c>
      <c r="G136" s="17" t="s">
        <v>169</v>
      </c>
      <c r="H136" s="17" t="s">
        <v>226</v>
      </c>
      <c r="I136" s="17"/>
      <c r="J136" s="12">
        <v>2</v>
      </c>
      <c r="K136" s="7">
        <v>1</v>
      </c>
      <c r="L136" s="13">
        <v>2</v>
      </c>
      <c r="M136" s="14"/>
      <c r="N136" s="7">
        <v>1</v>
      </c>
      <c r="O136" s="7"/>
      <c r="P136" s="7"/>
      <c r="Q136" s="7">
        <v>1</v>
      </c>
      <c r="R136" s="7">
        <v>2</v>
      </c>
      <c r="S136" s="7"/>
      <c r="T136" s="5">
        <v>1</v>
      </c>
      <c r="U136" s="7"/>
      <c r="V136" s="7"/>
      <c r="W136" s="7"/>
      <c r="X136" s="7"/>
      <c r="Y136" s="7"/>
      <c r="Z136" s="7"/>
      <c r="AA136" s="5">
        <v>1</v>
      </c>
      <c r="AB136" s="7">
        <v>2</v>
      </c>
      <c r="AC136" s="7">
        <v>1</v>
      </c>
      <c r="AD136" s="7"/>
      <c r="AE136" s="7"/>
      <c r="AF136" s="7"/>
      <c r="AG136" s="7"/>
      <c r="AH136" s="7"/>
      <c r="AI136" s="7"/>
      <c r="AJ136" s="11">
        <v>1</v>
      </c>
      <c r="AK136" s="12"/>
      <c r="AL136" s="5"/>
      <c r="AM136" s="5"/>
      <c r="AN136" s="99">
        <v>4</v>
      </c>
      <c r="AO136" s="99">
        <v>4</v>
      </c>
      <c r="AP136" s="99">
        <v>4</v>
      </c>
      <c r="AQ136" s="99"/>
      <c r="AR136" s="99">
        <v>4</v>
      </c>
      <c r="AS136" s="99"/>
      <c r="AT136" s="99"/>
      <c r="AU136" s="99">
        <v>3.6</v>
      </c>
      <c r="AV136" s="99">
        <v>4</v>
      </c>
      <c r="AW136" s="99"/>
      <c r="AX136" s="99">
        <v>4</v>
      </c>
      <c r="AY136" s="99"/>
      <c r="AZ136" s="99"/>
      <c r="BA136" s="99"/>
      <c r="BB136" s="99"/>
      <c r="BC136" s="99"/>
      <c r="BD136" s="99"/>
      <c r="BE136" s="99">
        <v>4</v>
      </c>
      <c r="BF136" s="99">
        <v>3.8</v>
      </c>
      <c r="BG136" s="99">
        <v>4</v>
      </c>
      <c r="BH136" s="99"/>
      <c r="BI136" s="99"/>
      <c r="BJ136" s="99"/>
      <c r="BK136" s="99"/>
      <c r="BL136" s="99"/>
      <c r="BM136" s="99"/>
      <c r="BN136" s="99">
        <v>3.7</v>
      </c>
      <c r="BO136" s="99"/>
      <c r="BP136" s="99"/>
      <c r="BQ136" s="20"/>
      <c r="BR136" s="20"/>
      <c r="BS136" s="20"/>
      <c r="BT136" s="20"/>
      <c r="BU136" s="20"/>
    </row>
    <row r="137" spans="1:73" ht="30" customHeight="1" x14ac:dyDescent="0.25">
      <c r="A137" s="17" t="s">
        <v>233</v>
      </c>
      <c r="B137" s="6" t="s">
        <v>234</v>
      </c>
      <c r="C137" s="11">
        <v>12</v>
      </c>
      <c r="D137" s="98">
        <v>8</v>
      </c>
      <c r="E137" s="18" t="s">
        <v>64</v>
      </c>
      <c r="F137" s="17" t="s">
        <v>41</v>
      </c>
      <c r="G137" s="17" t="s">
        <v>235</v>
      </c>
      <c r="H137" s="17" t="s">
        <v>177</v>
      </c>
      <c r="I137" s="17"/>
      <c r="J137" s="12">
        <v>2</v>
      </c>
      <c r="K137" s="7">
        <v>1</v>
      </c>
      <c r="L137" s="13">
        <v>2</v>
      </c>
      <c r="M137" s="14"/>
      <c r="N137" s="7">
        <v>1</v>
      </c>
      <c r="O137" s="7">
        <v>1</v>
      </c>
      <c r="P137" s="5"/>
      <c r="Q137" s="7"/>
      <c r="R137" s="7">
        <v>1</v>
      </c>
      <c r="S137" s="7"/>
      <c r="T137" s="7"/>
      <c r="U137" s="7"/>
      <c r="V137" s="7"/>
      <c r="W137" s="7"/>
      <c r="X137" s="5">
        <v>1</v>
      </c>
      <c r="Y137" s="7"/>
      <c r="Z137" s="7"/>
      <c r="AA137" s="7"/>
      <c r="AB137" s="7"/>
      <c r="AC137" s="5">
        <v>1</v>
      </c>
      <c r="AD137" s="7"/>
      <c r="AE137" s="5">
        <v>2</v>
      </c>
      <c r="AF137" s="7"/>
      <c r="AG137" s="7"/>
      <c r="AH137" s="7"/>
      <c r="AI137" s="5">
        <v>2</v>
      </c>
      <c r="AJ137" s="15"/>
      <c r="AK137" s="12"/>
      <c r="AL137" s="5"/>
      <c r="AM137" s="5"/>
      <c r="AN137" s="99">
        <v>3.7</v>
      </c>
      <c r="AO137" s="99">
        <v>3.8</v>
      </c>
      <c r="AP137" s="99">
        <v>3</v>
      </c>
      <c r="AQ137" s="99"/>
      <c r="AR137" s="99">
        <v>3.7</v>
      </c>
      <c r="AS137" s="99">
        <v>3.3</v>
      </c>
      <c r="AT137" s="99"/>
      <c r="AU137" s="99"/>
      <c r="AV137" s="99">
        <v>3.2</v>
      </c>
      <c r="AW137" s="99"/>
      <c r="AX137" s="99"/>
      <c r="AY137" s="99"/>
      <c r="AZ137" s="99"/>
      <c r="BA137" s="99"/>
      <c r="BB137" s="99">
        <v>3.5</v>
      </c>
      <c r="BC137" s="99"/>
      <c r="BD137" s="99"/>
      <c r="BE137" s="99"/>
      <c r="BF137" s="99"/>
      <c r="BG137" s="99">
        <v>3</v>
      </c>
      <c r="BH137" s="99"/>
      <c r="BI137" s="99">
        <v>3</v>
      </c>
      <c r="BJ137" s="99"/>
      <c r="BK137" s="99"/>
      <c r="BL137" s="99"/>
      <c r="BM137" s="99">
        <v>3.9</v>
      </c>
      <c r="BN137" s="99"/>
      <c r="BO137" s="99"/>
      <c r="BP137" s="99"/>
      <c r="BQ137" s="20"/>
      <c r="BR137" s="20"/>
      <c r="BS137" s="20"/>
      <c r="BT137" s="20"/>
      <c r="BU137" s="20"/>
    </row>
    <row r="138" spans="1:73" ht="30" hidden="1" customHeight="1" x14ac:dyDescent="0.25">
      <c r="A138" s="17"/>
      <c r="B138" s="6" t="s">
        <v>236</v>
      </c>
      <c r="C138" s="11">
        <v>12</v>
      </c>
      <c r="D138" s="98"/>
      <c r="E138" s="18" t="s">
        <v>43</v>
      </c>
      <c r="F138" s="17"/>
      <c r="G138" s="17"/>
      <c r="H138" s="17"/>
      <c r="I138" s="17"/>
      <c r="J138" s="12">
        <v>2</v>
      </c>
      <c r="K138" s="5">
        <v>1</v>
      </c>
      <c r="L138" s="11">
        <v>2</v>
      </c>
      <c r="M138" s="12"/>
      <c r="N138" s="5">
        <v>1</v>
      </c>
      <c r="O138" s="5"/>
      <c r="P138" s="5"/>
      <c r="Q138" s="5"/>
      <c r="R138" s="5">
        <v>2</v>
      </c>
      <c r="S138" s="5"/>
      <c r="T138" s="5"/>
      <c r="U138" s="5"/>
      <c r="V138" s="5"/>
      <c r="W138" s="5"/>
      <c r="X138" s="5">
        <v>2</v>
      </c>
      <c r="Y138" s="5"/>
      <c r="Z138" s="5"/>
      <c r="AA138" s="5"/>
      <c r="AB138" s="5"/>
      <c r="AC138" s="5">
        <v>1</v>
      </c>
      <c r="AD138" s="5">
        <v>1</v>
      </c>
      <c r="AE138" s="5"/>
      <c r="AF138" s="5"/>
      <c r="AG138" s="5"/>
      <c r="AH138" s="5"/>
      <c r="AI138" s="5"/>
      <c r="AJ138" s="11">
        <v>1</v>
      </c>
      <c r="AK138" s="12"/>
      <c r="AL138" s="5"/>
      <c r="AM138" s="5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  <c r="BK138" s="99"/>
      <c r="BL138" s="99"/>
      <c r="BM138" s="99"/>
      <c r="BN138" s="99"/>
      <c r="BO138" s="99"/>
      <c r="BP138" s="99"/>
      <c r="BQ138" s="20"/>
      <c r="BR138" s="20"/>
      <c r="BS138" s="20"/>
      <c r="BT138" s="20"/>
      <c r="BU138" s="20"/>
    </row>
    <row r="139" spans="1:73" ht="30" hidden="1" customHeight="1" x14ac:dyDescent="0.25">
      <c r="A139" s="17" t="s">
        <v>237</v>
      </c>
      <c r="B139" s="6" t="s">
        <v>238</v>
      </c>
      <c r="C139" s="11">
        <v>12</v>
      </c>
      <c r="D139" s="98">
        <v>8</v>
      </c>
      <c r="E139" s="18" t="s">
        <v>64</v>
      </c>
      <c r="F139" s="17" t="s">
        <v>68</v>
      </c>
      <c r="G139" s="17"/>
      <c r="H139" s="17" t="s">
        <v>175</v>
      </c>
      <c r="I139" s="17"/>
      <c r="J139" s="12">
        <v>2</v>
      </c>
      <c r="K139" s="5">
        <v>1</v>
      </c>
      <c r="L139" s="11">
        <v>2</v>
      </c>
      <c r="M139" s="12">
        <v>1</v>
      </c>
      <c r="N139" s="5">
        <v>1</v>
      </c>
      <c r="O139" s="5"/>
      <c r="P139" s="5">
        <v>1</v>
      </c>
      <c r="Q139" s="5"/>
      <c r="R139" s="5">
        <v>1</v>
      </c>
      <c r="S139" s="5"/>
      <c r="T139" s="5"/>
      <c r="U139" s="5"/>
      <c r="V139" s="5">
        <v>1</v>
      </c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11">
        <v>1</v>
      </c>
      <c r="AK139" s="12"/>
      <c r="AL139" s="5"/>
      <c r="AM139" s="5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20"/>
      <c r="BR139" s="20"/>
      <c r="BS139" s="20"/>
      <c r="BT139" s="20"/>
      <c r="BU139" s="20"/>
    </row>
    <row r="140" spans="1:73" s="119" customFormat="1" ht="30" customHeight="1" x14ac:dyDescent="0.25">
      <c r="A140" s="109" t="s">
        <v>239</v>
      </c>
      <c r="B140" s="135" t="s">
        <v>240</v>
      </c>
      <c r="C140" s="111">
        <v>12</v>
      </c>
      <c r="D140" s="112">
        <v>8</v>
      </c>
      <c r="E140" s="113" t="s">
        <v>64</v>
      </c>
      <c r="F140" s="109" t="s">
        <v>66</v>
      </c>
      <c r="G140" s="109" t="s">
        <v>161</v>
      </c>
      <c r="H140" s="109" t="s">
        <v>175</v>
      </c>
      <c r="I140" s="109"/>
      <c r="J140" s="114">
        <v>2</v>
      </c>
      <c r="K140" s="115">
        <v>1</v>
      </c>
      <c r="L140" s="111">
        <v>2</v>
      </c>
      <c r="M140" s="114"/>
      <c r="N140" s="115">
        <v>2</v>
      </c>
      <c r="O140" s="115"/>
      <c r="P140" s="115"/>
      <c r="Q140" s="115"/>
      <c r="R140" s="115">
        <v>1</v>
      </c>
      <c r="S140" s="115"/>
      <c r="T140" s="115"/>
      <c r="U140" s="115"/>
      <c r="V140" s="115"/>
      <c r="W140" s="115"/>
      <c r="X140" s="115"/>
      <c r="Y140" s="115">
        <v>1</v>
      </c>
      <c r="Z140" s="115"/>
      <c r="AA140" s="115"/>
      <c r="AB140" s="115"/>
      <c r="AC140" s="115">
        <v>1</v>
      </c>
      <c r="AD140" s="115"/>
      <c r="AE140" s="115"/>
      <c r="AF140" s="115"/>
      <c r="AG140" s="115">
        <v>2</v>
      </c>
      <c r="AH140" s="115"/>
      <c r="AI140" s="115"/>
      <c r="AJ140" s="111">
        <v>1</v>
      </c>
      <c r="AK140" s="114"/>
      <c r="AL140" s="115"/>
      <c r="AM140" s="115"/>
      <c r="AN140" s="117">
        <v>3.8</v>
      </c>
      <c r="AO140" s="117">
        <v>3.9</v>
      </c>
      <c r="AP140" s="117">
        <v>3.7</v>
      </c>
      <c r="AQ140" s="117"/>
      <c r="AR140" s="117">
        <v>3.6</v>
      </c>
      <c r="AS140" s="117"/>
      <c r="AT140" s="117"/>
      <c r="AU140" s="117"/>
      <c r="AV140" s="117">
        <v>2.9</v>
      </c>
      <c r="AW140" s="117"/>
      <c r="AX140" s="117"/>
      <c r="AY140" s="117"/>
      <c r="AZ140" s="117"/>
      <c r="BA140" s="117"/>
      <c r="BB140" s="117"/>
      <c r="BC140" s="129">
        <v>0</v>
      </c>
      <c r="BD140" s="117"/>
      <c r="BE140" s="117"/>
      <c r="BF140" s="117"/>
      <c r="BG140" s="129">
        <v>0.6</v>
      </c>
      <c r="BH140" s="129"/>
      <c r="BI140" s="117"/>
      <c r="BJ140" s="117"/>
      <c r="BK140" s="117">
        <v>3.6</v>
      </c>
      <c r="BL140" s="117"/>
      <c r="BM140" s="117"/>
      <c r="BN140" s="117">
        <v>3.3</v>
      </c>
      <c r="BO140" s="117"/>
      <c r="BP140" s="117"/>
      <c r="BQ140" s="118"/>
      <c r="BR140" s="118"/>
      <c r="BS140" s="118"/>
      <c r="BT140" s="118"/>
      <c r="BU140" s="118"/>
    </row>
    <row r="141" spans="1:73" s="119" customFormat="1" ht="30" customHeight="1" x14ac:dyDescent="0.25">
      <c r="A141" s="109" t="s">
        <v>241</v>
      </c>
      <c r="B141" s="135" t="s">
        <v>240</v>
      </c>
      <c r="C141" s="111">
        <v>12</v>
      </c>
      <c r="D141" s="112"/>
      <c r="E141" s="113" t="s">
        <v>64</v>
      </c>
      <c r="F141" s="109" t="s">
        <v>66</v>
      </c>
      <c r="G141" s="109" t="s">
        <v>169</v>
      </c>
      <c r="H141" s="109" t="s">
        <v>226</v>
      </c>
      <c r="I141" s="109"/>
      <c r="J141" s="114">
        <v>2</v>
      </c>
      <c r="K141" s="115">
        <v>1</v>
      </c>
      <c r="L141" s="111">
        <v>2</v>
      </c>
      <c r="M141" s="114"/>
      <c r="N141" s="115">
        <v>2</v>
      </c>
      <c r="O141" s="115"/>
      <c r="P141" s="115"/>
      <c r="Q141" s="115"/>
      <c r="R141" s="115">
        <v>1</v>
      </c>
      <c r="S141" s="115"/>
      <c r="T141" s="115"/>
      <c r="U141" s="115"/>
      <c r="V141" s="115"/>
      <c r="W141" s="115"/>
      <c r="X141" s="115"/>
      <c r="Y141" s="115">
        <v>1</v>
      </c>
      <c r="Z141" s="115"/>
      <c r="AA141" s="115"/>
      <c r="AB141" s="115"/>
      <c r="AC141" s="115">
        <v>1</v>
      </c>
      <c r="AD141" s="115"/>
      <c r="AE141" s="115"/>
      <c r="AF141" s="115"/>
      <c r="AG141" s="115">
        <v>2</v>
      </c>
      <c r="AH141" s="115"/>
      <c r="AI141" s="115"/>
      <c r="AJ141" s="111">
        <v>1</v>
      </c>
      <c r="AK141" s="114"/>
      <c r="AL141" s="115"/>
      <c r="AM141" s="115"/>
      <c r="AN141" s="117">
        <v>4</v>
      </c>
      <c r="AO141" s="117">
        <v>4</v>
      </c>
      <c r="AP141" s="117">
        <v>3.7</v>
      </c>
      <c r="AQ141" s="117"/>
      <c r="AR141" s="117">
        <v>3.8</v>
      </c>
      <c r="AS141" s="117"/>
      <c r="AT141" s="117"/>
      <c r="AU141" s="117"/>
      <c r="AV141" s="117">
        <v>3.5</v>
      </c>
      <c r="AW141" s="117"/>
      <c r="AX141" s="117"/>
      <c r="AY141" s="117"/>
      <c r="AZ141" s="117"/>
      <c r="BA141" s="117"/>
      <c r="BB141" s="117"/>
      <c r="BC141" s="129">
        <v>4</v>
      </c>
      <c r="BD141" s="117"/>
      <c r="BE141" s="117"/>
      <c r="BF141" s="117"/>
      <c r="BG141" s="117">
        <v>4</v>
      </c>
      <c r="BH141" s="117"/>
      <c r="BI141" s="117"/>
      <c r="BJ141" s="117"/>
      <c r="BK141" s="117">
        <v>4</v>
      </c>
      <c r="BL141" s="117"/>
      <c r="BM141" s="117"/>
      <c r="BN141" s="117">
        <v>3.7</v>
      </c>
      <c r="BO141" s="117"/>
      <c r="BP141" s="117"/>
      <c r="BQ141" s="118"/>
      <c r="BR141" s="118"/>
      <c r="BS141" s="118"/>
      <c r="BT141" s="118"/>
      <c r="BU141" s="118"/>
    </row>
    <row r="142" spans="1:73" ht="30" hidden="1" customHeight="1" x14ac:dyDescent="0.25">
      <c r="A142" s="17"/>
      <c r="B142" s="6" t="s">
        <v>242</v>
      </c>
      <c r="C142" s="11">
        <v>11</v>
      </c>
      <c r="D142" s="98"/>
      <c r="E142" s="18" t="s">
        <v>43</v>
      </c>
      <c r="F142" s="17"/>
      <c r="G142" s="17"/>
      <c r="H142" s="17"/>
      <c r="I142" s="17"/>
      <c r="J142" s="12">
        <v>2</v>
      </c>
      <c r="K142" s="5">
        <v>1</v>
      </c>
      <c r="L142" s="11">
        <v>2</v>
      </c>
      <c r="M142" s="12"/>
      <c r="N142" s="5">
        <v>1</v>
      </c>
      <c r="O142" s="5"/>
      <c r="P142" s="5"/>
      <c r="Q142" s="5"/>
      <c r="R142" s="5">
        <v>3</v>
      </c>
      <c r="S142" s="5"/>
      <c r="T142" s="5"/>
      <c r="U142" s="5"/>
      <c r="V142" s="5"/>
      <c r="W142" s="5"/>
      <c r="X142" s="5"/>
      <c r="Y142" s="5"/>
      <c r="Z142" s="5">
        <v>2</v>
      </c>
      <c r="AA142" s="5"/>
      <c r="AB142" s="5"/>
      <c r="AC142" s="5"/>
      <c r="AD142" s="5"/>
      <c r="AE142" s="5"/>
      <c r="AF142" s="5"/>
      <c r="AG142" s="5"/>
      <c r="AH142" s="5"/>
      <c r="AI142" s="5"/>
      <c r="AJ142" s="11"/>
      <c r="AK142" s="12"/>
      <c r="AL142" s="5"/>
      <c r="AM142" s="5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  <c r="BK142" s="99"/>
      <c r="BL142" s="99"/>
      <c r="BM142" s="99"/>
      <c r="BN142" s="99"/>
      <c r="BO142" s="99"/>
      <c r="BP142" s="99"/>
      <c r="BQ142" s="20"/>
      <c r="BR142" s="20"/>
      <c r="BS142" s="20"/>
      <c r="BT142" s="20"/>
      <c r="BU142" s="20"/>
    </row>
    <row r="143" spans="1:73" ht="30" hidden="1" customHeight="1" x14ac:dyDescent="0.25">
      <c r="A143" s="17"/>
      <c r="B143" s="6" t="s">
        <v>243</v>
      </c>
      <c r="C143" s="11">
        <v>11</v>
      </c>
      <c r="D143" s="98"/>
      <c r="E143" s="18" t="s">
        <v>43</v>
      </c>
      <c r="F143" s="17"/>
      <c r="G143" s="17"/>
      <c r="H143" s="17"/>
      <c r="I143" s="17"/>
      <c r="J143" s="12">
        <v>2</v>
      </c>
      <c r="K143" s="5">
        <v>1</v>
      </c>
      <c r="L143" s="11">
        <v>2</v>
      </c>
      <c r="M143" s="12"/>
      <c r="N143" s="5">
        <v>1</v>
      </c>
      <c r="O143" s="5"/>
      <c r="P143" s="5"/>
      <c r="Q143" s="5"/>
      <c r="R143" s="5">
        <v>3</v>
      </c>
      <c r="S143" s="5"/>
      <c r="T143" s="5"/>
      <c r="U143" s="5"/>
      <c r="V143" s="5"/>
      <c r="W143" s="5"/>
      <c r="X143" s="5">
        <v>2</v>
      </c>
      <c r="Y143" s="5"/>
      <c r="Z143" s="5">
        <v>2</v>
      </c>
      <c r="AA143" s="5"/>
      <c r="AB143" s="5"/>
      <c r="AC143" s="5"/>
      <c r="AD143" s="5"/>
      <c r="AE143" s="5"/>
      <c r="AF143" s="5"/>
      <c r="AG143" s="5"/>
      <c r="AH143" s="5"/>
      <c r="AI143" s="5"/>
      <c r="AJ143" s="11"/>
      <c r="AK143" s="12"/>
      <c r="AL143" s="5"/>
      <c r="AM143" s="5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  <c r="BP143" s="99"/>
      <c r="BQ143" s="20"/>
      <c r="BR143" s="20"/>
      <c r="BS143" s="20"/>
      <c r="BT143" s="20"/>
      <c r="BU143" s="20"/>
    </row>
    <row r="144" spans="1:73" ht="30" hidden="1" customHeight="1" x14ac:dyDescent="0.25">
      <c r="A144" s="17"/>
      <c r="B144" s="9" t="s">
        <v>244</v>
      </c>
      <c r="C144" s="11">
        <v>11</v>
      </c>
      <c r="D144" s="98"/>
      <c r="E144" s="18" t="s">
        <v>43</v>
      </c>
      <c r="F144" s="17"/>
      <c r="G144" s="17"/>
      <c r="H144" s="17"/>
      <c r="I144" s="17"/>
      <c r="J144" s="12">
        <v>2</v>
      </c>
      <c r="K144" s="5">
        <v>1</v>
      </c>
      <c r="L144" s="11">
        <v>2</v>
      </c>
      <c r="M144" s="12"/>
      <c r="N144" s="5">
        <v>2</v>
      </c>
      <c r="O144" s="5"/>
      <c r="P144" s="5"/>
      <c r="Q144" s="5"/>
      <c r="R144" s="5"/>
      <c r="S144" s="5">
        <v>2</v>
      </c>
      <c r="T144" s="5"/>
      <c r="U144" s="5"/>
      <c r="V144" s="5"/>
      <c r="W144" s="5"/>
      <c r="X144" s="5">
        <v>2</v>
      </c>
      <c r="Y144" s="5"/>
      <c r="Z144" s="5"/>
      <c r="AA144" s="5"/>
      <c r="AB144" s="5"/>
      <c r="AC144" s="5">
        <v>1</v>
      </c>
      <c r="AD144" s="5">
        <v>1</v>
      </c>
      <c r="AE144" s="5"/>
      <c r="AF144" s="5"/>
      <c r="AG144" s="5">
        <v>1</v>
      </c>
      <c r="AH144" s="5"/>
      <c r="AI144" s="5"/>
      <c r="AJ144" s="11"/>
      <c r="AK144" s="12"/>
      <c r="AL144" s="5"/>
      <c r="AM144" s="5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99"/>
      <c r="BE144" s="99"/>
      <c r="BF144" s="99"/>
      <c r="BG144" s="99"/>
      <c r="BH144" s="99"/>
      <c r="BI144" s="99"/>
      <c r="BJ144" s="99"/>
      <c r="BK144" s="99"/>
      <c r="BL144" s="99"/>
      <c r="BM144" s="99"/>
      <c r="BN144" s="99"/>
      <c r="BO144" s="99"/>
      <c r="BP144" s="99"/>
      <c r="BQ144" s="20"/>
      <c r="BR144" s="20"/>
      <c r="BS144" s="20"/>
      <c r="BT144" s="20"/>
      <c r="BU144" s="20"/>
    </row>
    <row r="145" spans="1:73" ht="30" hidden="1" customHeight="1" x14ac:dyDescent="0.25">
      <c r="A145" s="17"/>
      <c r="B145" s="6" t="s">
        <v>245</v>
      </c>
      <c r="C145" s="11">
        <v>11</v>
      </c>
      <c r="D145" s="98"/>
      <c r="E145" s="18" t="s">
        <v>43</v>
      </c>
      <c r="F145" s="17"/>
      <c r="G145" s="17"/>
      <c r="H145" s="17"/>
      <c r="I145" s="17"/>
      <c r="J145" s="12">
        <v>2</v>
      </c>
      <c r="K145" s="5">
        <v>1</v>
      </c>
      <c r="L145" s="11">
        <v>2</v>
      </c>
      <c r="M145" s="12"/>
      <c r="N145" s="5">
        <v>1</v>
      </c>
      <c r="O145" s="7"/>
      <c r="P145" s="7"/>
      <c r="Q145" s="7"/>
      <c r="R145" s="7">
        <v>2</v>
      </c>
      <c r="S145" s="7"/>
      <c r="T145" s="7"/>
      <c r="U145" s="7">
        <v>1</v>
      </c>
      <c r="V145" s="7"/>
      <c r="W145" s="7"/>
      <c r="X145" s="5"/>
      <c r="Y145" s="7"/>
      <c r="Z145" s="7"/>
      <c r="AA145" s="7"/>
      <c r="AB145" s="7"/>
      <c r="AC145" s="7"/>
      <c r="AD145" s="7"/>
      <c r="AE145" s="7"/>
      <c r="AF145" s="7"/>
      <c r="AG145" s="7"/>
      <c r="AH145" s="7">
        <v>1</v>
      </c>
      <c r="AI145" s="7"/>
      <c r="AJ145" s="11"/>
      <c r="AK145" s="12"/>
      <c r="AL145" s="5"/>
      <c r="AM145" s="5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99"/>
      <c r="BE145" s="99"/>
      <c r="BF145" s="99"/>
      <c r="BG145" s="99"/>
      <c r="BH145" s="99"/>
      <c r="BI145" s="99"/>
      <c r="BJ145" s="99"/>
      <c r="BK145" s="99"/>
      <c r="BL145" s="99"/>
      <c r="BM145" s="99"/>
      <c r="BN145" s="99"/>
      <c r="BO145" s="99"/>
      <c r="BP145" s="99"/>
      <c r="BQ145" s="20"/>
      <c r="BR145" s="20"/>
      <c r="BS145" s="20"/>
      <c r="BT145" s="20"/>
      <c r="BU145" s="20"/>
    </row>
    <row r="146" spans="1:73" ht="30" hidden="1" customHeight="1" x14ac:dyDescent="0.25">
      <c r="A146" s="17"/>
      <c r="B146" s="6" t="s">
        <v>246</v>
      </c>
      <c r="C146" s="11">
        <v>11</v>
      </c>
      <c r="D146" s="98"/>
      <c r="E146" s="18" t="s">
        <v>43</v>
      </c>
      <c r="F146" s="17"/>
      <c r="G146" s="17"/>
      <c r="H146" s="17"/>
      <c r="I146" s="17"/>
      <c r="J146" s="12">
        <v>2</v>
      </c>
      <c r="K146" s="5">
        <v>1</v>
      </c>
      <c r="L146" s="11">
        <v>2</v>
      </c>
      <c r="M146" s="12"/>
      <c r="N146" s="5">
        <v>2</v>
      </c>
      <c r="O146" s="5"/>
      <c r="P146" s="5"/>
      <c r="Q146" s="5"/>
      <c r="R146" s="5">
        <v>2</v>
      </c>
      <c r="S146" s="5"/>
      <c r="T146" s="5"/>
      <c r="U146" s="5"/>
      <c r="V146" s="5"/>
      <c r="W146" s="5"/>
      <c r="X146" s="5">
        <v>2</v>
      </c>
      <c r="Y146" s="5"/>
      <c r="Z146" s="5"/>
      <c r="AA146" s="5"/>
      <c r="AB146" s="5"/>
      <c r="AC146" s="5">
        <v>1</v>
      </c>
      <c r="AD146" s="5"/>
      <c r="AE146" s="5"/>
      <c r="AF146" s="5"/>
      <c r="AG146" s="5"/>
      <c r="AH146" s="5">
        <v>1</v>
      </c>
      <c r="AI146" s="5"/>
      <c r="AJ146" s="11">
        <v>1</v>
      </c>
      <c r="AK146" s="12"/>
      <c r="AL146" s="5"/>
      <c r="AM146" s="5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99"/>
      <c r="BE146" s="99"/>
      <c r="BF146" s="99"/>
      <c r="BG146" s="99"/>
      <c r="BH146" s="99"/>
      <c r="BI146" s="99"/>
      <c r="BJ146" s="99"/>
      <c r="BK146" s="99"/>
      <c r="BL146" s="99"/>
      <c r="BM146" s="99"/>
      <c r="BN146" s="99"/>
      <c r="BO146" s="99"/>
      <c r="BP146" s="99"/>
      <c r="BQ146" s="20"/>
      <c r="BR146" s="20"/>
      <c r="BS146" s="20"/>
      <c r="BT146" s="20"/>
      <c r="BU146" s="20"/>
    </row>
    <row r="147" spans="1:73" ht="30" hidden="1" customHeight="1" x14ac:dyDescent="0.25">
      <c r="A147" s="17"/>
      <c r="B147" s="6" t="s">
        <v>247</v>
      </c>
      <c r="C147" s="11">
        <v>11</v>
      </c>
      <c r="D147" s="98"/>
      <c r="E147" s="18" t="s">
        <v>43</v>
      </c>
      <c r="F147" s="17"/>
      <c r="G147" s="17"/>
      <c r="H147" s="17"/>
      <c r="I147" s="17"/>
      <c r="J147" s="12">
        <v>2</v>
      </c>
      <c r="K147" s="7">
        <v>1</v>
      </c>
      <c r="L147" s="13">
        <v>2</v>
      </c>
      <c r="M147" s="14"/>
      <c r="N147" s="7">
        <v>1</v>
      </c>
      <c r="O147" s="5"/>
      <c r="P147" s="5"/>
      <c r="Q147" s="7">
        <v>1</v>
      </c>
      <c r="R147" s="7">
        <v>2</v>
      </c>
      <c r="S147" s="5"/>
      <c r="T147" s="7">
        <v>1</v>
      </c>
      <c r="U147" s="5"/>
      <c r="V147" s="5"/>
      <c r="W147" s="5"/>
      <c r="X147" s="5"/>
      <c r="Y147" s="5"/>
      <c r="Z147" s="5"/>
      <c r="AA147" s="7">
        <v>1</v>
      </c>
      <c r="AB147" s="7">
        <v>2</v>
      </c>
      <c r="AC147" s="7">
        <v>1</v>
      </c>
      <c r="AD147" s="5"/>
      <c r="AE147" s="5"/>
      <c r="AF147" s="5"/>
      <c r="AG147" s="5"/>
      <c r="AH147" s="5"/>
      <c r="AI147" s="5"/>
      <c r="AJ147" s="11">
        <v>1</v>
      </c>
      <c r="AK147" s="12"/>
      <c r="AL147" s="5"/>
      <c r="AM147" s="5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  <c r="BK147" s="99"/>
      <c r="BL147" s="99"/>
      <c r="BM147" s="99"/>
      <c r="BN147" s="99"/>
      <c r="BO147" s="99"/>
      <c r="BP147" s="99"/>
      <c r="BQ147" s="20"/>
      <c r="BR147" s="20"/>
      <c r="BS147" s="20"/>
      <c r="BT147" s="20"/>
      <c r="BU147" s="20"/>
    </row>
    <row r="148" spans="1:73" ht="30" hidden="1" customHeight="1" x14ac:dyDescent="0.25">
      <c r="A148" s="17"/>
      <c r="B148" s="6" t="s">
        <v>248</v>
      </c>
      <c r="C148" s="11">
        <v>11</v>
      </c>
      <c r="D148" s="98"/>
      <c r="E148" s="18" t="s">
        <v>43</v>
      </c>
      <c r="F148" s="17"/>
      <c r="G148" s="17"/>
      <c r="H148" s="17"/>
      <c r="I148" s="17"/>
      <c r="J148" s="12">
        <v>2</v>
      </c>
      <c r="K148" s="5">
        <v>1</v>
      </c>
      <c r="L148" s="11">
        <v>2</v>
      </c>
      <c r="M148" s="12"/>
      <c r="N148" s="5">
        <v>2</v>
      </c>
      <c r="O148" s="5"/>
      <c r="P148" s="5"/>
      <c r="Q148" s="5"/>
      <c r="R148" s="5">
        <v>2</v>
      </c>
      <c r="S148" s="5">
        <v>1</v>
      </c>
      <c r="T148" s="5"/>
      <c r="U148" s="5"/>
      <c r="V148" s="5"/>
      <c r="W148" s="5"/>
      <c r="X148" s="5"/>
      <c r="Y148" s="5"/>
      <c r="Z148" s="5"/>
      <c r="AA148" s="5"/>
      <c r="AB148" s="5"/>
      <c r="AC148" s="5">
        <v>1</v>
      </c>
      <c r="AD148" s="5"/>
      <c r="AE148" s="5"/>
      <c r="AF148" s="5"/>
      <c r="AG148" s="5">
        <v>1</v>
      </c>
      <c r="AH148" s="5"/>
      <c r="AI148" s="5"/>
      <c r="AJ148" s="11"/>
      <c r="AK148" s="12"/>
      <c r="AL148" s="5"/>
      <c r="AM148" s="5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20"/>
      <c r="BR148" s="20"/>
      <c r="BS148" s="20"/>
      <c r="BT148" s="20"/>
      <c r="BU148" s="20"/>
    </row>
    <row r="149" spans="1:73" ht="30" hidden="1" customHeight="1" x14ac:dyDescent="0.25">
      <c r="A149" s="17"/>
      <c r="B149" s="9" t="s">
        <v>249</v>
      </c>
      <c r="C149" s="11">
        <v>11</v>
      </c>
      <c r="D149" s="98"/>
      <c r="E149" s="18" t="s">
        <v>43</v>
      </c>
      <c r="F149" s="17"/>
      <c r="G149" s="17"/>
      <c r="H149" s="17"/>
      <c r="I149" s="17"/>
      <c r="J149" s="12">
        <v>2</v>
      </c>
      <c r="K149" s="5">
        <v>1</v>
      </c>
      <c r="L149" s="11">
        <v>2</v>
      </c>
      <c r="M149" s="12"/>
      <c r="N149" s="5">
        <v>1</v>
      </c>
      <c r="O149" s="5"/>
      <c r="P149" s="5"/>
      <c r="Q149" s="5"/>
      <c r="R149" s="5">
        <v>2</v>
      </c>
      <c r="S149" s="5"/>
      <c r="T149" s="5"/>
      <c r="U149" s="5"/>
      <c r="V149" s="5"/>
      <c r="W149" s="5">
        <v>1</v>
      </c>
      <c r="X149" s="5">
        <v>2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11">
        <v>1</v>
      </c>
      <c r="AK149" s="12"/>
      <c r="AL149" s="5"/>
      <c r="AM149" s="5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20"/>
      <c r="BR149" s="20"/>
      <c r="BS149" s="20"/>
      <c r="BT149" s="20"/>
      <c r="BU149" s="20"/>
    </row>
    <row r="150" spans="1:73" ht="30" hidden="1" customHeight="1" x14ac:dyDescent="0.25">
      <c r="A150" s="17"/>
      <c r="B150" s="9" t="s">
        <v>250</v>
      </c>
      <c r="C150" s="11">
        <v>11</v>
      </c>
      <c r="D150" s="98"/>
      <c r="E150" s="18" t="s">
        <v>43</v>
      </c>
      <c r="F150" s="17"/>
      <c r="G150" s="17"/>
      <c r="H150" s="17"/>
      <c r="I150" s="17"/>
      <c r="J150" s="12">
        <v>2</v>
      </c>
      <c r="K150" s="5">
        <v>1</v>
      </c>
      <c r="L150" s="11">
        <v>2</v>
      </c>
      <c r="M150" s="12"/>
      <c r="N150" s="5">
        <v>1</v>
      </c>
      <c r="O150" s="5"/>
      <c r="P150" s="5"/>
      <c r="Q150" s="5"/>
      <c r="R150" s="5">
        <v>2</v>
      </c>
      <c r="S150" s="5"/>
      <c r="T150" s="5">
        <v>1</v>
      </c>
      <c r="U150" s="5"/>
      <c r="V150" s="5"/>
      <c r="W150" s="5">
        <v>1</v>
      </c>
      <c r="X150" s="5">
        <v>2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11">
        <v>1</v>
      </c>
      <c r="AK150" s="12"/>
      <c r="AL150" s="5"/>
      <c r="AM150" s="5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  <c r="BK150" s="99"/>
      <c r="BL150" s="99"/>
      <c r="BM150" s="99"/>
      <c r="BN150" s="99"/>
      <c r="BO150" s="99"/>
      <c r="BP150" s="99"/>
      <c r="BQ150" s="20"/>
      <c r="BR150" s="20"/>
      <c r="BS150" s="20"/>
      <c r="BT150" s="20"/>
      <c r="BU150" s="20"/>
    </row>
    <row r="151" spans="1:73" ht="30" hidden="1" customHeight="1" x14ac:dyDescent="0.25">
      <c r="A151" s="17"/>
      <c r="B151" s="9" t="s">
        <v>251</v>
      </c>
      <c r="C151" s="11">
        <v>11</v>
      </c>
      <c r="D151" s="98"/>
      <c r="E151" s="18" t="s">
        <v>43</v>
      </c>
      <c r="F151" s="17"/>
      <c r="G151" s="17"/>
      <c r="H151" s="17"/>
      <c r="I151" s="17"/>
      <c r="J151" s="12">
        <v>2</v>
      </c>
      <c r="K151" s="5">
        <v>1</v>
      </c>
      <c r="L151" s="11">
        <v>2</v>
      </c>
      <c r="M151" s="12"/>
      <c r="N151" s="5">
        <v>1</v>
      </c>
      <c r="O151" s="5"/>
      <c r="P151" s="5"/>
      <c r="Q151" s="5"/>
      <c r="R151" s="5">
        <v>2</v>
      </c>
      <c r="S151" s="5"/>
      <c r="T151" s="5"/>
      <c r="U151" s="5"/>
      <c r="V151" s="5"/>
      <c r="W151" s="5"/>
      <c r="X151" s="5">
        <v>2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11">
        <v>2</v>
      </c>
      <c r="AK151" s="12"/>
      <c r="AL151" s="5"/>
      <c r="AM151" s="5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  <c r="BK151" s="99"/>
      <c r="BL151" s="99"/>
      <c r="BM151" s="99"/>
      <c r="BN151" s="99"/>
      <c r="BO151" s="99"/>
      <c r="BP151" s="99"/>
      <c r="BQ151" s="20"/>
      <c r="BR151" s="20"/>
      <c r="BS151" s="20"/>
      <c r="BT151" s="20"/>
      <c r="BU151" s="20"/>
    </row>
    <row r="152" spans="1:73" ht="30" customHeight="1" x14ac:dyDescent="0.25">
      <c r="A152" s="17" t="s">
        <v>252</v>
      </c>
      <c r="B152" s="6" t="s">
        <v>253</v>
      </c>
      <c r="C152" s="11">
        <v>11</v>
      </c>
      <c r="D152" s="98">
        <v>8</v>
      </c>
      <c r="E152" s="18" t="s">
        <v>64</v>
      </c>
      <c r="F152" s="17" t="s">
        <v>41</v>
      </c>
      <c r="G152" s="17" t="s">
        <v>235</v>
      </c>
      <c r="H152" s="17" t="s">
        <v>177</v>
      </c>
      <c r="I152" s="17"/>
      <c r="J152" s="12">
        <v>2</v>
      </c>
      <c r="K152" s="5">
        <v>1</v>
      </c>
      <c r="L152" s="11">
        <v>2</v>
      </c>
      <c r="M152" s="12"/>
      <c r="N152" s="5">
        <v>1</v>
      </c>
      <c r="O152" s="5"/>
      <c r="P152" s="5"/>
      <c r="Q152" s="5"/>
      <c r="R152" s="5">
        <v>2</v>
      </c>
      <c r="S152" s="5"/>
      <c r="T152" s="5"/>
      <c r="U152" s="5"/>
      <c r="V152" s="5"/>
      <c r="W152" s="5"/>
      <c r="X152" s="5">
        <v>1</v>
      </c>
      <c r="Y152" s="5"/>
      <c r="Z152" s="5"/>
      <c r="AA152" s="5"/>
      <c r="AB152" s="5"/>
      <c r="AC152" s="5"/>
      <c r="AD152" s="5"/>
      <c r="AE152" s="5">
        <v>1</v>
      </c>
      <c r="AF152" s="5"/>
      <c r="AG152" s="5"/>
      <c r="AH152" s="5"/>
      <c r="AI152" s="5"/>
      <c r="AJ152" s="11">
        <v>1</v>
      </c>
      <c r="AK152" s="12"/>
      <c r="AL152" s="5"/>
      <c r="AM152" s="5"/>
      <c r="AN152" s="99">
        <v>3.5</v>
      </c>
      <c r="AO152" s="99">
        <v>3.5</v>
      </c>
      <c r="AP152" s="99">
        <v>3.7</v>
      </c>
      <c r="AQ152" s="99"/>
      <c r="AR152" s="99">
        <v>4</v>
      </c>
      <c r="AS152" s="99"/>
      <c r="AT152" s="99"/>
      <c r="AU152" s="99"/>
      <c r="AV152" s="99">
        <v>3.5</v>
      </c>
      <c r="AW152" s="99"/>
      <c r="AX152" s="99"/>
      <c r="AY152" s="99"/>
      <c r="AZ152" s="99"/>
      <c r="BA152" s="99"/>
      <c r="BB152" s="99">
        <v>3.7</v>
      </c>
      <c r="BC152" s="99"/>
      <c r="BD152" s="99"/>
      <c r="BE152" s="99"/>
      <c r="BF152" s="99"/>
      <c r="BG152" s="99"/>
      <c r="BH152" s="99"/>
      <c r="BI152" s="99">
        <v>4</v>
      </c>
      <c r="BJ152" s="99"/>
      <c r="BK152" s="99"/>
      <c r="BL152" s="99"/>
      <c r="BM152" s="99"/>
      <c r="BN152" s="99">
        <v>4</v>
      </c>
      <c r="BO152" s="99"/>
      <c r="BP152" s="99"/>
      <c r="BQ152" s="20"/>
      <c r="BR152" s="20"/>
      <c r="BS152" s="20"/>
      <c r="BT152" s="20"/>
      <c r="BU152" s="20"/>
    </row>
    <row r="153" spans="1:73" ht="30" hidden="1" customHeight="1" x14ac:dyDescent="0.25">
      <c r="A153" s="17"/>
      <c r="B153" s="6" t="s">
        <v>254</v>
      </c>
      <c r="C153" s="11">
        <v>11</v>
      </c>
      <c r="D153" s="98"/>
      <c r="E153" s="18" t="s">
        <v>43</v>
      </c>
      <c r="F153" s="17"/>
      <c r="G153" s="17"/>
      <c r="H153" s="17"/>
      <c r="I153" s="17"/>
      <c r="J153" s="12">
        <v>2</v>
      </c>
      <c r="K153" s="5">
        <v>1</v>
      </c>
      <c r="L153" s="11">
        <v>2</v>
      </c>
      <c r="M153" s="12"/>
      <c r="N153" s="5">
        <v>1</v>
      </c>
      <c r="O153" s="5"/>
      <c r="P153" s="5"/>
      <c r="Q153" s="5"/>
      <c r="R153" s="5">
        <v>2</v>
      </c>
      <c r="S153" s="5"/>
      <c r="T153" s="5"/>
      <c r="U153" s="5"/>
      <c r="V153" s="5"/>
      <c r="W153" s="5"/>
      <c r="X153" s="5">
        <v>1</v>
      </c>
      <c r="Y153" s="5"/>
      <c r="Z153" s="5"/>
      <c r="AA153" s="5"/>
      <c r="AB153" s="5"/>
      <c r="AC153" s="5"/>
      <c r="AD153" s="5"/>
      <c r="AE153" s="5">
        <v>1</v>
      </c>
      <c r="AF153" s="5"/>
      <c r="AG153" s="5"/>
      <c r="AH153" s="5"/>
      <c r="AI153" s="5"/>
      <c r="AJ153" s="11">
        <v>1</v>
      </c>
      <c r="AK153" s="12"/>
      <c r="AL153" s="5"/>
      <c r="AM153" s="5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20"/>
      <c r="BR153" s="20"/>
      <c r="BS153" s="20"/>
      <c r="BT153" s="20"/>
      <c r="BU153" s="20"/>
    </row>
    <row r="154" spans="1:73" ht="30" hidden="1" customHeight="1" x14ac:dyDescent="0.25">
      <c r="A154" s="17"/>
      <c r="B154" s="6" t="s">
        <v>255</v>
      </c>
      <c r="C154" s="11">
        <v>11</v>
      </c>
      <c r="D154" s="98"/>
      <c r="E154" s="18" t="s">
        <v>43</v>
      </c>
      <c r="F154" s="17"/>
      <c r="G154" s="17"/>
      <c r="H154" s="17"/>
      <c r="I154" s="17"/>
      <c r="J154" s="12">
        <v>2</v>
      </c>
      <c r="K154" s="5">
        <v>1</v>
      </c>
      <c r="L154" s="11">
        <v>2</v>
      </c>
      <c r="M154" s="12"/>
      <c r="N154" s="5">
        <v>1</v>
      </c>
      <c r="O154" s="5"/>
      <c r="P154" s="5"/>
      <c r="Q154" s="5"/>
      <c r="R154" s="5">
        <v>2</v>
      </c>
      <c r="S154" s="5"/>
      <c r="T154" s="5"/>
      <c r="U154" s="5"/>
      <c r="V154" s="5"/>
      <c r="W154" s="5"/>
      <c r="X154" s="5">
        <v>2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11">
        <v>2</v>
      </c>
      <c r="AK154" s="12"/>
      <c r="AL154" s="5"/>
      <c r="AM154" s="5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  <c r="BK154" s="99"/>
      <c r="BL154" s="99"/>
      <c r="BM154" s="99"/>
      <c r="BN154" s="99"/>
      <c r="BO154" s="99"/>
      <c r="BP154" s="99"/>
      <c r="BQ154" s="20"/>
      <c r="BR154" s="20"/>
      <c r="BS154" s="20"/>
      <c r="BT154" s="20"/>
      <c r="BU154" s="20"/>
    </row>
    <row r="155" spans="1:73" ht="30" hidden="1" customHeight="1" x14ac:dyDescent="0.25">
      <c r="A155" s="17"/>
      <c r="B155" s="6" t="s">
        <v>256</v>
      </c>
      <c r="C155" s="11">
        <v>11</v>
      </c>
      <c r="D155" s="98"/>
      <c r="E155" s="18" t="s">
        <v>43</v>
      </c>
      <c r="F155" s="17"/>
      <c r="G155" s="17"/>
      <c r="H155" s="17"/>
      <c r="I155" s="17"/>
      <c r="J155" s="12">
        <v>2</v>
      </c>
      <c r="K155" s="5">
        <v>1</v>
      </c>
      <c r="L155" s="11">
        <v>2</v>
      </c>
      <c r="M155" s="12"/>
      <c r="N155" s="5">
        <v>1</v>
      </c>
      <c r="O155" s="5"/>
      <c r="P155" s="5"/>
      <c r="Q155" s="5"/>
      <c r="R155" s="5">
        <v>2</v>
      </c>
      <c r="S155" s="5"/>
      <c r="T155" s="5"/>
      <c r="U155" s="5"/>
      <c r="V155" s="5"/>
      <c r="W155" s="5"/>
      <c r="X155" s="5">
        <v>2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11">
        <v>1</v>
      </c>
      <c r="AK155" s="12"/>
      <c r="AL155" s="5"/>
      <c r="AM155" s="5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  <c r="BK155" s="99"/>
      <c r="BL155" s="99"/>
      <c r="BM155" s="99"/>
      <c r="BN155" s="99"/>
      <c r="BO155" s="99"/>
      <c r="BP155" s="99"/>
      <c r="BQ155" s="20"/>
      <c r="BR155" s="20"/>
      <c r="BS155" s="20"/>
      <c r="BT155" s="20"/>
      <c r="BU155" s="20"/>
    </row>
    <row r="156" spans="1:73" ht="30" customHeight="1" x14ac:dyDescent="0.25">
      <c r="A156" s="17" t="s">
        <v>257</v>
      </c>
      <c r="B156" s="6" t="s">
        <v>258</v>
      </c>
      <c r="C156" s="11">
        <v>11</v>
      </c>
      <c r="D156" s="98">
        <v>8</v>
      </c>
      <c r="E156" s="18" t="s">
        <v>64</v>
      </c>
      <c r="F156" s="17" t="s">
        <v>259</v>
      </c>
      <c r="G156" s="17" t="s">
        <v>165</v>
      </c>
      <c r="H156" s="17" t="s">
        <v>177</v>
      </c>
      <c r="I156" s="17"/>
      <c r="J156" s="12">
        <v>2</v>
      </c>
      <c r="K156" s="7">
        <v>1</v>
      </c>
      <c r="L156" s="13">
        <v>2</v>
      </c>
      <c r="M156" s="14"/>
      <c r="N156" s="7">
        <v>1</v>
      </c>
      <c r="O156" s="7"/>
      <c r="P156" s="7"/>
      <c r="Q156" s="7"/>
      <c r="R156" s="7">
        <v>2</v>
      </c>
      <c r="S156" s="7"/>
      <c r="T156" s="7"/>
      <c r="U156" s="7">
        <v>1</v>
      </c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>
        <v>1</v>
      </c>
      <c r="AI156" s="7"/>
      <c r="AJ156" s="11"/>
      <c r="AK156" s="12"/>
      <c r="AL156" s="5"/>
      <c r="AM156" s="5"/>
      <c r="AN156" s="99">
        <v>4</v>
      </c>
      <c r="AO156" s="99">
        <v>4</v>
      </c>
      <c r="AP156" s="99">
        <v>2</v>
      </c>
      <c r="AQ156" s="99"/>
      <c r="AR156" s="99">
        <v>3</v>
      </c>
      <c r="AS156" s="99"/>
      <c r="AT156" s="99"/>
      <c r="AU156" s="99"/>
      <c r="AV156" s="99">
        <v>3.3</v>
      </c>
      <c r="AW156" s="99"/>
      <c r="AX156" s="99"/>
      <c r="AY156" s="99">
        <v>4</v>
      </c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  <c r="BK156" s="99"/>
      <c r="BL156" s="99">
        <v>1.2</v>
      </c>
      <c r="BM156" s="99"/>
      <c r="BN156" s="99"/>
      <c r="BO156" s="99"/>
      <c r="BP156" s="99"/>
      <c r="BQ156" s="20"/>
      <c r="BR156" s="20"/>
      <c r="BS156" s="20"/>
      <c r="BT156" s="20"/>
      <c r="BU156" s="20"/>
    </row>
    <row r="157" spans="1:73" ht="30" hidden="1" customHeight="1" x14ac:dyDescent="0.25">
      <c r="A157" s="17"/>
      <c r="B157" s="6" t="s">
        <v>260</v>
      </c>
      <c r="C157" s="11">
        <v>11</v>
      </c>
      <c r="D157" s="98"/>
      <c r="E157" s="18" t="s">
        <v>43</v>
      </c>
      <c r="F157" s="17"/>
      <c r="G157" s="17"/>
      <c r="H157" s="17"/>
      <c r="I157" s="17"/>
      <c r="J157" s="12">
        <v>1</v>
      </c>
      <c r="K157" s="5">
        <v>1</v>
      </c>
      <c r="L157" s="11">
        <v>1</v>
      </c>
      <c r="M157" s="12"/>
      <c r="N157" s="5">
        <v>2</v>
      </c>
      <c r="O157" s="5"/>
      <c r="P157" s="5"/>
      <c r="Q157" s="5"/>
      <c r="R157" s="5">
        <v>2</v>
      </c>
      <c r="S157" s="5"/>
      <c r="T157" s="5"/>
      <c r="U157" s="5"/>
      <c r="V157" s="5"/>
      <c r="W157" s="5"/>
      <c r="X157" s="5">
        <v>1</v>
      </c>
      <c r="Y157" s="5"/>
      <c r="Z157" s="5"/>
      <c r="AA157" s="5"/>
      <c r="AB157" s="5"/>
      <c r="AC157" s="5">
        <v>1</v>
      </c>
      <c r="AD157" s="5"/>
      <c r="AE157" s="5"/>
      <c r="AF157" s="5"/>
      <c r="AG157" s="5"/>
      <c r="AH157" s="5"/>
      <c r="AI157" s="5"/>
      <c r="AJ157" s="11"/>
      <c r="AK157" s="12"/>
      <c r="AL157" s="5"/>
      <c r="AM157" s="5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  <c r="BK157" s="99"/>
      <c r="BL157" s="99"/>
      <c r="BM157" s="99"/>
      <c r="BN157" s="99"/>
      <c r="BO157" s="99"/>
      <c r="BP157" s="99"/>
      <c r="BQ157" s="20"/>
      <c r="BR157" s="20"/>
      <c r="BS157" s="20"/>
      <c r="BT157" s="20"/>
      <c r="BU157" s="20"/>
    </row>
    <row r="158" spans="1:73" ht="30" hidden="1" customHeight="1" x14ac:dyDescent="0.25">
      <c r="A158" s="17"/>
      <c r="B158" s="6" t="s">
        <v>261</v>
      </c>
      <c r="C158" s="11">
        <v>11</v>
      </c>
      <c r="D158" s="98"/>
      <c r="E158" s="18" t="s">
        <v>43</v>
      </c>
      <c r="F158" s="17"/>
      <c r="G158" s="17"/>
      <c r="H158" s="17"/>
      <c r="I158" s="17"/>
      <c r="J158" s="12">
        <v>2</v>
      </c>
      <c r="K158" s="5">
        <v>1</v>
      </c>
      <c r="L158" s="11">
        <v>2</v>
      </c>
      <c r="M158" s="12"/>
      <c r="N158" s="5">
        <v>2</v>
      </c>
      <c r="O158" s="5"/>
      <c r="P158" s="5"/>
      <c r="Q158" s="5"/>
      <c r="R158" s="5">
        <v>1</v>
      </c>
      <c r="S158" s="5"/>
      <c r="T158" s="5"/>
      <c r="U158" s="5"/>
      <c r="V158" s="5"/>
      <c r="W158" s="5"/>
      <c r="X158" s="5">
        <v>1</v>
      </c>
      <c r="Y158" s="5">
        <v>1</v>
      </c>
      <c r="Z158" s="5"/>
      <c r="AA158" s="5"/>
      <c r="AB158" s="5"/>
      <c r="AC158" s="5">
        <v>1</v>
      </c>
      <c r="AD158" s="5"/>
      <c r="AE158" s="5"/>
      <c r="AF158" s="5"/>
      <c r="AG158" s="5">
        <v>1</v>
      </c>
      <c r="AH158" s="5"/>
      <c r="AI158" s="5"/>
      <c r="AJ158" s="11"/>
      <c r="AK158" s="12"/>
      <c r="AL158" s="5"/>
      <c r="AM158" s="5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20"/>
      <c r="BR158" s="20"/>
      <c r="BS158" s="20"/>
      <c r="BT158" s="20"/>
      <c r="BU158" s="20"/>
    </row>
    <row r="159" spans="1:73" ht="30" hidden="1" customHeight="1" x14ac:dyDescent="0.25">
      <c r="A159" s="17"/>
      <c r="B159" s="6" t="s">
        <v>262</v>
      </c>
      <c r="C159" s="11">
        <v>10</v>
      </c>
      <c r="D159" s="98"/>
      <c r="E159" s="18" t="s">
        <v>43</v>
      </c>
      <c r="F159" s="17"/>
      <c r="G159" s="17"/>
      <c r="H159" s="17"/>
      <c r="I159" s="17"/>
      <c r="J159" s="12">
        <v>1</v>
      </c>
      <c r="K159" s="5">
        <v>1</v>
      </c>
      <c r="L159" s="11">
        <v>1</v>
      </c>
      <c r="M159" s="12"/>
      <c r="N159" s="5">
        <v>1</v>
      </c>
      <c r="O159" s="5"/>
      <c r="P159" s="5"/>
      <c r="Q159" s="5"/>
      <c r="R159" s="5">
        <v>1</v>
      </c>
      <c r="S159" s="5"/>
      <c r="T159" s="5"/>
      <c r="U159" s="5"/>
      <c r="V159" s="5"/>
      <c r="W159" s="5"/>
      <c r="X159" s="5">
        <v>2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11">
        <v>1</v>
      </c>
      <c r="AK159" s="12"/>
      <c r="AL159" s="5"/>
      <c r="AM159" s="5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  <c r="BK159" s="99"/>
      <c r="BL159" s="99"/>
      <c r="BM159" s="99"/>
      <c r="BN159" s="99"/>
      <c r="BO159" s="99"/>
      <c r="BP159" s="99"/>
      <c r="BQ159" s="20"/>
      <c r="BR159" s="20"/>
      <c r="BS159" s="20"/>
      <c r="BT159" s="20"/>
      <c r="BU159" s="20"/>
    </row>
    <row r="160" spans="1:73" ht="30" hidden="1" customHeight="1" x14ac:dyDescent="0.25">
      <c r="A160" s="17"/>
      <c r="B160" s="6" t="s">
        <v>263</v>
      </c>
      <c r="C160" s="11">
        <v>10</v>
      </c>
      <c r="D160" s="98"/>
      <c r="E160" s="18" t="s">
        <v>43</v>
      </c>
      <c r="F160" s="17"/>
      <c r="G160" s="17"/>
      <c r="H160" s="17"/>
      <c r="I160" s="17"/>
      <c r="J160" s="12">
        <v>1</v>
      </c>
      <c r="K160" s="5">
        <v>1</v>
      </c>
      <c r="L160" s="11">
        <v>1</v>
      </c>
      <c r="M160" s="12"/>
      <c r="N160" s="5">
        <v>1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11"/>
      <c r="AK160" s="12"/>
      <c r="AL160" s="5"/>
      <c r="AM160" s="5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  <c r="BQ160" s="20"/>
      <c r="BR160" s="20"/>
      <c r="BS160" s="20"/>
      <c r="BT160" s="20"/>
      <c r="BU160" s="20"/>
    </row>
    <row r="161" spans="1:73" ht="30" hidden="1" customHeight="1" x14ac:dyDescent="0.25">
      <c r="A161" s="17"/>
      <c r="B161" s="6" t="s">
        <v>264</v>
      </c>
      <c r="C161" s="11">
        <v>10</v>
      </c>
      <c r="D161" s="98"/>
      <c r="E161" s="18" t="s">
        <v>43</v>
      </c>
      <c r="F161" s="17"/>
      <c r="G161" s="17"/>
      <c r="H161" s="17"/>
      <c r="I161" s="17"/>
      <c r="J161" s="12">
        <v>1</v>
      </c>
      <c r="K161" s="7">
        <v>1</v>
      </c>
      <c r="L161" s="13">
        <v>1</v>
      </c>
      <c r="M161" s="12"/>
      <c r="N161" s="7">
        <v>1</v>
      </c>
      <c r="O161" s="5"/>
      <c r="P161" s="7">
        <v>1</v>
      </c>
      <c r="Q161" s="5"/>
      <c r="R161" s="7">
        <v>1</v>
      </c>
      <c r="S161" s="5"/>
      <c r="T161" s="5"/>
      <c r="U161" s="5"/>
      <c r="V161" s="7">
        <v>1</v>
      </c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11">
        <v>1</v>
      </c>
      <c r="AK161" s="12"/>
      <c r="AL161" s="5"/>
      <c r="AM161" s="5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  <c r="BK161" s="99"/>
      <c r="BL161" s="99"/>
      <c r="BM161" s="99"/>
      <c r="BN161" s="99"/>
      <c r="BO161" s="99"/>
      <c r="BP161" s="99"/>
      <c r="BQ161" s="20"/>
      <c r="BR161" s="20"/>
      <c r="BS161" s="20"/>
      <c r="BT161" s="20"/>
      <c r="BU161" s="20"/>
    </row>
    <row r="162" spans="1:73" ht="30" hidden="1" customHeight="1" x14ac:dyDescent="0.25">
      <c r="A162" s="17"/>
      <c r="B162" s="6" t="s">
        <v>265</v>
      </c>
      <c r="C162" s="11">
        <v>10</v>
      </c>
      <c r="D162" s="98"/>
      <c r="E162" s="18" t="s">
        <v>43</v>
      </c>
      <c r="F162" s="17"/>
      <c r="G162" s="17"/>
      <c r="H162" s="17"/>
      <c r="I162" s="17"/>
      <c r="J162" s="12">
        <v>1</v>
      </c>
      <c r="K162" s="5">
        <v>1</v>
      </c>
      <c r="L162" s="11">
        <v>1</v>
      </c>
      <c r="M162" s="12"/>
      <c r="N162" s="5">
        <v>1</v>
      </c>
      <c r="O162" s="5"/>
      <c r="P162" s="5"/>
      <c r="Q162" s="5">
        <v>1</v>
      </c>
      <c r="R162" s="5">
        <v>1</v>
      </c>
      <c r="S162" s="5"/>
      <c r="T162" s="5"/>
      <c r="U162" s="5"/>
      <c r="V162" s="5"/>
      <c r="W162" s="5"/>
      <c r="X162" s="5">
        <v>1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11"/>
      <c r="AK162" s="12"/>
      <c r="AL162" s="5"/>
      <c r="AM162" s="5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  <c r="BK162" s="99"/>
      <c r="BL162" s="99"/>
      <c r="BM162" s="99"/>
      <c r="BN162" s="99"/>
      <c r="BO162" s="99"/>
      <c r="BP162" s="99"/>
      <c r="BQ162" s="20"/>
      <c r="BR162" s="20"/>
      <c r="BS162" s="20"/>
      <c r="BT162" s="20"/>
      <c r="BU162" s="20"/>
    </row>
    <row r="163" spans="1:73" ht="30" hidden="1" customHeight="1" x14ac:dyDescent="0.25">
      <c r="A163" s="17"/>
      <c r="B163" s="6" t="s">
        <v>266</v>
      </c>
      <c r="C163" s="11">
        <v>10</v>
      </c>
      <c r="D163" s="98"/>
      <c r="E163" s="18" t="s">
        <v>43</v>
      </c>
      <c r="F163" s="17"/>
      <c r="G163" s="17"/>
      <c r="H163" s="17"/>
      <c r="I163" s="17"/>
      <c r="J163" s="12">
        <v>1</v>
      </c>
      <c r="K163" s="5">
        <v>1</v>
      </c>
      <c r="L163" s="11">
        <v>1</v>
      </c>
      <c r="M163" s="12"/>
      <c r="N163" s="5">
        <v>1</v>
      </c>
      <c r="O163" s="5"/>
      <c r="P163" s="5"/>
      <c r="Q163" s="5"/>
      <c r="R163" s="5">
        <v>1</v>
      </c>
      <c r="S163" s="5"/>
      <c r="T163" s="5"/>
      <c r="U163" s="5"/>
      <c r="V163" s="5"/>
      <c r="W163" s="5"/>
      <c r="X163" s="5">
        <v>2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11"/>
      <c r="AK163" s="12"/>
      <c r="AL163" s="5"/>
      <c r="AM163" s="5"/>
      <c r="AN163" s="99"/>
      <c r="AO163" s="99"/>
      <c r="AP163" s="99"/>
      <c r="AQ163" s="99"/>
      <c r="AR163" s="99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99"/>
      <c r="BE163" s="99"/>
      <c r="BF163" s="99"/>
      <c r="BG163" s="99"/>
      <c r="BH163" s="99"/>
      <c r="BI163" s="99"/>
      <c r="BJ163" s="99"/>
      <c r="BK163" s="99"/>
      <c r="BL163" s="99"/>
      <c r="BM163" s="99"/>
      <c r="BN163" s="99"/>
      <c r="BO163" s="99"/>
      <c r="BP163" s="99"/>
      <c r="BQ163" s="20"/>
      <c r="BR163" s="20"/>
      <c r="BS163" s="20"/>
      <c r="BT163" s="20"/>
      <c r="BU163" s="20"/>
    </row>
    <row r="164" spans="1:73" ht="30" customHeight="1" x14ac:dyDescent="0.25">
      <c r="A164" s="17" t="s">
        <v>267</v>
      </c>
      <c r="B164" s="6" t="s">
        <v>56</v>
      </c>
      <c r="C164" s="11">
        <v>10</v>
      </c>
      <c r="D164" s="98">
        <v>7</v>
      </c>
      <c r="E164" s="18" t="s">
        <v>64</v>
      </c>
      <c r="F164" s="17" t="s">
        <v>65</v>
      </c>
      <c r="G164" s="17" t="s">
        <v>203</v>
      </c>
      <c r="H164" s="17" t="s">
        <v>177</v>
      </c>
      <c r="I164" s="17"/>
      <c r="J164" s="12">
        <v>1</v>
      </c>
      <c r="K164" s="5">
        <v>1</v>
      </c>
      <c r="L164" s="11">
        <v>1</v>
      </c>
      <c r="M164" s="12"/>
      <c r="N164" s="5">
        <v>1</v>
      </c>
      <c r="O164" s="5"/>
      <c r="P164" s="5"/>
      <c r="Q164" s="5"/>
      <c r="R164" s="5">
        <v>1</v>
      </c>
      <c r="S164" s="5"/>
      <c r="T164" s="5"/>
      <c r="U164" s="5">
        <v>1</v>
      </c>
      <c r="V164" s="5"/>
      <c r="W164" s="5"/>
      <c r="X164" s="5"/>
      <c r="Y164" s="5"/>
      <c r="Z164" s="5"/>
      <c r="AA164" s="5"/>
      <c r="AB164" s="5"/>
      <c r="AC164" s="5">
        <v>1</v>
      </c>
      <c r="AD164" s="5"/>
      <c r="AE164" s="5"/>
      <c r="AF164" s="5"/>
      <c r="AG164" s="5"/>
      <c r="AH164" s="5">
        <v>1</v>
      </c>
      <c r="AI164" s="5"/>
      <c r="AJ164" s="11"/>
      <c r="AK164" s="12"/>
      <c r="AL164" s="5"/>
      <c r="AM164" s="5"/>
      <c r="AN164" s="99">
        <v>3.9</v>
      </c>
      <c r="AO164" s="99">
        <v>4</v>
      </c>
      <c r="AP164" s="99">
        <v>3.8</v>
      </c>
      <c r="AQ164" s="99"/>
      <c r="AR164" s="99">
        <v>3.3</v>
      </c>
      <c r="AS164" s="99"/>
      <c r="AT164" s="99"/>
      <c r="AU164" s="99"/>
      <c r="AV164" s="99">
        <v>3.5</v>
      </c>
      <c r="AW164" s="99"/>
      <c r="AX164" s="99"/>
      <c r="AY164" s="99">
        <v>3.6</v>
      </c>
      <c r="AZ164" s="99"/>
      <c r="BA164" s="99"/>
      <c r="BB164" s="99"/>
      <c r="BC164" s="99"/>
      <c r="BD164" s="99"/>
      <c r="BE164" s="99"/>
      <c r="BF164" s="99"/>
      <c r="BG164" s="99">
        <v>3.8</v>
      </c>
      <c r="BH164" s="99"/>
      <c r="BI164" s="99"/>
      <c r="BJ164" s="99"/>
      <c r="BK164" s="99"/>
      <c r="BL164" s="99">
        <v>3.7</v>
      </c>
      <c r="BM164" s="99"/>
      <c r="BN164" s="99"/>
      <c r="BO164" s="99"/>
      <c r="BP164" s="99"/>
      <c r="BQ164" s="20"/>
      <c r="BR164" s="20"/>
      <c r="BS164" s="20"/>
      <c r="BT164" s="20"/>
      <c r="BU164" s="20"/>
    </row>
    <row r="165" spans="1:73" s="119" customFormat="1" ht="30" customHeight="1" x14ac:dyDescent="0.25">
      <c r="A165" s="109" t="s">
        <v>268</v>
      </c>
      <c r="B165" s="110" t="s">
        <v>56</v>
      </c>
      <c r="C165" s="111">
        <v>10</v>
      </c>
      <c r="D165" s="112">
        <v>7</v>
      </c>
      <c r="E165" s="113" t="s">
        <v>64</v>
      </c>
      <c r="F165" s="109" t="s">
        <v>65</v>
      </c>
      <c r="G165" s="109" t="s">
        <v>203</v>
      </c>
      <c r="H165" s="109" t="s">
        <v>177</v>
      </c>
      <c r="I165" s="109"/>
      <c r="J165" s="114">
        <v>1</v>
      </c>
      <c r="K165" s="115">
        <v>1</v>
      </c>
      <c r="L165" s="111">
        <v>1</v>
      </c>
      <c r="M165" s="114"/>
      <c r="N165" s="115">
        <v>1</v>
      </c>
      <c r="O165" s="115"/>
      <c r="P165" s="115"/>
      <c r="Q165" s="115"/>
      <c r="R165" s="115">
        <v>1</v>
      </c>
      <c r="S165" s="115"/>
      <c r="T165" s="115"/>
      <c r="U165" s="115">
        <v>1</v>
      </c>
      <c r="V165" s="115"/>
      <c r="W165" s="115"/>
      <c r="X165" s="115"/>
      <c r="Y165" s="115"/>
      <c r="Z165" s="115"/>
      <c r="AA165" s="115"/>
      <c r="AB165" s="115"/>
      <c r="AC165" s="115">
        <v>1</v>
      </c>
      <c r="AD165" s="115"/>
      <c r="AE165" s="115"/>
      <c r="AF165" s="115"/>
      <c r="AG165" s="115"/>
      <c r="AH165" s="115">
        <v>1</v>
      </c>
      <c r="AI165" s="115"/>
      <c r="AJ165" s="111"/>
      <c r="AK165" s="114"/>
      <c r="AL165" s="115"/>
      <c r="AM165" s="115"/>
      <c r="AN165" s="117">
        <v>4</v>
      </c>
      <c r="AO165" s="117">
        <v>3.2</v>
      </c>
      <c r="AP165" s="117">
        <v>3.3</v>
      </c>
      <c r="AQ165" s="117"/>
      <c r="AR165" s="117">
        <v>4</v>
      </c>
      <c r="AS165" s="117"/>
      <c r="AT165" s="117"/>
      <c r="AU165" s="117"/>
      <c r="AV165" s="117">
        <v>3.5</v>
      </c>
      <c r="AW165" s="117"/>
      <c r="AX165" s="117"/>
      <c r="AY165" s="129">
        <v>0</v>
      </c>
      <c r="AZ165" s="117"/>
      <c r="BA165" s="117"/>
      <c r="BB165" s="117"/>
      <c r="BC165" s="117"/>
      <c r="BD165" s="117"/>
      <c r="BE165" s="117"/>
      <c r="BF165" s="117"/>
      <c r="BG165" s="117">
        <v>2.2000000000000002</v>
      </c>
      <c r="BH165" s="117"/>
      <c r="BI165" s="117"/>
      <c r="BJ165" s="117"/>
      <c r="BK165" s="117"/>
      <c r="BL165" s="129">
        <v>0</v>
      </c>
      <c r="BM165" s="117"/>
      <c r="BN165" s="117"/>
      <c r="BO165" s="117"/>
      <c r="BP165" s="117"/>
      <c r="BQ165" s="118"/>
      <c r="BR165" s="118"/>
      <c r="BS165" s="118"/>
      <c r="BT165" s="118"/>
      <c r="BU165" s="118"/>
    </row>
    <row r="166" spans="1:73" ht="30" customHeight="1" x14ac:dyDescent="0.25">
      <c r="A166" s="17" t="s">
        <v>269</v>
      </c>
      <c r="B166" s="6" t="s">
        <v>56</v>
      </c>
      <c r="C166" s="11">
        <v>10</v>
      </c>
      <c r="D166" s="98">
        <v>7</v>
      </c>
      <c r="E166" s="18" t="s">
        <v>64</v>
      </c>
      <c r="F166" s="17" t="s">
        <v>65</v>
      </c>
      <c r="G166" s="17" t="s">
        <v>165</v>
      </c>
      <c r="H166" s="17" t="s">
        <v>177</v>
      </c>
      <c r="I166" s="17"/>
      <c r="J166" s="12">
        <v>1</v>
      </c>
      <c r="K166" s="5">
        <v>1</v>
      </c>
      <c r="L166" s="11">
        <v>1</v>
      </c>
      <c r="M166" s="12"/>
      <c r="N166" s="5">
        <v>1</v>
      </c>
      <c r="O166" s="5"/>
      <c r="P166" s="5"/>
      <c r="Q166" s="5"/>
      <c r="R166" s="5">
        <v>1</v>
      </c>
      <c r="S166" s="5"/>
      <c r="T166" s="5"/>
      <c r="U166" s="5">
        <v>1</v>
      </c>
      <c r="V166" s="5"/>
      <c r="W166" s="5"/>
      <c r="X166" s="5"/>
      <c r="Y166" s="5"/>
      <c r="Z166" s="5"/>
      <c r="AA166" s="5"/>
      <c r="AB166" s="5"/>
      <c r="AC166" s="5">
        <v>1</v>
      </c>
      <c r="AD166" s="5"/>
      <c r="AE166" s="5"/>
      <c r="AF166" s="5"/>
      <c r="AG166" s="5"/>
      <c r="AH166" s="5">
        <v>1</v>
      </c>
      <c r="AI166" s="5"/>
      <c r="AJ166" s="11"/>
      <c r="AK166" s="12"/>
      <c r="AL166" s="5"/>
      <c r="AM166" s="5"/>
      <c r="AN166" s="99">
        <v>3.8</v>
      </c>
      <c r="AO166" s="99">
        <v>4</v>
      </c>
      <c r="AP166" s="99">
        <v>3.2</v>
      </c>
      <c r="AQ166" s="99"/>
      <c r="AR166" s="99">
        <v>3</v>
      </c>
      <c r="AS166" s="99"/>
      <c r="AT166" s="99"/>
      <c r="AU166" s="99"/>
      <c r="AV166" s="99">
        <v>3.6</v>
      </c>
      <c r="AW166" s="99"/>
      <c r="AX166" s="99"/>
      <c r="AY166" s="99">
        <v>2.8</v>
      </c>
      <c r="AZ166" s="99"/>
      <c r="BA166" s="99"/>
      <c r="BB166" s="99"/>
      <c r="BC166" s="99"/>
      <c r="BD166" s="99"/>
      <c r="BE166" s="99"/>
      <c r="BF166" s="99"/>
      <c r="BG166" s="99">
        <v>3.2</v>
      </c>
      <c r="BH166" s="99"/>
      <c r="BI166" s="99"/>
      <c r="BJ166" s="99"/>
      <c r="BK166" s="99"/>
      <c r="BL166" s="99">
        <v>1.8</v>
      </c>
      <c r="BM166" s="99"/>
      <c r="BN166" s="99"/>
      <c r="BO166" s="99"/>
      <c r="BP166" s="99"/>
      <c r="BQ166" s="20"/>
      <c r="BR166" s="20"/>
      <c r="BS166" s="20"/>
      <c r="BT166" s="20"/>
      <c r="BU166" s="20"/>
    </row>
    <row r="167" spans="1:73" ht="30" hidden="1" customHeight="1" x14ac:dyDescent="0.25">
      <c r="A167" s="17"/>
      <c r="B167" s="9" t="s">
        <v>270</v>
      </c>
      <c r="C167" s="11">
        <v>10</v>
      </c>
      <c r="D167" s="98"/>
      <c r="E167" s="18" t="s">
        <v>43</v>
      </c>
      <c r="F167" s="17"/>
      <c r="G167" s="17"/>
      <c r="H167" s="17"/>
      <c r="I167" s="17"/>
      <c r="J167" s="12">
        <v>1</v>
      </c>
      <c r="K167" s="5">
        <v>1</v>
      </c>
      <c r="L167" s="11">
        <v>1</v>
      </c>
      <c r="M167" s="12"/>
      <c r="N167" s="5">
        <v>1</v>
      </c>
      <c r="O167" s="5"/>
      <c r="P167" s="5"/>
      <c r="Q167" s="5"/>
      <c r="R167" s="5">
        <v>1</v>
      </c>
      <c r="S167" s="5"/>
      <c r="T167" s="5"/>
      <c r="U167" s="5"/>
      <c r="V167" s="5"/>
      <c r="W167" s="5">
        <v>1</v>
      </c>
      <c r="X167" s="5">
        <v>2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11">
        <v>1</v>
      </c>
      <c r="AK167" s="12"/>
      <c r="AL167" s="5"/>
      <c r="AM167" s="5"/>
      <c r="AN167" s="99"/>
      <c r="AO167" s="99"/>
      <c r="AP167" s="99"/>
      <c r="AQ167" s="99"/>
      <c r="AR167" s="99"/>
      <c r="AS167" s="99"/>
      <c r="AT167" s="99"/>
      <c r="AU167" s="99"/>
      <c r="AV167" s="99"/>
      <c r="AW167" s="99"/>
      <c r="AX167" s="99"/>
      <c r="AY167" s="99"/>
      <c r="AZ167" s="99"/>
      <c r="BA167" s="99"/>
      <c r="BB167" s="99"/>
      <c r="BC167" s="99"/>
      <c r="BD167" s="99"/>
      <c r="BE167" s="99"/>
      <c r="BF167" s="99"/>
      <c r="BG167" s="99"/>
      <c r="BH167" s="99"/>
      <c r="BI167" s="99"/>
      <c r="BJ167" s="99"/>
      <c r="BK167" s="99"/>
      <c r="BL167" s="99"/>
      <c r="BM167" s="99"/>
      <c r="BN167" s="99"/>
      <c r="BO167" s="99"/>
      <c r="BP167" s="99"/>
      <c r="BQ167" s="20"/>
      <c r="BR167" s="20"/>
      <c r="BS167" s="20"/>
      <c r="BT167" s="20"/>
      <c r="BU167" s="20"/>
    </row>
    <row r="168" spans="1:73" ht="30" hidden="1" customHeight="1" x14ac:dyDescent="0.25">
      <c r="A168" s="17"/>
      <c r="B168" s="6" t="s">
        <v>271</v>
      </c>
      <c r="C168" s="11">
        <v>10</v>
      </c>
      <c r="D168" s="98"/>
      <c r="E168" s="18" t="s">
        <v>43</v>
      </c>
      <c r="F168" s="17"/>
      <c r="G168" s="17"/>
      <c r="H168" s="17"/>
      <c r="I168" s="17"/>
      <c r="J168" s="12">
        <v>1</v>
      </c>
      <c r="K168" s="5">
        <v>1</v>
      </c>
      <c r="L168" s="11">
        <v>1</v>
      </c>
      <c r="M168" s="12"/>
      <c r="N168" s="5">
        <v>2</v>
      </c>
      <c r="O168" s="5"/>
      <c r="P168" s="5"/>
      <c r="Q168" s="5"/>
      <c r="R168" s="5">
        <v>2</v>
      </c>
      <c r="S168" s="5"/>
      <c r="T168" s="5"/>
      <c r="U168" s="5"/>
      <c r="V168" s="5"/>
      <c r="W168" s="5"/>
      <c r="X168" s="5">
        <v>2</v>
      </c>
      <c r="Y168" s="5"/>
      <c r="Z168" s="5"/>
      <c r="AA168" s="5"/>
      <c r="AB168" s="5"/>
      <c r="AC168" s="5">
        <v>2</v>
      </c>
      <c r="AD168" s="5"/>
      <c r="AE168" s="5"/>
      <c r="AF168" s="5"/>
      <c r="AG168" s="5"/>
      <c r="AH168" s="5"/>
      <c r="AI168" s="5"/>
      <c r="AJ168" s="11"/>
      <c r="AK168" s="12"/>
      <c r="AL168" s="5"/>
      <c r="AM168" s="5"/>
      <c r="AN168" s="99"/>
      <c r="AO168" s="99"/>
      <c r="AP168" s="99"/>
      <c r="AQ168" s="99"/>
      <c r="AR168" s="99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99"/>
      <c r="BE168" s="99"/>
      <c r="BF168" s="99"/>
      <c r="BG168" s="99"/>
      <c r="BH168" s="99"/>
      <c r="BI168" s="99"/>
      <c r="BJ168" s="99"/>
      <c r="BK168" s="99"/>
      <c r="BL168" s="99"/>
      <c r="BM168" s="99"/>
      <c r="BN168" s="99"/>
      <c r="BO168" s="99"/>
      <c r="BP168" s="99"/>
      <c r="BQ168" s="20"/>
      <c r="BR168" s="20"/>
      <c r="BS168" s="20"/>
      <c r="BT168" s="20"/>
      <c r="BU168" s="20"/>
    </row>
    <row r="169" spans="1:73" ht="30" hidden="1" customHeight="1" x14ac:dyDescent="0.25">
      <c r="A169" s="17"/>
      <c r="B169" s="6" t="s">
        <v>272</v>
      </c>
      <c r="C169" s="11">
        <v>10</v>
      </c>
      <c r="D169" s="98"/>
      <c r="E169" s="18" t="s">
        <v>43</v>
      </c>
      <c r="F169" s="17"/>
      <c r="G169" s="17"/>
      <c r="H169" s="17"/>
      <c r="I169" s="17"/>
      <c r="J169" s="12">
        <v>1</v>
      </c>
      <c r="K169" s="5">
        <v>1</v>
      </c>
      <c r="L169" s="11">
        <v>1</v>
      </c>
      <c r="M169" s="12"/>
      <c r="N169" s="5">
        <v>1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11"/>
      <c r="AK169" s="12"/>
      <c r="AL169" s="5"/>
      <c r="AM169" s="5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99"/>
      <c r="BE169" s="99"/>
      <c r="BF169" s="99"/>
      <c r="BG169" s="99"/>
      <c r="BH169" s="99"/>
      <c r="BI169" s="99"/>
      <c r="BJ169" s="99"/>
      <c r="BK169" s="99"/>
      <c r="BL169" s="99"/>
      <c r="BM169" s="99"/>
      <c r="BN169" s="99"/>
      <c r="BO169" s="99"/>
      <c r="BP169" s="99"/>
      <c r="BQ169" s="20"/>
      <c r="BR169" s="20"/>
      <c r="BS169" s="20"/>
      <c r="BT169" s="20"/>
      <c r="BU169" s="20"/>
    </row>
    <row r="170" spans="1:73" ht="30" hidden="1" customHeight="1" x14ac:dyDescent="0.25">
      <c r="A170" s="17"/>
      <c r="B170" s="6" t="s">
        <v>273</v>
      </c>
      <c r="C170" s="11">
        <v>10</v>
      </c>
      <c r="D170" s="98"/>
      <c r="E170" s="18" t="s">
        <v>43</v>
      </c>
      <c r="F170" s="17"/>
      <c r="G170" s="17"/>
      <c r="H170" s="17"/>
      <c r="I170" s="17"/>
      <c r="J170" s="12">
        <v>1</v>
      </c>
      <c r="K170" s="5">
        <v>1</v>
      </c>
      <c r="L170" s="11">
        <v>1</v>
      </c>
      <c r="M170" s="12"/>
      <c r="N170" s="5">
        <v>1</v>
      </c>
      <c r="O170" s="5">
        <v>1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11"/>
      <c r="AK170" s="12"/>
      <c r="AL170" s="5"/>
      <c r="AM170" s="5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  <c r="BK170" s="99"/>
      <c r="BL170" s="99"/>
      <c r="BM170" s="99"/>
      <c r="BN170" s="99"/>
      <c r="BO170" s="99"/>
      <c r="BP170" s="99"/>
      <c r="BQ170" s="20"/>
      <c r="BR170" s="20"/>
      <c r="BS170" s="20"/>
      <c r="BT170" s="20"/>
      <c r="BU170" s="20"/>
    </row>
    <row r="171" spans="1:73" ht="30" hidden="1" customHeight="1" x14ac:dyDescent="0.25">
      <c r="A171" s="17"/>
      <c r="B171" s="6" t="s">
        <v>274</v>
      </c>
      <c r="C171" s="11">
        <v>10</v>
      </c>
      <c r="D171" s="98"/>
      <c r="E171" s="18" t="s">
        <v>43</v>
      </c>
      <c r="F171" s="17"/>
      <c r="G171" s="17"/>
      <c r="H171" s="17"/>
      <c r="I171" s="17"/>
      <c r="J171" s="12">
        <v>2</v>
      </c>
      <c r="K171" s="5">
        <v>1</v>
      </c>
      <c r="L171" s="11">
        <v>1</v>
      </c>
      <c r="M171" s="12"/>
      <c r="N171" s="5">
        <v>1</v>
      </c>
      <c r="O171" s="5">
        <v>1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11"/>
      <c r="AK171" s="12"/>
      <c r="AL171" s="5"/>
      <c r="AM171" s="5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99"/>
      <c r="BE171" s="99"/>
      <c r="BF171" s="99"/>
      <c r="BG171" s="99"/>
      <c r="BH171" s="99"/>
      <c r="BI171" s="99"/>
      <c r="BJ171" s="99"/>
      <c r="BK171" s="99"/>
      <c r="BL171" s="99"/>
      <c r="BM171" s="99"/>
      <c r="BN171" s="99"/>
      <c r="BO171" s="99"/>
      <c r="BP171" s="99"/>
      <c r="BQ171" s="20"/>
      <c r="BR171" s="20"/>
      <c r="BS171" s="20"/>
      <c r="BT171" s="20"/>
      <c r="BU171" s="20"/>
    </row>
    <row r="172" spans="1:73" ht="30" hidden="1" customHeight="1" x14ac:dyDescent="0.25">
      <c r="A172" s="17"/>
      <c r="B172" s="6" t="s">
        <v>275</v>
      </c>
      <c r="C172" s="11">
        <v>10</v>
      </c>
      <c r="D172" s="98"/>
      <c r="E172" s="18" t="s">
        <v>43</v>
      </c>
      <c r="F172" s="17"/>
      <c r="G172" s="17"/>
      <c r="H172" s="17"/>
      <c r="I172" s="17"/>
      <c r="J172" s="12">
        <v>2</v>
      </c>
      <c r="K172" s="5">
        <v>1</v>
      </c>
      <c r="L172" s="11">
        <v>2</v>
      </c>
      <c r="M172" s="12"/>
      <c r="N172" s="5">
        <v>1</v>
      </c>
      <c r="O172" s="5">
        <v>1</v>
      </c>
      <c r="P172" s="5"/>
      <c r="Q172" s="5"/>
      <c r="R172" s="5">
        <v>1</v>
      </c>
      <c r="S172" s="5"/>
      <c r="T172" s="5"/>
      <c r="U172" s="5"/>
      <c r="V172" s="5"/>
      <c r="W172" s="5"/>
      <c r="X172" s="5">
        <v>1</v>
      </c>
      <c r="Y172" s="5"/>
      <c r="Z172" s="5"/>
      <c r="AA172" s="5"/>
      <c r="AB172" s="5"/>
      <c r="AC172" s="5">
        <v>1</v>
      </c>
      <c r="AD172" s="5"/>
      <c r="AE172" s="5">
        <v>1</v>
      </c>
      <c r="AF172" s="5"/>
      <c r="AG172" s="5"/>
      <c r="AH172" s="5"/>
      <c r="AI172" s="5">
        <v>1</v>
      </c>
      <c r="AJ172" s="11"/>
      <c r="AK172" s="12"/>
      <c r="AL172" s="5"/>
      <c r="AM172" s="5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  <c r="BK172" s="99"/>
      <c r="BL172" s="99"/>
      <c r="BM172" s="99"/>
      <c r="BN172" s="99"/>
      <c r="BO172" s="99"/>
      <c r="BP172" s="99"/>
      <c r="BQ172" s="20"/>
      <c r="BR172" s="20"/>
      <c r="BS172" s="20"/>
      <c r="BT172" s="20"/>
      <c r="BU172" s="20"/>
    </row>
    <row r="173" spans="1:73" ht="30" hidden="1" customHeight="1" x14ac:dyDescent="0.25">
      <c r="A173" s="17"/>
      <c r="B173" s="6" t="s">
        <v>276</v>
      </c>
      <c r="C173" s="11">
        <v>10</v>
      </c>
      <c r="D173" s="98"/>
      <c r="E173" s="18" t="s">
        <v>43</v>
      </c>
      <c r="F173" s="17"/>
      <c r="G173" s="17"/>
      <c r="H173" s="17"/>
      <c r="I173" s="17"/>
      <c r="J173" s="12">
        <v>2</v>
      </c>
      <c r="K173" s="5">
        <v>1</v>
      </c>
      <c r="L173" s="11">
        <v>2</v>
      </c>
      <c r="M173" s="12"/>
      <c r="N173" s="5">
        <v>1</v>
      </c>
      <c r="O173" s="5">
        <v>1</v>
      </c>
      <c r="P173" s="5"/>
      <c r="Q173" s="5"/>
      <c r="R173" s="5">
        <v>1</v>
      </c>
      <c r="S173" s="5"/>
      <c r="T173" s="5"/>
      <c r="U173" s="5"/>
      <c r="V173" s="5"/>
      <c r="W173" s="5"/>
      <c r="X173" s="5">
        <v>1</v>
      </c>
      <c r="Y173" s="5"/>
      <c r="Z173" s="5"/>
      <c r="AA173" s="5"/>
      <c r="AB173" s="5"/>
      <c r="AC173" s="5">
        <v>1</v>
      </c>
      <c r="AD173" s="5"/>
      <c r="AE173" s="5">
        <v>1</v>
      </c>
      <c r="AF173" s="5"/>
      <c r="AG173" s="5"/>
      <c r="AH173" s="5"/>
      <c r="AI173" s="5">
        <v>1</v>
      </c>
      <c r="AJ173" s="11"/>
      <c r="AK173" s="12"/>
      <c r="AL173" s="5"/>
      <c r="AM173" s="5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  <c r="BK173" s="99"/>
      <c r="BL173" s="99"/>
      <c r="BM173" s="99"/>
      <c r="BN173" s="99"/>
      <c r="BO173" s="99"/>
      <c r="BP173" s="99"/>
      <c r="BQ173" s="20"/>
      <c r="BR173" s="20"/>
      <c r="BS173" s="20"/>
      <c r="BT173" s="20"/>
      <c r="BU173" s="20"/>
    </row>
    <row r="174" spans="1:73" s="119" customFormat="1" ht="30" customHeight="1" x14ac:dyDescent="0.25">
      <c r="A174" s="109" t="s">
        <v>277</v>
      </c>
      <c r="B174" s="110" t="s">
        <v>55</v>
      </c>
      <c r="C174" s="111">
        <v>12</v>
      </c>
      <c r="D174" s="112"/>
      <c r="E174" s="113" t="s">
        <v>64</v>
      </c>
      <c r="F174" s="109" t="s">
        <v>66</v>
      </c>
      <c r="G174" s="109" t="s">
        <v>169</v>
      </c>
      <c r="H174" s="109" t="s">
        <v>226</v>
      </c>
      <c r="I174" s="109"/>
      <c r="J174" s="114">
        <v>1</v>
      </c>
      <c r="K174" s="115">
        <v>1</v>
      </c>
      <c r="L174" s="111">
        <v>1</v>
      </c>
      <c r="M174" s="114"/>
      <c r="N174" s="115">
        <v>1</v>
      </c>
      <c r="O174" s="115"/>
      <c r="P174" s="115"/>
      <c r="Q174" s="115"/>
      <c r="R174" s="115">
        <v>1</v>
      </c>
      <c r="S174" s="115"/>
      <c r="T174" s="115"/>
      <c r="U174" s="115"/>
      <c r="V174" s="115"/>
      <c r="W174" s="115"/>
      <c r="X174" s="115">
        <v>2</v>
      </c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1">
        <v>1</v>
      </c>
      <c r="AK174" s="114"/>
      <c r="AL174" s="115"/>
      <c r="AM174" s="115"/>
      <c r="AN174" s="117">
        <v>3.8</v>
      </c>
      <c r="AO174" s="116">
        <v>4</v>
      </c>
      <c r="AP174" s="116">
        <v>3.8</v>
      </c>
      <c r="AQ174" s="116"/>
      <c r="AR174" s="116">
        <v>3.7</v>
      </c>
      <c r="AS174" s="116"/>
      <c r="AT174" s="116"/>
      <c r="AU174" s="116">
        <v>3.8</v>
      </c>
      <c r="AV174" s="116">
        <v>3.7</v>
      </c>
      <c r="AW174" s="116"/>
      <c r="AX174" s="116">
        <v>4</v>
      </c>
      <c r="AY174" s="116"/>
      <c r="AZ174" s="116"/>
      <c r="BA174" s="116"/>
      <c r="BB174" s="116"/>
      <c r="BC174" s="116"/>
      <c r="BD174" s="116"/>
      <c r="BE174" s="116">
        <v>4</v>
      </c>
      <c r="BF174" s="116">
        <v>3.8</v>
      </c>
      <c r="BG174" s="116">
        <v>4</v>
      </c>
      <c r="BH174" s="116"/>
      <c r="BI174" s="116"/>
      <c r="BJ174" s="116"/>
      <c r="BK174" s="116"/>
      <c r="BL174" s="116"/>
      <c r="BM174" s="116"/>
      <c r="BN174" s="116">
        <v>3.8</v>
      </c>
      <c r="BO174" s="118"/>
      <c r="BP174" s="118"/>
      <c r="BQ174" s="118"/>
      <c r="BR174" s="118"/>
      <c r="BS174" s="118"/>
      <c r="BT174" s="118"/>
      <c r="BU174" s="118"/>
    </row>
    <row r="175" spans="1:73" ht="30" hidden="1" customHeight="1" x14ac:dyDescent="0.25">
      <c r="A175" s="17"/>
      <c r="B175" s="6" t="s">
        <v>278</v>
      </c>
      <c r="C175" s="11">
        <v>10</v>
      </c>
      <c r="D175" s="98"/>
      <c r="E175" s="18" t="s">
        <v>43</v>
      </c>
      <c r="F175" s="17"/>
      <c r="G175" s="17"/>
      <c r="H175" s="17"/>
      <c r="I175" s="17"/>
      <c r="J175" s="12">
        <v>1</v>
      </c>
      <c r="K175" s="5">
        <v>1</v>
      </c>
      <c r="L175" s="11">
        <v>1</v>
      </c>
      <c r="M175" s="12"/>
      <c r="N175" s="5">
        <v>1</v>
      </c>
      <c r="O175" s="5"/>
      <c r="P175" s="5"/>
      <c r="Q175" s="5">
        <v>1</v>
      </c>
      <c r="R175" s="5">
        <v>1</v>
      </c>
      <c r="S175" s="5"/>
      <c r="T175" s="5"/>
      <c r="U175" s="5"/>
      <c r="V175" s="5"/>
      <c r="W175" s="5"/>
      <c r="X175" s="5">
        <v>1</v>
      </c>
      <c r="Y175" s="5"/>
      <c r="Z175" s="5"/>
      <c r="AA175" s="5"/>
      <c r="AB175" s="5"/>
      <c r="AC175" s="5">
        <v>1</v>
      </c>
      <c r="AD175" s="5">
        <v>1</v>
      </c>
      <c r="AE175" s="5"/>
      <c r="AF175" s="5"/>
      <c r="AG175" s="5"/>
      <c r="AH175" s="5"/>
      <c r="AI175" s="5"/>
      <c r="AJ175" s="11">
        <v>1</v>
      </c>
      <c r="AK175" s="12"/>
      <c r="AL175" s="5"/>
      <c r="AM175" s="5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20"/>
      <c r="BP175" s="20"/>
      <c r="BQ175" s="20"/>
      <c r="BR175" s="20"/>
      <c r="BS175" s="20"/>
      <c r="BT175" s="20"/>
      <c r="BU175" s="20"/>
    </row>
    <row r="176" spans="1:73" ht="30" customHeight="1" x14ac:dyDescent="0.25">
      <c r="A176" s="17" t="s">
        <v>279</v>
      </c>
      <c r="B176" s="9" t="s">
        <v>280</v>
      </c>
      <c r="C176" s="11">
        <v>10</v>
      </c>
      <c r="D176" s="98"/>
      <c r="E176" s="18" t="s">
        <v>64</v>
      </c>
      <c r="F176" s="17" t="s">
        <v>68</v>
      </c>
      <c r="G176" s="17" t="s">
        <v>281</v>
      </c>
      <c r="H176" s="17" t="s">
        <v>231</v>
      </c>
      <c r="I176" s="17"/>
      <c r="J176" s="12">
        <v>1</v>
      </c>
      <c r="K176" s="7">
        <v>1</v>
      </c>
      <c r="L176" s="13">
        <v>1</v>
      </c>
      <c r="M176" s="14">
        <v>1</v>
      </c>
      <c r="N176" s="7">
        <v>1</v>
      </c>
      <c r="O176" s="5"/>
      <c r="P176" s="5"/>
      <c r="Q176" s="5"/>
      <c r="R176" s="7">
        <v>1</v>
      </c>
      <c r="S176" s="5"/>
      <c r="T176" s="5"/>
      <c r="U176" s="5"/>
      <c r="V176" s="7">
        <v>1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11">
        <v>1</v>
      </c>
      <c r="AK176" s="12"/>
      <c r="AL176" s="5"/>
      <c r="AM176" s="5"/>
      <c r="AN176" s="19">
        <v>4</v>
      </c>
      <c r="AO176" s="19">
        <v>3.6</v>
      </c>
      <c r="AP176" s="19">
        <v>3.9</v>
      </c>
      <c r="AQ176" s="19">
        <v>3.7</v>
      </c>
      <c r="AR176" s="19">
        <v>3.8</v>
      </c>
      <c r="AS176" s="19"/>
      <c r="AT176" s="19"/>
      <c r="AU176" s="19"/>
      <c r="AV176" s="19">
        <v>3.7</v>
      </c>
      <c r="AW176" s="19"/>
      <c r="AX176" s="19"/>
      <c r="AY176" s="19"/>
      <c r="AZ176" s="19">
        <v>4</v>
      </c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>
        <v>3.7</v>
      </c>
      <c r="BO176" s="20"/>
      <c r="BP176" s="20"/>
      <c r="BQ176" s="20"/>
      <c r="BR176" s="20"/>
      <c r="BS176" s="20"/>
      <c r="BT176" s="20"/>
      <c r="BU176" s="20"/>
    </row>
    <row r="177" spans="1:73" ht="30" hidden="1" customHeight="1" x14ac:dyDescent="0.25">
      <c r="A177" s="17"/>
      <c r="B177" s="9" t="s">
        <v>280</v>
      </c>
      <c r="C177" s="11">
        <v>10</v>
      </c>
      <c r="D177" s="98"/>
      <c r="E177" s="18" t="s">
        <v>43</v>
      </c>
      <c r="F177" s="17"/>
      <c r="G177" s="17"/>
      <c r="H177" s="17"/>
      <c r="I177" s="17"/>
      <c r="J177" s="12"/>
      <c r="K177" s="7"/>
      <c r="L177" s="13">
        <v>1</v>
      </c>
      <c r="M177" s="14">
        <v>1</v>
      </c>
      <c r="N177" s="7">
        <v>1</v>
      </c>
      <c r="O177" s="5"/>
      <c r="P177" s="5"/>
      <c r="Q177" s="5"/>
      <c r="R177" s="7">
        <v>1</v>
      </c>
      <c r="S177" s="5"/>
      <c r="T177" s="5"/>
      <c r="U177" s="5"/>
      <c r="V177" s="7">
        <v>1</v>
      </c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11">
        <v>1</v>
      </c>
      <c r="AK177" s="12"/>
      <c r="AL177" s="5"/>
      <c r="AM177" s="5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20"/>
      <c r="BP177" s="20"/>
      <c r="BQ177" s="20"/>
      <c r="BR177" s="20"/>
      <c r="BS177" s="20"/>
      <c r="BT177" s="20"/>
      <c r="BU177" s="20"/>
    </row>
    <row r="178" spans="1:73" ht="30" hidden="1" customHeight="1" x14ac:dyDescent="0.25">
      <c r="A178" s="17"/>
      <c r="B178" s="6" t="s">
        <v>282</v>
      </c>
      <c r="C178" s="11">
        <v>10</v>
      </c>
      <c r="D178" s="98"/>
      <c r="E178" s="18" t="s">
        <v>43</v>
      </c>
      <c r="F178" s="17"/>
      <c r="G178" s="17"/>
      <c r="H178" s="17"/>
      <c r="I178" s="17"/>
      <c r="J178" s="12">
        <v>1</v>
      </c>
      <c r="K178" s="5">
        <v>1</v>
      </c>
      <c r="L178" s="11">
        <v>1</v>
      </c>
      <c r="M178" s="12"/>
      <c r="N178" s="5">
        <v>1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11"/>
      <c r="AK178" s="12"/>
      <c r="AL178" s="5"/>
      <c r="AM178" s="5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20"/>
      <c r="BP178" s="20"/>
      <c r="BQ178" s="20"/>
      <c r="BR178" s="20"/>
      <c r="BS178" s="20"/>
      <c r="BT178" s="20"/>
      <c r="BU178" s="20"/>
    </row>
    <row r="179" spans="1:73" ht="30" hidden="1" customHeight="1" x14ac:dyDescent="0.25">
      <c r="A179" s="17"/>
      <c r="B179" s="6" t="s">
        <v>283</v>
      </c>
      <c r="C179" s="11">
        <v>10</v>
      </c>
      <c r="D179" s="98"/>
      <c r="E179" s="18" t="s">
        <v>43</v>
      </c>
      <c r="F179" s="17"/>
      <c r="G179" s="17"/>
      <c r="H179" s="17"/>
      <c r="I179" s="17"/>
      <c r="J179" s="12">
        <v>1</v>
      </c>
      <c r="K179" s="5">
        <v>1</v>
      </c>
      <c r="L179" s="11">
        <v>1</v>
      </c>
      <c r="M179" s="12"/>
      <c r="N179" s="5">
        <v>1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11"/>
      <c r="AK179" s="12"/>
      <c r="AL179" s="5"/>
      <c r="AM179" s="5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20"/>
      <c r="BP179" s="20"/>
      <c r="BQ179" s="20"/>
      <c r="BR179" s="20"/>
      <c r="BS179" s="20"/>
      <c r="BT179" s="20"/>
      <c r="BU179" s="20"/>
    </row>
    <row r="180" spans="1:73" ht="30" hidden="1" customHeight="1" x14ac:dyDescent="0.25">
      <c r="A180" s="17"/>
      <c r="B180" s="6" t="s">
        <v>284</v>
      </c>
      <c r="C180" s="11">
        <v>10</v>
      </c>
      <c r="D180" s="98"/>
      <c r="E180" s="18" t="s">
        <v>43</v>
      </c>
      <c r="F180" s="17"/>
      <c r="G180" s="17"/>
      <c r="H180" s="17"/>
      <c r="I180" s="17"/>
      <c r="J180" s="12">
        <v>1</v>
      </c>
      <c r="K180" s="5">
        <v>1</v>
      </c>
      <c r="L180" s="11">
        <v>1</v>
      </c>
      <c r="M180" s="12"/>
      <c r="N180" s="5">
        <v>1</v>
      </c>
      <c r="O180" s="5">
        <v>1</v>
      </c>
      <c r="P180" s="5"/>
      <c r="Q180" s="5"/>
      <c r="R180" s="5">
        <v>2</v>
      </c>
      <c r="S180" s="5"/>
      <c r="T180" s="5"/>
      <c r="U180" s="5"/>
      <c r="V180" s="5"/>
      <c r="W180" s="5"/>
      <c r="X180" s="5">
        <v>1</v>
      </c>
      <c r="Y180" s="5"/>
      <c r="Z180" s="5"/>
      <c r="AA180" s="5"/>
      <c r="AB180" s="5"/>
      <c r="AC180" s="5"/>
      <c r="AD180" s="5"/>
      <c r="AE180" s="5">
        <v>1</v>
      </c>
      <c r="AF180" s="5"/>
      <c r="AG180" s="5"/>
      <c r="AH180" s="5"/>
      <c r="AI180" s="5"/>
      <c r="AJ180" s="11">
        <v>1</v>
      </c>
      <c r="AK180" s="12"/>
      <c r="AL180" s="5"/>
      <c r="AM180" s="5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20"/>
      <c r="BP180" s="20"/>
      <c r="BQ180" s="20"/>
      <c r="BR180" s="20"/>
      <c r="BS180" s="20"/>
      <c r="BT180" s="20"/>
      <c r="BU180" s="20"/>
    </row>
    <row r="181" spans="1:73" ht="30" hidden="1" customHeight="1" x14ac:dyDescent="0.25">
      <c r="A181" s="17"/>
      <c r="B181" s="6" t="s">
        <v>285</v>
      </c>
      <c r="C181" s="11">
        <v>10</v>
      </c>
      <c r="D181" s="98"/>
      <c r="E181" s="18" t="s">
        <v>43</v>
      </c>
      <c r="F181" s="17"/>
      <c r="G181" s="17"/>
      <c r="H181" s="17"/>
      <c r="I181" s="17"/>
      <c r="J181" s="12">
        <v>1</v>
      </c>
      <c r="K181" s="7">
        <v>1</v>
      </c>
      <c r="L181" s="13">
        <v>1</v>
      </c>
      <c r="M181" s="14"/>
      <c r="N181" s="7">
        <v>1</v>
      </c>
      <c r="O181" s="7"/>
      <c r="P181" s="7">
        <v>1</v>
      </c>
      <c r="Q181" s="7"/>
      <c r="R181" s="7">
        <v>1</v>
      </c>
      <c r="S181" s="7"/>
      <c r="T181" s="7"/>
      <c r="U181" s="7"/>
      <c r="V181" s="7">
        <v>1</v>
      </c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11">
        <v>1</v>
      </c>
      <c r="AK181" s="12"/>
      <c r="AL181" s="5"/>
      <c r="AM181" s="5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20"/>
      <c r="BP181" s="20"/>
      <c r="BQ181" s="20"/>
      <c r="BR181" s="20"/>
      <c r="BS181" s="20"/>
      <c r="BT181" s="20"/>
      <c r="BU181" s="20"/>
    </row>
    <row r="182" spans="1:73" ht="30" hidden="1" customHeight="1" x14ac:dyDescent="0.25">
      <c r="A182" s="17"/>
      <c r="B182" s="120" t="s">
        <v>286</v>
      </c>
      <c r="C182" s="11">
        <v>9</v>
      </c>
      <c r="D182" s="98"/>
      <c r="E182" s="18" t="s">
        <v>43</v>
      </c>
      <c r="F182" s="17"/>
      <c r="G182" s="17"/>
      <c r="H182" s="17"/>
      <c r="I182" s="17"/>
      <c r="J182" s="12">
        <v>1</v>
      </c>
      <c r="K182" s="7">
        <v>1</v>
      </c>
      <c r="L182" s="13">
        <v>1</v>
      </c>
      <c r="M182" s="12"/>
      <c r="N182" s="7">
        <v>1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11"/>
      <c r="AK182" s="12"/>
      <c r="AL182" s="5"/>
      <c r="AM182" s="5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20"/>
      <c r="BP182" s="20"/>
      <c r="BQ182" s="20"/>
      <c r="BR182" s="20"/>
      <c r="BS182" s="20"/>
      <c r="BT182" s="20"/>
      <c r="BU182" s="20"/>
    </row>
    <row r="183" spans="1:73" ht="30" hidden="1" customHeight="1" x14ac:dyDescent="0.25">
      <c r="A183" s="17"/>
      <c r="B183" s="6" t="s">
        <v>287</v>
      </c>
      <c r="C183" s="11">
        <v>9</v>
      </c>
      <c r="D183" s="98"/>
      <c r="E183" s="18" t="s">
        <v>43</v>
      </c>
      <c r="F183" s="17"/>
      <c r="G183" s="17"/>
      <c r="H183" s="17"/>
      <c r="I183" s="17"/>
      <c r="J183" s="12">
        <v>1</v>
      </c>
      <c r="K183" s="7">
        <v>1</v>
      </c>
      <c r="L183" s="13">
        <v>1</v>
      </c>
      <c r="M183" s="14"/>
      <c r="N183" s="7">
        <v>1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13"/>
      <c r="AK183" s="12"/>
      <c r="AL183" s="5"/>
      <c r="AM183" s="5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20"/>
      <c r="BP183" s="20"/>
      <c r="BQ183" s="20"/>
      <c r="BR183" s="20"/>
      <c r="BS183" s="20"/>
      <c r="BT183" s="20"/>
      <c r="BU183" s="20"/>
    </row>
    <row r="184" spans="1:73" ht="30" hidden="1" customHeight="1" x14ac:dyDescent="0.25">
      <c r="A184" s="17"/>
      <c r="B184" s="6" t="s">
        <v>288</v>
      </c>
      <c r="C184" s="11">
        <v>9</v>
      </c>
      <c r="D184" s="98"/>
      <c r="E184" s="18" t="s">
        <v>43</v>
      </c>
      <c r="F184" s="17"/>
      <c r="G184" s="17"/>
      <c r="H184" s="17"/>
      <c r="I184" s="17"/>
      <c r="J184" s="12">
        <v>1</v>
      </c>
      <c r="K184" s="5">
        <v>1</v>
      </c>
      <c r="L184" s="11">
        <v>1</v>
      </c>
      <c r="M184" s="12"/>
      <c r="N184" s="5">
        <v>1</v>
      </c>
      <c r="O184" s="5"/>
      <c r="P184" s="5"/>
      <c r="Q184" s="5"/>
      <c r="R184" s="5">
        <v>2</v>
      </c>
      <c r="S184" s="5"/>
      <c r="T184" s="5"/>
      <c r="U184" s="5"/>
      <c r="V184" s="5"/>
      <c r="W184" s="5"/>
      <c r="X184" s="5"/>
      <c r="Y184" s="5"/>
      <c r="Z184" s="5">
        <v>2</v>
      </c>
      <c r="AA184" s="5"/>
      <c r="AB184" s="5"/>
      <c r="AC184" s="5"/>
      <c r="AD184" s="5"/>
      <c r="AE184" s="5"/>
      <c r="AF184" s="5"/>
      <c r="AG184" s="5"/>
      <c r="AH184" s="5"/>
      <c r="AI184" s="5"/>
      <c r="AJ184" s="11"/>
      <c r="AK184" s="12"/>
      <c r="AL184" s="5"/>
      <c r="AM184" s="5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20"/>
      <c r="BP184" s="20"/>
      <c r="BQ184" s="20"/>
      <c r="BR184" s="20"/>
      <c r="BS184" s="20"/>
      <c r="BT184" s="20"/>
      <c r="BU184" s="20"/>
    </row>
    <row r="185" spans="1:73" ht="30" hidden="1" customHeight="1" x14ac:dyDescent="0.25">
      <c r="A185" s="17"/>
      <c r="B185" s="6" t="s">
        <v>289</v>
      </c>
      <c r="C185" s="11">
        <v>9</v>
      </c>
      <c r="D185" s="98"/>
      <c r="E185" s="18" t="s">
        <v>43</v>
      </c>
      <c r="F185" s="17"/>
      <c r="G185" s="17"/>
      <c r="H185" s="17"/>
      <c r="I185" s="17"/>
      <c r="J185" s="12">
        <v>1</v>
      </c>
      <c r="K185" s="5">
        <v>1</v>
      </c>
      <c r="L185" s="11">
        <v>1</v>
      </c>
      <c r="M185" s="12"/>
      <c r="N185" s="5">
        <v>1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11"/>
      <c r="AK185" s="12"/>
      <c r="AL185" s="5"/>
      <c r="AM185" s="5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20"/>
      <c r="BP185" s="20"/>
      <c r="BQ185" s="20"/>
      <c r="BR185" s="20"/>
      <c r="BS185" s="20"/>
      <c r="BT185" s="20"/>
      <c r="BU185" s="20"/>
    </row>
    <row r="186" spans="1:73" ht="30" customHeight="1" x14ac:dyDescent="0.25">
      <c r="A186" s="17" t="s">
        <v>290</v>
      </c>
      <c r="B186" s="6" t="s">
        <v>291</v>
      </c>
      <c r="C186" s="11">
        <v>9</v>
      </c>
      <c r="D186" s="98"/>
      <c r="E186" s="18" t="s">
        <v>64</v>
      </c>
      <c r="F186" s="17" t="s">
        <v>66</v>
      </c>
      <c r="G186" s="17" t="s">
        <v>163</v>
      </c>
      <c r="H186" s="17" t="s">
        <v>175</v>
      </c>
      <c r="I186" s="17"/>
      <c r="J186" s="12"/>
      <c r="K186" s="7"/>
      <c r="L186" s="13"/>
      <c r="M186" s="14"/>
      <c r="N186" s="7">
        <v>1</v>
      </c>
      <c r="O186" s="7"/>
      <c r="P186" s="7"/>
      <c r="Q186" s="7"/>
      <c r="R186" s="5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11"/>
      <c r="AK186" s="12"/>
      <c r="AL186" s="5"/>
      <c r="AM186" s="5"/>
      <c r="AN186" s="19">
        <v>3.1</v>
      </c>
      <c r="AO186" s="19">
        <v>3.1</v>
      </c>
      <c r="AP186" s="19">
        <v>2.2000000000000002</v>
      </c>
      <c r="AQ186" s="19"/>
      <c r="AR186" s="19">
        <v>2.2999999999999998</v>
      </c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20"/>
      <c r="BP186" s="20"/>
      <c r="BQ186" s="20"/>
      <c r="BR186" s="20"/>
      <c r="BS186" s="20"/>
      <c r="BT186" s="20"/>
      <c r="BU186" s="20"/>
    </row>
    <row r="187" spans="1:73" ht="30" hidden="1" customHeight="1" x14ac:dyDescent="0.25">
      <c r="A187" s="17"/>
      <c r="B187" s="120" t="s">
        <v>292</v>
      </c>
      <c r="C187" s="11">
        <v>9</v>
      </c>
      <c r="D187" s="98"/>
      <c r="E187" s="18" t="s">
        <v>43</v>
      </c>
      <c r="F187" s="17"/>
      <c r="G187" s="17"/>
      <c r="H187" s="17"/>
      <c r="I187" s="17"/>
      <c r="J187" s="12">
        <v>1</v>
      </c>
      <c r="K187" s="7">
        <v>1</v>
      </c>
      <c r="L187" s="13">
        <v>1</v>
      </c>
      <c r="M187" s="12"/>
      <c r="N187" s="7">
        <v>1</v>
      </c>
      <c r="O187" s="5"/>
      <c r="P187" s="5"/>
      <c r="Q187" s="5"/>
      <c r="R187" s="7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11"/>
      <c r="AK187" s="12"/>
      <c r="AL187" s="5"/>
      <c r="AM187" s="5"/>
      <c r="AN187" s="19"/>
      <c r="AO187" s="99"/>
      <c r="AP187" s="99"/>
      <c r="AQ187" s="99"/>
      <c r="AR187" s="99"/>
      <c r="AS187" s="99"/>
      <c r="AT187" s="99"/>
      <c r="AU187" s="99"/>
      <c r="AV187" s="99"/>
      <c r="AW187" s="99"/>
      <c r="AX187" s="99"/>
      <c r="AY187" s="99"/>
      <c r="AZ187" s="99"/>
      <c r="BA187" s="99"/>
      <c r="BB187" s="99"/>
      <c r="BC187" s="99"/>
      <c r="BD187" s="99"/>
      <c r="BE187" s="99"/>
      <c r="BF187" s="99"/>
      <c r="BG187" s="99"/>
      <c r="BH187" s="99"/>
      <c r="BI187" s="99"/>
      <c r="BJ187" s="99"/>
      <c r="BK187" s="99"/>
      <c r="BL187" s="99"/>
      <c r="BM187" s="99"/>
      <c r="BN187" s="99"/>
      <c r="BO187" s="20"/>
      <c r="BP187" s="20"/>
      <c r="BQ187" s="20"/>
      <c r="BR187" s="20"/>
      <c r="BS187" s="20"/>
      <c r="BT187" s="20"/>
      <c r="BU187" s="20"/>
    </row>
    <row r="188" spans="1:73" ht="30" hidden="1" customHeight="1" x14ac:dyDescent="0.25">
      <c r="A188" s="17"/>
      <c r="B188" s="136" t="s">
        <v>293</v>
      </c>
      <c r="C188" s="11">
        <v>9</v>
      </c>
      <c r="D188" s="98"/>
      <c r="E188" s="18" t="s">
        <v>43</v>
      </c>
      <c r="F188" s="17"/>
      <c r="G188" s="17"/>
      <c r="H188" s="17"/>
      <c r="I188" s="17"/>
      <c r="J188" s="12">
        <v>1</v>
      </c>
      <c r="K188" s="5">
        <v>1</v>
      </c>
      <c r="L188" s="11">
        <v>1</v>
      </c>
      <c r="M188" s="12"/>
      <c r="N188" s="5">
        <v>1</v>
      </c>
      <c r="O188" s="5"/>
      <c r="P188" s="5"/>
      <c r="Q188" s="5"/>
      <c r="R188" s="5">
        <v>1</v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>
        <v>1</v>
      </c>
      <c r="AF188" s="5"/>
      <c r="AG188" s="5"/>
      <c r="AH188" s="5"/>
      <c r="AI188" s="5"/>
      <c r="AJ188" s="11"/>
      <c r="AK188" s="12"/>
      <c r="AL188" s="5"/>
      <c r="AM188" s="5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20"/>
      <c r="BP188" s="20"/>
      <c r="BQ188" s="20"/>
      <c r="BR188" s="20"/>
      <c r="BS188" s="20"/>
      <c r="BT188" s="20"/>
      <c r="BU188" s="20"/>
    </row>
    <row r="189" spans="1:73" ht="30" hidden="1" customHeight="1" x14ac:dyDescent="0.25">
      <c r="A189" s="17"/>
      <c r="B189" s="6" t="s">
        <v>294</v>
      </c>
      <c r="C189" s="11">
        <v>9</v>
      </c>
      <c r="D189" s="98"/>
      <c r="E189" s="18" t="s">
        <v>43</v>
      </c>
      <c r="F189" s="17"/>
      <c r="G189" s="17"/>
      <c r="H189" s="17"/>
      <c r="I189" s="17"/>
      <c r="J189" s="12">
        <v>1</v>
      </c>
      <c r="K189" s="5">
        <v>1</v>
      </c>
      <c r="L189" s="11">
        <v>1</v>
      </c>
      <c r="M189" s="12"/>
      <c r="N189" s="5">
        <v>1</v>
      </c>
      <c r="O189" s="5"/>
      <c r="P189" s="5"/>
      <c r="Q189" s="5"/>
      <c r="R189" s="5">
        <v>2</v>
      </c>
      <c r="S189" s="5"/>
      <c r="T189" s="5"/>
      <c r="U189" s="5"/>
      <c r="V189" s="5"/>
      <c r="W189" s="5"/>
      <c r="X189" s="5">
        <v>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11">
        <v>1</v>
      </c>
      <c r="AK189" s="12"/>
      <c r="AL189" s="5"/>
      <c r="AM189" s="5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20"/>
      <c r="BP189" s="20"/>
      <c r="BQ189" s="20"/>
      <c r="BR189" s="20"/>
      <c r="BS189" s="20"/>
      <c r="BT189" s="20"/>
      <c r="BU189" s="20"/>
    </row>
    <row r="190" spans="1:73" ht="30" hidden="1" customHeight="1" x14ac:dyDescent="0.25">
      <c r="A190" s="17"/>
      <c r="B190" s="6" t="s">
        <v>295</v>
      </c>
      <c r="C190" s="11">
        <v>9</v>
      </c>
      <c r="D190" s="98"/>
      <c r="E190" s="18" t="s">
        <v>43</v>
      </c>
      <c r="F190" s="17"/>
      <c r="G190" s="17"/>
      <c r="H190" s="17"/>
      <c r="I190" s="17"/>
      <c r="J190" s="12">
        <v>1</v>
      </c>
      <c r="K190" s="5">
        <v>1</v>
      </c>
      <c r="L190" s="11">
        <v>1</v>
      </c>
      <c r="M190" s="12"/>
      <c r="N190" s="5">
        <v>1</v>
      </c>
      <c r="O190" s="5"/>
      <c r="P190" s="5"/>
      <c r="Q190" s="5"/>
      <c r="R190" s="5">
        <v>1</v>
      </c>
      <c r="S190" s="5"/>
      <c r="T190" s="5"/>
      <c r="U190" s="5"/>
      <c r="V190" s="5"/>
      <c r="W190" s="5"/>
      <c r="X190" s="5">
        <v>1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137">
        <v>1</v>
      </c>
      <c r="AK190" s="12"/>
      <c r="AL190" s="5"/>
      <c r="AM190" s="5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20"/>
      <c r="BP190" s="20"/>
      <c r="BQ190" s="20"/>
      <c r="BR190" s="20"/>
      <c r="BS190" s="20"/>
      <c r="BT190" s="20"/>
      <c r="BU190" s="20"/>
    </row>
    <row r="191" spans="1:73" ht="30" hidden="1" customHeight="1" x14ac:dyDescent="0.25">
      <c r="A191" s="17"/>
      <c r="B191" s="10" t="s">
        <v>296</v>
      </c>
      <c r="C191" s="11">
        <v>9</v>
      </c>
      <c r="D191" s="98"/>
      <c r="E191" s="18" t="s">
        <v>43</v>
      </c>
      <c r="F191" s="17"/>
      <c r="G191" s="17"/>
      <c r="H191" s="17"/>
      <c r="I191" s="17"/>
      <c r="J191" s="12">
        <v>1</v>
      </c>
      <c r="K191" s="5">
        <v>1</v>
      </c>
      <c r="L191" s="11">
        <v>1</v>
      </c>
      <c r="M191" s="12"/>
      <c r="N191" s="5">
        <v>1</v>
      </c>
      <c r="O191" s="5"/>
      <c r="P191" s="5"/>
      <c r="Q191" s="5"/>
      <c r="R191" s="5">
        <v>1</v>
      </c>
      <c r="S191" s="5"/>
      <c r="T191" s="5"/>
      <c r="U191" s="5"/>
      <c r="V191" s="5"/>
      <c r="W191" s="5"/>
      <c r="X191" s="5">
        <v>1</v>
      </c>
      <c r="Y191" s="5">
        <v>1</v>
      </c>
      <c r="Z191" s="5"/>
      <c r="AA191" s="5"/>
      <c r="AB191" s="5"/>
      <c r="AC191" s="5">
        <v>1</v>
      </c>
      <c r="AD191" s="5"/>
      <c r="AE191" s="5"/>
      <c r="AF191" s="5"/>
      <c r="AG191" s="5"/>
      <c r="AH191" s="5"/>
      <c r="AI191" s="5"/>
      <c r="AJ191" s="11"/>
      <c r="AK191" s="12"/>
      <c r="AL191" s="5"/>
      <c r="AM191" s="5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20"/>
      <c r="BP191" s="20"/>
      <c r="BQ191" s="20"/>
      <c r="BR191" s="20"/>
      <c r="BS191" s="20"/>
      <c r="BT191" s="20"/>
      <c r="BU191" s="20"/>
    </row>
    <row r="192" spans="1:73" ht="30" hidden="1" customHeight="1" x14ac:dyDescent="0.25">
      <c r="A192" s="17"/>
      <c r="B192" s="6" t="s">
        <v>297</v>
      </c>
      <c r="C192" s="11">
        <v>9</v>
      </c>
      <c r="D192" s="98"/>
      <c r="E192" s="18" t="s">
        <v>43</v>
      </c>
      <c r="F192" s="17"/>
      <c r="G192" s="17"/>
      <c r="H192" s="17"/>
      <c r="I192" s="17"/>
      <c r="J192" s="12">
        <v>1</v>
      </c>
      <c r="K192" s="5">
        <v>1</v>
      </c>
      <c r="L192" s="11">
        <v>1</v>
      </c>
      <c r="M192" s="12"/>
      <c r="N192" s="5">
        <v>1</v>
      </c>
      <c r="O192" s="5"/>
      <c r="P192" s="5"/>
      <c r="Q192" s="5"/>
      <c r="R192" s="5">
        <v>1</v>
      </c>
      <c r="S192" s="5"/>
      <c r="T192" s="5"/>
      <c r="U192" s="5"/>
      <c r="V192" s="5"/>
      <c r="W192" s="5"/>
      <c r="X192" s="5">
        <v>1</v>
      </c>
      <c r="Y192" s="5"/>
      <c r="Z192" s="5"/>
      <c r="AA192" s="5"/>
      <c r="AB192" s="5"/>
      <c r="AC192" s="5">
        <v>1</v>
      </c>
      <c r="AD192" s="5"/>
      <c r="AE192" s="5"/>
      <c r="AF192" s="5"/>
      <c r="AG192" s="5"/>
      <c r="AH192" s="5"/>
      <c r="AI192" s="5">
        <v>2</v>
      </c>
      <c r="AJ192" s="11"/>
      <c r="AK192" s="12"/>
      <c r="AL192" s="5"/>
      <c r="AM192" s="5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20"/>
      <c r="BP192" s="20"/>
      <c r="BQ192" s="20"/>
      <c r="BR192" s="20"/>
      <c r="BS192" s="20"/>
      <c r="BT192" s="20"/>
      <c r="BU192" s="20"/>
    </row>
    <row r="193" spans="1:73" ht="30" hidden="1" customHeight="1" x14ac:dyDescent="0.25">
      <c r="A193" s="17"/>
      <c r="B193" s="6" t="s">
        <v>298</v>
      </c>
      <c r="C193" s="11">
        <v>8</v>
      </c>
      <c r="D193" s="98"/>
      <c r="E193" s="18" t="s">
        <v>43</v>
      </c>
      <c r="F193" s="17"/>
      <c r="G193" s="17"/>
      <c r="H193" s="17"/>
      <c r="I193" s="17"/>
      <c r="J193" s="14">
        <v>1</v>
      </c>
      <c r="K193" s="5">
        <v>1</v>
      </c>
      <c r="L193" s="11">
        <v>1</v>
      </c>
      <c r="M193" s="12"/>
      <c r="N193" s="5">
        <v>1</v>
      </c>
      <c r="O193" s="5"/>
      <c r="P193" s="5"/>
      <c r="Q193" s="5"/>
      <c r="R193" s="5">
        <v>1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11">
        <v>1</v>
      </c>
      <c r="AK193" s="12"/>
      <c r="AL193" s="5"/>
      <c r="AM193" s="5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20"/>
      <c r="BP193" s="20"/>
      <c r="BQ193" s="20"/>
      <c r="BR193" s="20"/>
      <c r="BS193" s="20"/>
      <c r="BT193" s="20"/>
      <c r="BU193" s="20"/>
    </row>
    <row r="194" spans="1:73" ht="30" hidden="1" customHeight="1" x14ac:dyDescent="0.25">
      <c r="A194" s="17"/>
      <c r="B194" s="6" t="s">
        <v>299</v>
      </c>
      <c r="C194" s="11">
        <v>8</v>
      </c>
      <c r="D194" s="98"/>
      <c r="E194" s="18" t="s">
        <v>43</v>
      </c>
      <c r="F194" s="17"/>
      <c r="G194" s="17"/>
      <c r="H194" s="17"/>
      <c r="I194" s="17"/>
      <c r="J194" s="12">
        <v>1</v>
      </c>
      <c r="K194" s="5">
        <v>1</v>
      </c>
      <c r="L194" s="11">
        <v>1</v>
      </c>
      <c r="M194" s="12"/>
      <c r="N194" s="5">
        <v>1</v>
      </c>
      <c r="O194" s="5"/>
      <c r="P194" s="5"/>
      <c r="Q194" s="5"/>
      <c r="R194" s="5">
        <v>1</v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11">
        <v>1</v>
      </c>
      <c r="AK194" s="12"/>
      <c r="AL194" s="5"/>
      <c r="AM194" s="5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20"/>
      <c r="BP194" s="20"/>
      <c r="BQ194" s="20"/>
      <c r="BR194" s="20"/>
      <c r="BS194" s="20"/>
      <c r="BT194" s="20"/>
      <c r="BU194" s="20"/>
    </row>
    <row r="195" spans="1:73" ht="30" hidden="1" customHeight="1" x14ac:dyDescent="0.25">
      <c r="A195" s="17"/>
      <c r="B195" s="6" t="s">
        <v>300</v>
      </c>
      <c r="C195" s="11">
        <v>8</v>
      </c>
      <c r="D195" s="98"/>
      <c r="E195" s="18" t="s">
        <v>43</v>
      </c>
      <c r="F195" s="17"/>
      <c r="G195" s="17"/>
      <c r="H195" s="17"/>
      <c r="I195" s="17"/>
      <c r="J195" s="12">
        <v>1</v>
      </c>
      <c r="K195" s="5">
        <v>1</v>
      </c>
      <c r="L195" s="11">
        <v>1</v>
      </c>
      <c r="M195" s="12"/>
      <c r="N195" s="5">
        <v>1</v>
      </c>
      <c r="O195" s="5"/>
      <c r="P195" s="5"/>
      <c r="Q195" s="5"/>
      <c r="R195" s="5">
        <v>1</v>
      </c>
      <c r="S195" s="5"/>
      <c r="T195" s="5"/>
      <c r="U195" s="5"/>
      <c r="V195" s="5"/>
      <c r="W195" s="5"/>
      <c r="X195" s="5">
        <v>1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11">
        <v>1</v>
      </c>
      <c r="AK195" s="12"/>
      <c r="AL195" s="5"/>
      <c r="AM195" s="5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20"/>
      <c r="BP195" s="20"/>
      <c r="BQ195" s="20"/>
      <c r="BR195" s="20"/>
      <c r="BS195" s="20"/>
      <c r="BT195" s="20"/>
      <c r="BU195" s="20"/>
    </row>
    <row r="196" spans="1:73" ht="30" hidden="1" customHeight="1" x14ac:dyDescent="0.25">
      <c r="A196" s="17"/>
      <c r="B196" s="6" t="s">
        <v>301</v>
      </c>
      <c r="C196" s="11">
        <v>8</v>
      </c>
      <c r="D196" s="98"/>
      <c r="E196" s="18" t="s">
        <v>43</v>
      </c>
      <c r="F196" s="17"/>
      <c r="G196" s="17"/>
      <c r="H196" s="17"/>
      <c r="I196" s="17"/>
      <c r="J196" s="12">
        <v>1</v>
      </c>
      <c r="K196" s="5">
        <v>1</v>
      </c>
      <c r="L196" s="11">
        <v>1</v>
      </c>
      <c r="M196" s="12"/>
      <c r="N196" s="5">
        <v>1</v>
      </c>
      <c r="O196" s="5"/>
      <c r="P196" s="5"/>
      <c r="Q196" s="5"/>
      <c r="R196" s="5">
        <v>1</v>
      </c>
      <c r="S196" s="5"/>
      <c r="T196" s="5"/>
      <c r="U196" s="5"/>
      <c r="V196" s="5"/>
      <c r="W196" s="5"/>
      <c r="X196" s="5">
        <v>1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11">
        <v>1</v>
      </c>
      <c r="AK196" s="12"/>
      <c r="AL196" s="5"/>
      <c r="AM196" s="5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20"/>
      <c r="BP196" s="20"/>
      <c r="BQ196" s="20"/>
      <c r="BR196" s="20"/>
      <c r="BS196" s="20"/>
      <c r="BT196" s="20"/>
      <c r="BU196" s="20"/>
    </row>
    <row r="197" spans="1:73" ht="30" hidden="1" customHeight="1" x14ac:dyDescent="0.25">
      <c r="A197" s="17"/>
      <c r="B197" s="6" t="s">
        <v>302</v>
      </c>
      <c r="C197" s="11">
        <v>8</v>
      </c>
      <c r="D197" s="98"/>
      <c r="E197" s="18" t="s">
        <v>43</v>
      </c>
      <c r="F197" s="17"/>
      <c r="G197" s="17"/>
      <c r="H197" s="17"/>
      <c r="I197" s="17"/>
      <c r="J197" s="12">
        <v>1</v>
      </c>
      <c r="K197" s="5">
        <v>1</v>
      </c>
      <c r="L197" s="11">
        <v>1</v>
      </c>
      <c r="M197" s="12"/>
      <c r="N197" s="5">
        <v>1</v>
      </c>
      <c r="O197" s="5"/>
      <c r="P197" s="5"/>
      <c r="Q197" s="5"/>
      <c r="R197" s="5">
        <v>1</v>
      </c>
      <c r="S197" s="5"/>
      <c r="T197" s="5"/>
      <c r="U197" s="5"/>
      <c r="V197" s="5"/>
      <c r="W197" s="5"/>
      <c r="X197" s="5">
        <v>1</v>
      </c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11"/>
      <c r="AK197" s="12"/>
      <c r="AL197" s="5"/>
      <c r="AM197" s="5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20"/>
      <c r="BP197" s="20"/>
      <c r="BQ197" s="20"/>
      <c r="BR197" s="20"/>
      <c r="BS197" s="20"/>
      <c r="BT197" s="20"/>
      <c r="BU197" s="20"/>
    </row>
    <row r="198" spans="1:73" ht="30" customHeight="1" x14ac:dyDescent="0.25">
      <c r="A198" s="17" t="s">
        <v>303</v>
      </c>
      <c r="B198" s="6" t="s">
        <v>44</v>
      </c>
      <c r="C198" s="11">
        <v>10</v>
      </c>
      <c r="D198" s="98"/>
      <c r="E198" s="18" t="s">
        <v>64</v>
      </c>
      <c r="F198" s="17" t="s">
        <v>41</v>
      </c>
      <c r="G198" s="17" t="s">
        <v>167</v>
      </c>
      <c r="H198" s="17" t="s">
        <v>226</v>
      </c>
      <c r="I198" s="17"/>
      <c r="J198" s="12">
        <v>1</v>
      </c>
      <c r="K198" s="5">
        <v>1</v>
      </c>
      <c r="L198" s="11">
        <v>1</v>
      </c>
      <c r="M198" s="12"/>
      <c r="N198" s="5">
        <v>1</v>
      </c>
      <c r="O198" s="5"/>
      <c r="P198" s="5"/>
      <c r="Q198" s="5"/>
      <c r="R198" s="5">
        <v>1</v>
      </c>
      <c r="S198" s="5"/>
      <c r="T198" s="5"/>
      <c r="U198" s="5"/>
      <c r="V198" s="5"/>
      <c r="W198" s="5"/>
      <c r="X198" s="5">
        <v>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11"/>
      <c r="AK198" s="12"/>
      <c r="AL198" s="5"/>
      <c r="AM198" s="5"/>
      <c r="AN198" s="19">
        <v>3.4</v>
      </c>
      <c r="AO198" s="19">
        <v>2.1</v>
      </c>
      <c r="AP198" s="19">
        <v>2.5</v>
      </c>
      <c r="AQ198" s="19"/>
      <c r="AR198" s="19">
        <v>2.2999999999999998</v>
      </c>
      <c r="AS198" s="19"/>
      <c r="AT198" s="19"/>
      <c r="AU198" s="19"/>
      <c r="AV198" s="19">
        <v>3.9</v>
      </c>
      <c r="AW198" s="19"/>
      <c r="AX198" s="19"/>
      <c r="AY198" s="19"/>
      <c r="AZ198" s="19"/>
      <c r="BA198" s="19"/>
      <c r="BB198" s="19">
        <v>2.6</v>
      </c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>
        <v>2.9</v>
      </c>
      <c r="BO198" s="20"/>
      <c r="BP198" s="20"/>
      <c r="BQ198" s="20"/>
      <c r="BR198" s="20"/>
      <c r="BS198" s="20"/>
      <c r="BT198" s="20"/>
      <c r="BU198" s="20"/>
    </row>
    <row r="199" spans="1:73" ht="30" hidden="1" customHeight="1" x14ac:dyDescent="0.25">
      <c r="A199" s="17"/>
      <c r="B199" s="6" t="s">
        <v>304</v>
      </c>
      <c r="C199" s="11">
        <v>8</v>
      </c>
      <c r="D199" s="98"/>
      <c r="E199" s="18" t="s">
        <v>64</v>
      </c>
      <c r="F199" s="17"/>
      <c r="G199" s="17"/>
      <c r="H199" s="17" t="s">
        <v>226</v>
      </c>
      <c r="I199" s="17"/>
      <c r="J199" s="12">
        <v>1</v>
      </c>
      <c r="K199" s="5">
        <v>1</v>
      </c>
      <c r="L199" s="11">
        <v>1</v>
      </c>
      <c r="M199" s="12"/>
      <c r="N199" s="5">
        <v>1</v>
      </c>
      <c r="O199" s="5"/>
      <c r="P199" s="5"/>
      <c r="Q199" s="5">
        <v>1</v>
      </c>
      <c r="R199" s="5">
        <v>1</v>
      </c>
      <c r="S199" s="5"/>
      <c r="T199" s="5"/>
      <c r="U199" s="5"/>
      <c r="V199" s="5"/>
      <c r="W199" s="5"/>
      <c r="X199" s="5">
        <v>1</v>
      </c>
      <c r="Y199" s="5"/>
      <c r="Z199" s="5"/>
      <c r="AA199" s="5">
        <v>1</v>
      </c>
      <c r="AB199" s="5"/>
      <c r="AC199" s="5"/>
      <c r="AD199" s="5"/>
      <c r="AE199" s="5"/>
      <c r="AF199" s="5"/>
      <c r="AG199" s="5"/>
      <c r="AH199" s="5"/>
      <c r="AI199" s="5"/>
      <c r="AJ199" s="11"/>
      <c r="AK199" s="12"/>
      <c r="AL199" s="5"/>
      <c r="AM199" s="5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20"/>
      <c r="BP199" s="20"/>
      <c r="BQ199" s="20"/>
      <c r="BR199" s="20"/>
      <c r="BS199" s="20"/>
      <c r="BT199" s="20"/>
      <c r="BU199" s="20"/>
    </row>
    <row r="200" spans="1:73" ht="30" hidden="1" customHeight="1" x14ac:dyDescent="0.25">
      <c r="A200" s="17"/>
      <c r="B200" s="6" t="s">
        <v>305</v>
      </c>
      <c r="C200" s="11">
        <v>8</v>
      </c>
      <c r="D200" s="98"/>
      <c r="E200" s="18" t="s">
        <v>64</v>
      </c>
      <c r="F200" s="17"/>
      <c r="G200" s="17"/>
      <c r="H200" s="17" t="s">
        <v>226</v>
      </c>
      <c r="I200" s="17"/>
      <c r="J200" s="12">
        <v>1</v>
      </c>
      <c r="K200" s="5">
        <v>1</v>
      </c>
      <c r="L200" s="11">
        <v>1</v>
      </c>
      <c r="M200" s="12"/>
      <c r="N200" s="5">
        <v>1</v>
      </c>
      <c r="O200" s="5"/>
      <c r="P200" s="5"/>
      <c r="Q200" s="5"/>
      <c r="R200" s="5">
        <v>2</v>
      </c>
      <c r="S200" s="5"/>
      <c r="T200" s="5"/>
      <c r="U200" s="5"/>
      <c r="V200" s="5"/>
      <c r="W200" s="5"/>
      <c r="X200" s="5">
        <v>2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11">
        <v>1</v>
      </c>
      <c r="AK200" s="12"/>
      <c r="AL200" s="5"/>
      <c r="AM200" s="5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20"/>
      <c r="BP200" s="20"/>
      <c r="BQ200" s="20"/>
      <c r="BR200" s="20"/>
      <c r="BS200" s="20"/>
      <c r="BT200" s="20"/>
      <c r="BU200" s="20"/>
    </row>
    <row r="201" spans="1:73" ht="30" hidden="1" customHeight="1" x14ac:dyDescent="0.25">
      <c r="A201" s="17"/>
      <c r="B201" s="6" t="s">
        <v>306</v>
      </c>
      <c r="C201" s="11">
        <v>8</v>
      </c>
      <c r="D201" s="98"/>
      <c r="E201" s="18" t="s">
        <v>64</v>
      </c>
      <c r="F201" s="17"/>
      <c r="G201" s="17"/>
      <c r="H201" s="17" t="s">
        <v>226</v>
      </c>
      <c r="I201" s="17"/>
      <c r="J201" s="12">
        <v>1</v>
      </c>
      <c r="K201" s="5">
        <v>1</v>
      </c>
      <c r="L201" s="11">
        <v>1</v>
      </c>
      <c r="M201" s="12"/>
      <c r="N201" s="5">
        <v>1</v>
      </c>
      <c r="O201" s="5"/>
      <c r="P201" s="5"/>
      <c r="Q201" s="5"/>
      <c r="R201" s="5">
        <v>1</v>
      </c>
      <c r="S201" s="5"/>
      <c r="T201" s="5"/>
      <c r="U201" s="5"/>
      <c r="V201" s="5"/>
      <c r="W201" s="5"/>
      <c r="X201" s="5">
        <v>1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11">
        <v>1</v>
      </c>
      <c r="AK201" s="12"/>
      <c r="AL201" s="5"/>
      <c r="AM201" s="5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20"/>
      <c r="BP201" s="20"/>
      <c r="BQ201" s="20"/>
      <c r="BR201" s="20"/>
      <c r="BS201" s="20"/>
      <c r="BT201" s="20"/>
      <c r="BU201" s="20"/>
    </row>
    <row r="202" spans="1:73" ht="30" hidden="1" customHeight="1" x14ac:dyDescent="0.25">
      <c r="A202" s="17"/>
      <c r="B202" s="6" t="s">
        <v>307</v>
      </c>
      <c r="C202" s="11">
        <v>8</v>
      </c>
      <c r="D202" s="98"/>
      <c r="E202" s="18" t="s">
        <v>64</v>
      </c>
      <c r="F202" s="17"/>
      <c r="G202" s="17"/>
      <c r="H202" s="17" t="s">
        <v>226</v>
      </c>
      <c r="I202" s="17"/>
      <c r="J202" s="12">
        <v>1</v>
      </c>
      <c r="K202" s="5">
        <v>1</v>
      </c>
      <c r="L202" s="11">
        <v>1</v>
      </c>
      <c r="M202" s="12"/>
      <c r="N202" s="5">
        <v>1</v>
      </c>
      <c r="O202" s="5"/>
      <c r="P202" s="5"/>
      <c r="Q202" s="5"/>
      <c r="R202" s="5">
        <v>1</v>
      </c>
      <c r="S202" s="5"/>
      <c r="T202" s="5"/>
      <c r="U202" s="5"/>
      <c r="V202" s="5"/>
      <c r="W202" s="5"/>
      <c r="X202" s="5">
        <v>1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11">
        <v>1</v>
      </c>
      <c r="AK202" s="12"/>
      <c r="AL202" s="5"/>
      <c r="AM202" s="5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20"/>
      <c r="BP202" s="20"/>
      <c r="BQ202" s="20"/>
      <c r="BR202" s="20"/>
      <c r="BS202" s="20"/>
      <c r="BT202" s="20"/>
      <c r="BU202" s="20"/>
    </row>
    <row r="203" spans="1:73" ht="30" hidden="1" customHeight="1" x14ac:dyDescent="0.25">
      <c r="A203" s="17"/>
      <c r="B203" s="6" t="s">
        <v>308</v>
      </c>
      <c r="C203" s="11">
        <v>8</v>
      </c>
      <c r="D203" s="98"/>
      <c r="E203" s="18" t="s">
        <v>64</v>
      </c>
      <c r="F203" s="17"/>
      <c r="G203" s="17"/>
      <c r="H203" s="17" t="s">
        <v>226</v>
      </c>
      <c r="I203" s="17"/>
      <c r="J203" s="12">
        <v>1</v>
      </c>
      <c r="K203" s="5">
        <v>1</v>
      </c>
      <c r="L203" s="11">
        <v>1</v>
      </c>
      <c r="M203" s="12"/>
      <c r="N203" s="5">
        <v>1</v>
      </c>
      <c r="O203" s="5"/>
      <c r="P203" s="5"/>
      <c r="Q203" s="5"/>
      <c r="R203" s="5">
        <v>2</v>
      </c>
      <c r="S203" s="5"/>
      <c r="T203" s="5"/>
      <c r="U203" s="5">
        <v>1</v>
      </c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>
        <v>1</v>
      </c>
      <c r="AI203" s="5"/>
      <c r="AJ203" s="11"/>
      <c r="AK203" s="12"/>
      <c r="AL203" s="5"/>
      <c r="AM203" s="5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20"/>
      <c r="BP203" s="20"/>
      <c r="BQ203" s="20"/>
      <c r="BR203" s="20"/>
      <c r="BS203" s="20"/>
      <c r="BT203" s="20"/>
      <c r="BU203" s="20"/>
    </row>
    <row r="204" spans="1:73" s="119" customFormat="1" ht="30" customHeight="1" x14ac:dyDescent="0.25">
      <c r="A204" s="109" t="s">
        <v>309</v>
      </c>
      <c r="B204" s="110" t="s">
        <v>310</v>
      </c>
      <c r="C204" s="111">
        <v>10</v>
      </c>
      <c r="D204" s="112"/>
      <c r="E204" s="113" t="s">
        <v>64</v>
      </c>
      <c r="F204" s="109" t="s">
        <v>65</v>
      </c>
      <c r="G204" s="109" t="s">
        <v>203</v>
      </c>
      <c r="H204" s="109" t="s">
        <v>226</v>
      </c>
      <c r="I204" s="109"/>
      <c r="J204" s="114">
        <v>1</v>
      </c>
      <c r="K204" s="115">
        <v>1</v>
      </c>
      <c r="L204" s="111">
        <v>1</v>
      </c>
      <c r="M204" s="114"/>
      <c r="N204" s="115">
        <v>1</v>
      </c>
      <c r="O204" s="115"/>
      <c r="P204" s="115"/>
      <c r="Q204" s="115"/>
      <c r="R204" s="115">
        <v>2</v>
      </c>
      <c r="S204" s="115"/>
      <c r="T204" s="115"/>
      <c r="U204" s="115">
        <v>1</v>
      </c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>
        <v>1</v>
      </c>
      <c r="AI204" s="115"/>
      <c r="AJ204" s="111"/>
      <c r="AK204" s="114"/>
      <c r="AL204" s="115"/>
      <c r="AM204" s="115"/>
      <c r="AN204" s="116">
        <v>3.8</v>
      </c>
      <c r="AO204" s="116">
        <v>3.8</v>
      </c>
      <c r="AP204" s="116">
        <v>3.5</v>
      </c>
      <c r="AQ204" s="116"/>
      <c r="AR204" s="116">
        <v>3.6</v>
      </c>
      <c r="AS204" s="116"/>
      <c r="AT204" s="116"/>
      <c r="AU204" s="116"/>
      <c r="AV204" s="116"/>
      <c r="AW204" s="116">
        <v>3.8</v>
      </c>
      <c r="AX204" s="116"/>
      <c r="AY204" s="116"/>
      <c r="AZ204" s="116"/>
      <c r="BA204" s="116"/>
      <c r="BB204" s="116"/>
      <c r="BC204" s="116"/>
      <c r="BD204" s="116"/>
      <c r="BE204" s="116"/>
      <c r="BF204" s="116"/>
      <c r="BG204" s="116"/>
      <c r="BH204" s="116"/>
      <c r="BI204" s="116"/>
      <c r="BJ204" s="116"/>
      <c r="BK204" s="116">
        <v>3.6</v>
      </c>
      <c r="BL204" s="116"/>
      <c r="BM204" s="116"/>
      <c r="BN204" s="116"/>
      <c r="BO204" s="118"/>
      <c r="BP204" s="118"/>
      <c r="BQ204" s="118"/>
      <c r="BR204" s="118"/>
      <c r="BS204" s="118"/>
      <c r="BT204" s="118"/>
      <c r="BU204" s="118"/>
    </row>
    <row r="205" spans="1:73" ht="30" customHeight="1" x14ac:dyDescent="0.25">
      <c r="A205" s="17" t="s">
        <v>311</v>
      </c>
      <c r="B205" s="6" t="s">
        <v>58</v>
      </c>
      <c r="C205" s="11">
        <v>8</v>
      </c>
      <c r="D205" s="98">
        <v>6</v>
      </c>
      <c r="E205" s="18" t="s">
        <v>64</v>
      </c>
      <c r="F205" s="17" t="s">
        <v>65</v>
      </c>
      <c r="G205" s="17" t="s">
        <v>203</v>
      </c>
      <c r="H205" s="17" t="s">
        <v>177</v>
      </c>
      <c r="I205" s="17"/>
      <c r="J205" s="12">
        <v>1</v>
      </c>
      <c r="K205" s="7">
        <v>1</v>
      </c>
      <c r="L205" s="13">
        <v>1</v>
      </c>
      <c r="M205" s="14"/>
      <c r="N205" s="7">
        <v>1</v>
      </c>
      <c r="O205" s="7"/>
      <c r="P205" s="7"/>
      <c r="Q205" s="7"/>
      <c r="R205" s="7">
        <v>1</v>
      </c>
      <c r="S205" s="7"/>
      <c r="T205" s="7"/>
      <c r="U205" s="7">
        <v>1</v>
      </c>
      <c r="V205" s="7"/>
      <c r="W205" s="7"/>
      <c r="X205" s="7"/>
      <c r="Y205" s="7"/>
      <c r="Z205" s="7"/>
      <c r="AA205" s="7"/>
      <c r="AB205" s="7"/>
      <c r="AC205" s="7">
        <v>1</v>
      </c>
      <c r="AD205" s="7"/>
      <c r="AE205" s="7"/>
      <c r="AF205" s="7"/>
      <c r="AG205" s="7"/>
      <c r="AH205" s="7">
        <v>1</v>
      </c>
      <c r="AI205" s="7"/>
      <c r="AJ205" s="15"/>
      <c r="AK205" s="12"/>
      <c r="AL205" s="5"/>
      <c r="AM205" s="5"/>
      <c r="AN205" s="19">
        <v>3.9</v>
      </c>
      <c r="AO205" s="19">
        <v>3.9</v>
      </c>
      <c r="AP205" s="19">
        <v>3.6</v>
      </c>
      <c r="AQ205" s="19"/>
      <c r="AR205" s="19">
        <v>3.7</v>
      </c>
      <c r="AS205" s="19"/>
      <c r="AT205" s="19"/>
      <c r="AU205" s="19"/>
      <c r="AV205" s="19">
        <v>3.9</v>
      </c>
      <c r="AW205" s="19"/>
      <c r="AX205" s="19"/>
      <c r="AY205" s="19">
        <v>3.8</v>
      </c>
      <c r="AZ205" s="19"/>
      <c r="BA205" s="19"/>
      <c r="BB205" s="19"/>
      <c r="BC205" s="19"/>
      <c r="BD205" s="19"/>
      <c r="BE205" s="19"/>
      <c r="BF205" s="19"/>
      <c r="BG205" s="19">
        <v>3.8</v>
      </c>
      <c r="BH205" s="19"/>
      <c r="BI205" s="19"/>
      <c r="BJ205" s="19"/>
      <c r="BK205" s="19">
        <v>3.6</v>
      </c>
      <c r="BL205" s="19">
        <v>3.4</v>
      </c>
      <c r="BM205" s="19"/>
      <c r="BN205" s="19"/>
      <c r="BO205" s="20"/>
      <c r="BP205" s="20"/>
      <c r="BQ205" s="20"/>
      <c r="BR205" s="20"/>
      <c r="BS205" s="20"/>
      <c r="BT205" s="20"/>
      <c r="BU205" s="20"/>
    </row>
    <row r="206" spans="1:73" ht="30" hidden="1" customHeight="1" x14ac:dyDescent="0.25">
      <c r="A206" s="17"/>
      <c r="B206" s="6" t="s">
        <v>312</v>
      </c>
      <c r="C206" s="11">
        <v>8</v>
      </c>
      <c r="D206" s="98"/>
      <c r="E206" s="18" t="s">
        <v>43</v>
      </c>
      <c r="F206" s="17"/>
      <c r="G206" s="17"/>
      <c r="H206" s="17"/>
      <c r="I206" s="17"/>
      <c r="J206" s="12">
        <v>1</v>
      </c>
      <c r="K206" s="5">
        <v>1</v>
      </c>
      <c r="L206" s="11">
        <v>1</v>
      </c>
      <c r="M206" s="12"/>
      <c r="N206" s="5">
        <v>1</v>
      </c>
      <c r="O206" s="5"/>
      <c r="P206" s="5"/>
      <c r="Q206" s="5"/>
      <c r="R206" s="5"/>
      <c r="S206" s="5">
        <v>1</v>
      </c>
      <c r="T206" s="5"/>
      <c r="U206" s="5"/>
      <c r="V206" s="5"/>
      <c r="W206" s="5"/>
      <c r="X206" s="5">
        <v>1</v>
      </c>
      <c r="Y206" s="5"/>
      <c r="Z206" s="5"/>
      <c r="AA206" s="5"/>
      <c r="AB206" s="5"/>
      <c r="AC206" s="5">
        <v>1</v>
      </c>
      <c r="AD206" s="5"/>
      <c r="AE206" s="5"/>
      <c r="AF206" s="5"/>
      <c r="AG206" s="5"/>
      <c r="AH206" s="5"/>
      <c r="AI206" s="5"/>
      <c r="AJ206" s="11"/>
      <c r="AK206" s="12"/>
      <c r="AL206" s="5"/>
      <c r="AM206" s="5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20"/>
      <c r="BP206" s="20"/>
      <c r="BQ206" s="20"/>
      <c r="BR206" s="20"/>
      <c r="BS206" s="20"/>
      <c r="BT206" s="20"/>
      <c r="BU206" s="20"/>
    </row>
    <row r="207" spans="1:73" ht="30" hidden="1" customHeight="1" x14ac:dyDescent="0.25">
      <c r="A207" s="17"/>
      <c r="B207" s="9" t="s">
        <v>313</v>
      </c>
      <c r="C207" s="11">
        <v>8</v>
      </c>
      <c r="D207" s="98"/>
      <c r="E207" s="18" t="s">
        <v>43</v>
      </c>
      <c r="F207" s="17"/>
      <c r="G207" s="17"/>
      <c r="H207" s="17"/>
      <c r="I207" s="17"/>
      <c r="J207" s="12">
        <v>1</v>
      </c>
      <c r="K207" s="5">
        <v>1</v>
      </c>
      <c r="L207" s="11">
        <v>1</v>
      </c>
      <c r="M207" s="12"/>
      <c r="N207" s="5">
        <v>1</v>
      </c>
      <c r="O207" s="5"/>
      <c r="P207" s="5"/>
      <c r="Q207" s="5"/>
      <c r="R207" s="5">
        <v>1</v>
      </c>
      <c r="S207" s="5"/>
      <c r="T207" s="5"/>
      <c r="U207" s="5"/>
      <c r="V207" s="5"/>
      <c r="W207" s="5">
        <v>1</v>
      </c>
      <c r="X207" s="5">
        <v>1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11">
        <v>1</v>
      </c>
      <c r="AK207" s="12"/>
      <c r="AL207" s="5"/>
      <c r="AM207" s="5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20"/>
      <c r="BP207" s="20"/>
      <c r="BQ207" s="20"/>
      <c r="BR207" s="20"/>
      <c r="BS207" s="20"/>
      <c r="BT207" s="20"/>
      <c r="BU207" s="20"/>
    </row>
    <row r="208" spans="1:73" ht="30" customHeight="1" x14ac:dyDescent="0.25">
      <c r="A208" s="17" t="s">
        <v>314</v>
      </c>
      <c r="B208" s="6" t="s">
        <v>315</v>
      </c>
      <c r="C208" s="11">
        <v>8</v>
      </c>
      <c r="D208" s="98">
        <v>6</v>
      </c>
      <c r="E208" s="18" t="s">
        <v>64</v>
      </c>
      <c r="F208" s="17" t="s">
        <v>41</v>
      </c>
      <c r="G208" s="17" t="s">
        <v>167</v>
      </c>
      <c r="H208" s="17" t="s">
        <v>177</v>
      </c>
      <c r="I208" s="17"/>
      <c r="J208" s="12">
        <v>1</v>
      </c>
      <c r="K208" s="5">
        <v>1</v>
      </c>
      <c r="L208" s="11">
        <v>1</v>
      </c>
      <c r="M208" s="12"/>
      <c r="N208" s="5">
        <v>1</v>
      </c>
      <c r="O208" s="5"/>
      <c r="P208" s="5"/>
      <c r="Q208" s="5"/>
      <c r="R208" s="5">
        <v>1</v>
      </c>
      <c r="S208" s="5"/>
      <c r="T208" s="5"/>
      <c r="U208" s="5"/>
      <c r="V208" s="5"/>
      <c r="W208" s="5"/>
      <c r="X208" s="5">
        <v>1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11"/>
      <c r="AK208" s="12"/>
      <c r="AL208" s="5"/>
      <c r="AM208" s="5"/>
      <c r="AN208" s="19">
        <v>3.3</v>
      </c>
      <c r="AO208" s="19">
        <v>3.3</v>
      </c>
      <c r="AP208" s="19">
        <v>3.2</v>
      </c>
      <c r="AQ208" s="19"/>
      <c r="AR208" s="19">
        <v>2.9</v>
      </c>
      <c r="AS208" s="19"/>
      <c r="AT208" s="19"/>
      <c r="AU208" s="19"/>
      <c r="AV208" s="19">
        <v>2.6</v>
      </c>
      <c r="AW208" s="19"/>
      <c r="AX208" s="19"/>
      <c r="AY208" s="19"/>
      <c r="AZ208" s="19"/>
      <c r="BA208" s="19"/>
      <c r="BB208" s="19">
        <v>2.8</v>
      </c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20"/>
      <c r="BP208" s="20"/>
      <c r="BQ208" s="20"/>
      <c r="BR208" s="20"/>
      <c r="BS208" s="20"/>
      <c r="BT208" s="20"/>
      <c r="BU208" s="20"/>
    </row>
    <row r="209" spans="1:73" ht="29.25" customHeight="1" x14ac:dyDescent="0.25">
      <c r="A209" s="17" t="s">
        <v>316</v>
      </c>
      <c r="B209" s="6" t="s">
        <v>315</v>
      </c>
      <c r="C209" s="11">
        <v>8</v>
      </c>
      <c r="D209" s="98">
        <v>6</v>
      </c>
      <c r="E209" s="18" t="s">
        <v>64</v>
      </c>
      <c r="F209" s="17" t="s">
        <v>41</v>
      </c>
      <c r="G209" s="17" t="s">
        <v>167</v>
      </c>
      <c r="H209" s="17" t="s">
        <v>177</v>
      </c>
      <c r="I209" s="17"/>
      <c r="J209" s="12">
        <v>1</v>
      </c>
      <c r="K209" s="5">
        <v>1</v>
      </c>
      <c r="L209" s="11">
        <v>1</v>
      </c>
      <c r="M209" s="12"/>
      <c r="N209" s="5">
        <v>1</v>
      </c>
      <c r="O209" s="5"/>
      <c r="P209" s="5"/>
      <c r="Q209" s="5"/>
      <c r="R209" s="5">
        <v>1</v>
      </c>
      <c r="S209" s="5"/>
      <c r="T209" s="5"/>
      <c r="U209" s="5"/>
      <c r="V209" s="5"/>
      <c r="W209" s="5"/>
      <c r="X209" s="5">
        <v>1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11"/>
      <c r="AK209" s="12"/>
      <c r="AL209" s="5"/>
      <c r="AM209" s="5"/>
      <c r="AN209" s="19">
        <v>3.9</v>
      </c>
      <c r="AO209" s="19">
        <v>3.8</v>
      </c>
      <c r="AP209" s="19">
        <v>4</v>
      </c>
      <c r="AQ209" s="19"/>
      <c r="AR209" s="19">
        <v>3</v>
      </c>
      <c r="AS209" s="19"/>
      <c r="AT209" s="19"/>
      <c r="AU209" s="19"/>
      <c r="AV209" s="19">
        <v>2.5</v>
      </c>
      <c r="AW209" s="19"/>
      <c r="AX209" s="19"/>
      <c r="AY209" s="19"/>
      <c r="AZ209" s="19"/>
      <c r="BA209" s="19"/>
      <c r="BB209" s="19">
        <v>3.4</v>
      </c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20"/>
      <c r="BP209" s="20"/>
      <c r="BQ209" s="20"/>
      <c r="BR209" s="20"/>
      <c r="BS209" s="20"/>
      <c r="BT209" s="20"/>
      <c r="BU209" s="20"/>
    </row>
    <row r="210" spans="1:73" ht="30" customHeight="1" x14ac:dyDescent="0.25">
      <c r="A210" s="17" t="s">
        <v>317</v>
      </c>
      <c r="B210" s="6" t="s">
        <v>315</v>
      </c>
      <c r="C210" s="11">
        <v>8</v>
      </c>
      <c r="D210" s="98">
        <v>6</v>
      </c>
      <c r="E210" s="18" t="s">
        <v>64</v>
      </c>
      <c r="F210" s="17" t="s">
        <v>41</v>
      </c>
      <c r="G210" s="17" t="s">
        <v>167</v>
      </c>
      <c r="H210" s="17" t="s">
        <v>175</v>
      </c>
      <c r="I210" s="17"/>
      <c r="J210" s="12">
        <v>1</v>
      </c>
      <c r="K210" s="5">
        <v>1</v>
      </c>
      <c r="L210" s="11">
        <v>1</v>
      </c>
      <c r="M210" s="12"/>
      <c r="N210" s="5">
        <v>1</v>
      </c>
      <c r="O210" s="5"/>
      <c r="P210" s="5"/>
      <c r="Q210" s="5"/>
      <c r="R210" s="5">
        <v>1</v>
      </c>
      <c r="S210" s="5"/>
      <c r="T210" s="5"/>
      <c r="U210" s="5"/>
      <c r="V210" s="5"/>
      <c r="W210" s="5"/>
      <c r="X210" s="5">
        <v>1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11"/>
      <c r="AK210" s="12"/>
      <c r="AL210" s="5"/>
      <c r="AM210" s="5"/>
      <c r="AN210" s="19">
        <v>3.7</v>
      </c>
      <c r="AO210" s="19">
        <v>3.5</v>
      </c>
      <c r="AP210" s="19">
        <v>3.8</v>
      </c>
      <c r="AQ210" s="19"/>
      <c r="AR210" s="19">
        <v>3.7</v>
      </c>
      <c r="AS210" s="19"/>
      <c r="AT210" s="19"/>
      <c r="AU210" s="19"/>
      <c r="AV210" s="19">
        <v>2.5</v>
      </c>
      <c r="AW210" s="19"/>
      <c r="AX210" s="19"/>
      <c r="AY210" s="19"/>
      <c r="AZ210" s="19"/>
      <c r="BA210" s="19"/>
      <c r="BB210" s="19">
        <v>3.7</v>
      </c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20"/>
      <c r="BP210" s="20"/>
      <c r="BQ210" s="20"/>
      <c r="BR210" s="20"/>
      <c r="BS210" s="20"/>
      <c r="BT210" s="20"/>
      <c r="BU210" s="20"/>
    </row>
    <row r="211" spans="1:73" ht="30" customHeight="1" x14ac:dyDescent="0.25">
      <c r="A211" s="17" t="s">
        <v>318</v>
      </c>
      <c r="B211" s="6" t="s">
        <v>315</v>
      </c>
      <c r="C211" s="11">
        <v>8</v>
      </c>
      <c r="D211" s="98">
        <v>6</v>
      </c>
      <c r="E211" s="18" t="s">
        <v>64</v>
      </c>
      <c r="F211" s="17" t="s">
        <v>41</v>
      </c>
      <c r="G211" s="17" t="s">
        <v>167</v>
      </c>
      <c r="H211" s="17" t="s">
        <v>175</v>
      </c>
      <c r="I211" s="17"/>
      <c r="J211" s="12">
        <v>1</v>
      </c>
      <c r="K211" s="5">
        <v>1</v>
      </c>
      <c r="L211" s="11">
        <v>1</v>
      </c>
      <c r="M211" s="12"/>
      <c r="N211" s="5">
        <v>1</v>
      </c>
      <c r="O211" s="5"/>
      <c r="P211" s="5"/>
      <c r="Q211" s="5"/>
      <c r="R211" s="5">
        <v>1</v>
      </c>
      <c r="S211" s="5"/>
      <c r="T211" s="5"/>
      <c r="U211" s="5"/>
      <c r="V211" s="5"/>
      <c r="W211" s="5"/>
      <c r="X211" s="5">
        <v>1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11"/>
      <c r="AK211" s="12"/>
      <c r="AL211" s="5"/>
      <c r="AM211" s="5"/>
      <c r="AN211" s="19">
        <v>4</v>
      </c>
      <c r="AO211" s="19">
        <v>4</v>
      </c>
      <c r="AP211" s="19">
        <v>3.5</v>
      </c>
      <c r="AQ211" s="19"/>
      <c r="AR211" s="19">
        <v>4</v>
      </c>
      <c r="AS211" s="19"/>
      <c r="AT211" s="19"/>
      <c r="AU211" s="19"/>
      <c r="AV211" s="19">
        <v>2.5</v>
      </c>
      <c r="AW211" s="19"/>
      <c r="AX211" s="19"/>
      <c r="AY211" s="19"/>
      <c r="AZ211" s="19"/>
      <c r="BA211" s="19"/>
      <c r="BB211" s="19">
        <v>3.7</v>
      </c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20"/>
      <c r="BP211" s="20"/>
      <c r="BQ211" s="20"/>
      <c r="BR211" s="20"/>
      <c r="BS211" s="20"/>
      <c r="BT211" s="20"/>
      <c r="BU211" s="20"/>
    </row>
    <row r="212" spans="1:73" ht="30" customHeight="1" x14ac:dyDescent="0.25">
      <c r="A212" s="17" t="s">
        <v>319</v>
      </c>
      <c r="B212" s="6" t="s">
        <v>315</v>
      </c>
      <c r="C212" s="11">
        <v>8</v>
      </c>
      <c r="D212" s="98">
        <v>6</v>
      </c>
      <c r="E212" s="18" t="s">
        <v>43</v>
      </c>
      <c r="F212" s="17" t="s">
        <v>41</v>
      </c>
      <c r="G212" s="17" t="s">
        <v>167</v>
      </c>
      <c r="H212" s="17" t="s">
        <v>177</v>
      </c>
      <c r="I212" s="17"/>
      <c r="J212" s="12">
        <v>1</v>
      </c>
      <c r="K212" s="5">
        <v>1</v>
      </c>
      <c r="L212" s="11">
        <v>1</v>
      </c>
      <c r="M212" s="12"/>
      <c r="N212" s="5">
        <v>1</v>
      </c>
      <c r="O212" s="5"/>
      <c r="P212" s="5"/>
      <c r="Q212" s="5"/>
      <c r="R212" s="5">
        <v>1</v>
      </c>
      <c r="S212" s="5"/>
      <c r="T212" s="5"/>
      <c r="U212" s="5"/>
      <c r="V212" s="5"/>
      <c r="W212" s="5"/>
      <c r="X212" s="5">
        <v>1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11"/>
      <c r="AK212" s="12"/>
      <c r="AL212" s="5"/>
      <c r="AM212" s="5"/>
      <c r="AN212" s="19">
        <v>3.7</v>
      </c>
      <c r="AO212" s="19">
        <v>4</v>
      </c>
      <c r="AP212" s="19">
        <v>3.5</v>
      </c>
      <c r="AQ212" s="19"/>
      <c r="AR212" s="19">
        <v>4</v>
      </c>
      <c r="AS212" s="19"/>
      <c r="AT212" s="19"/>
      <c r="AU212" s="19"/>
      <c r="AV212" s="19">
        <v>2.5</v>
      </c>
      <c r="AW212" s="19"/>
      <c r="AX212" s="19"/>
      <c r="AY212" s="19"/>
      <c r="AZ212" s="19"/>
      <c r="BA212" s="19"/>
      <c r="BB212" s="19">
        <v>3.7</v>
      </c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20"/>
      <c r="BP212" s="20"/>
      <c r="BQ212" s="20"/>
      <c r="BR212" s="20"/>
      <c r="BS212" s="20"/>
      <c r="BT212" s="20"/>
      <c r="BU212" s="20"/>
    </row>
    <row r="213" spans="1:73" ht="30" hidden="1" customHeight="1" x14ac:dyDescent="0.25">
      <c r="A213" s="17"/>
      <c r="B213" s="120" t="s">
        <v>320</v>
      </c>
      <c r="C213" s="11">
        <v>8</v>
      </c>
      <c r="D213" s="98"/>
      <c r="E213" s="18" t="s">
        <v>43</v>
      </c>
      <c r="F213" s="17"/>
      <c r="G213" s="17"/>
      <c r="H213" s="17"/>
      <c r="I213" s="17"/>
      <c r="J213" s="12">
        <v>1</v>
      </c>
      <c r="K213" s="5">
        <v>1</v>
      </c>
      <c r="L213" s="11">
        <v>1</v>
      </c>
      <c r="M213" s="12"/>
      <c r="N213" s="5">
        <v>1</v>
      </c>
      <c r="O213" s="5"/>
      <c r="P213" s="5"/>
      <c r="Q213" s="5"/>
      <c r="R213" s="5">
        <v>1</v>
      </c>
      <c r="S213" s="5"/>
      <c r="T213" s="5"/>
      <c r="U213" s="5"/>
      <c r="V213" s="5"/>
      <c r="W213" s="5"/>
      <c r="X213" s="5">
        <v>1</v>
      </c>
      <c r="Y213" s="5"/>
      <c r="Z213" s="5"/>
      <c r="AA213" s="5"/>
      <c r="AB213" s="5"/>
      <c r="AC213" s="5">
        <v>1</v>
      </c>
      <c r="AD213" s="5"/>
      <c r="AE213" s="5"/>
      <c r="AF213" s="5"/>
      <c r="AG213" s="5"/>
      <c r="AH213" s="5"/>
      <c r="AI213" s="5"/>
      <c r="AJ213" s="11"/>
      <c r="AK213" s="12"/>
      <c r="AL213" s="5"/>
      <c r="AM213" s="5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20"/>
      <c r="BP213" s="20"/>
      <c r="BQ213" s="20"/>
      <c r="BR213" s="20"/>
      <c r="BS213" s="20"/>
      <c r="BT213" s="20"/>
      <c r="BU213" s="20"/>
    </row>
    <row r="214" spans="1:73" ht="30" hidden="1" customHeight="1" x14ac:dyDescent="0.25">
      <c r="A214" s="17"/>
      <c r="B214" s="6" t="s">
        <v>321</v>
      </c>
      <c r="C214" s="11">
        <v>8</v>
      </c>
      <c r="D214" s="98"/>
      <c r="E214" s="18" t="s">
        <v>43</v>
      </c>
      <c r="F214" s="17"/>
      <c r="G214" s="17"/>
      <c r="H214" s="17"/>
      <c r="I214" s="17"/>
      <c r="J214" s="12">
        <v>1</v>
      </c>
      <c r="K214" s="5">
        <v>1</v>
      </c>
      <c r="L214" s="11">
        <v>1</v>
      </c>
      <c r="M214" s="12"/>
      <c r="N214" s="5">
        <v>1</v>
      </c>
      <c r="O214" s="5"/>
      <c r="P214" s="5"/>
      <c r="Q214" s="5"/>
      <c r="R214" s="5">
        <v>1</v>
      </c>
      <c r="S214" s="5"/>
      <c r="T214" s="5"/>
      <c r="U214" s="5"/>
      <c r="V214" s="5"/>
      <c r="W214" s="5"/>
      <c r="X214" s="5">
        <v>1</v>
      </c>
      <c r="Y214" s="5"/>
      <c r="Z214" s="5"/>
      <c r="AA214" s="5"/>
      <c r="AB214" s="5"/>
      <c r="AC214" s="5">
        <v>1</v>
      </c>
      <c r="AD214" s="5"/>
      <c r="AE214" s="5"/>
      <c r="AF214" s="5"/>
      <c r="AG214" s="5"/>
      <c r="AH214" s="5"/>
      <c r="AI214" s="5"/>
      <c r="AJ214" s="11"/>
      <c r="AK214" s="12"/>
      <c r="AL214" s="5"/>
      <c r="AM214" s="5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20"/>
      <c r="BP214" s="20"/>
      <c r="BQ214" s="20"/>
      <c r="BR214" s="20"/>
      <c r="BS214" s="20"/>
      <c r="BT214" s="20"/>
      <c r="BU214" s="20"/>
    </row>
    <row r="215" spans="1:73" ht="30" hidden="1" customHeight="1" x14ac:dyDescent="0.25">
      <c r="A215" s="17"/>
      <c r="B215" s="6" t="s">
        <v>322</v>
      </c>
      <c r="C215" s="11">
        <v>8</v>
      </c>
      <c r="D215" s="98"/>
      <c r="E215" s="18" t="s">
        <v>43</v>
      </c>
      <c r="F215" s="17"/>
      <c r="G215" s="17"/>
      <c r="H215" s="17"/>
      <c r="I215" s="17"/>
      <c r="J215" s="12">
        <v>1</v>
      </c>
      <c r="K215" s="5">
        <v>1</v>
      </c>
      <c r="L215" s="11">
        <v>1</v>
      </c>
      <c r="M215" s="12"/>
      <c r="N215" s="5">
        <v>1</v>
      </c>
      <c r="O215" s="5"/>
      <c r="P215" s="5"/>
      <c r="Q215" s="5"/>
      <c r="R215" s="5">
        <v>1</v>
      </c>
      <c r="S215" s="5"/>
      <c r="T215" s="5"/>
      <c r="U215" s="5"/>
      <c r="V215" s="5"/>
      <c r="W215" s="5"/>
      <c r="X215" s="5">
        <v>1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11"/>
      <c r="AK215" s="12"/>
      <c r="AL215" s="5"/>
      <c r="AM215" s="5"/>
      <c r="AN215" s="19"/>
      <c r="AO215" s="99"/>
      <c r="AP215" s="19"/>
      <c r="AQ215" s="99"/>
      <c r="AR215" s="19"/>
      <c r="AS215" s="99"/>
      <c r="AT215" s="99"/>
      <c r="AU215" s="99"/>
      <c r="AV215" s="19"/>
      <c r="AW215" s="99"/>
      <c r="AX215" s="99"/>
      <c r="AY215" s="99"/>
      <c r="AZ215" s="99"/>
      <c r="BA215" s="99"/>
      <c r="BB215" s="19"/>
      <c r="BC215" s="99"/>
      <c r="BD215" s="99"/>
      <c r="BE215" s="99"/>
      <c r="BF215" s="99"/>
      <c r="BG215" s="99"/>
      <c r="BH215" s="99"/>
      <c r="BI215" s="99"/>
      <c r="BJ215" s="99"/>
      <c r="BK215" s="99"/>
      <c r="BL215" s="99"/>
      <c r="BM215" s="99"/>
      <c r="BN215" s="99"/>
      <c r="BO215" s="20"/>
      <c r="BP215" s="20"/>
      <c r="BQ215" s="20"/>
      <c r="BR215" s="20"/>
      <c r="BS215" s="20"/>
      <c r="BT215" s="20"/>
      <c r="BU215" s="20"/>
    </row>
    <row r="216" spans="1:73" ht="30" hidden="1" customHeight="1" x14ac:dyDescent="0.25">
      <c r="A216" s="17"/>
      <c r="B216" s="6" t="s">
        <v>323</v>
      </c>
      <c r="C216" s="11">
        <v>8</v>
      </c>
      <c r="D216" s="98"/>
      <c r="E216" s="18" t="s">
        <v>43</v>
      </c>
      <c r="F216" s="17"/>
      <c r="G216" s="17"/>
      <c r="H216" s="17"/>
      <c r="I216" s="17"/>
      <c r="J216" s="12">
        <v>1</v>
      </c>
      <c r="K216" s="5">
        <v>1</v>
      </c>
      <c r="L216" s="11">
        <v>1</v>
      </c>
      <c r="M216" s="12"/>
      <c r="N216" s="5">
        <v>1</v>
      </c>
      <c r="O216" s="5"/>
      <c r="P216" s="5"/>
      <c r="Q216" s="5"/>
      <c r="R216" s="5">
        <v>1</v>
      </c>
      <c r="S216" s="5"/>
      <c r="T216" s="5"/>
      <c r="U216" s="5"/>
      <c r="V216" s="5"/>
      <c r="W216" s="5"/>
      <c r="X216" s="5">
        <v>2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11"/>
      <c r="AK216" s="12"/>
      <c r="AL216" s="5"/>
      <c r="AM216" s="5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20"/>
      <c r="BP216" s="20"/>
      <c r="BQ216" s="20"/>
      <c r="BR216" s="20"/>
      <c r="BS216" s="20"/>
      <c r="BT216" s="20"/>
      <c r="BU216" s="20"/>
    </row>
    <row r="217" spans="1:73" ht="30" hidden="1" customHeight="1" x14ac:dyDescent="0.25">
      <c r="A217" s="17"/>
      <c r="B217" s="6" t="s">
        <v>324</v>
      </c>
      <c r="C217" s="11">
        <v>8</v>
      </c>
      <c r="D217" s="98"/>
      <c r="E217" s="18" t="s">
        <v>43</v>
      </c>
      <c r="F217" s="17"/>
      <c r="G217" s="17"/>
      <c r="H217" s="17"/>
      <c r="I217" s="17"/>
      <c r="J217" s="12">
        <v>1</v>
      </c>
      <c r="K217" s="5">
        <v>1</v>
      </c>
      <c r="L217" s="11">
        <v>1</v>
      </c>
      <c r="M217" s="12"/>
      <c r="N217" s="5">
        <v>1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11"/>
      <c r="AK217" s="12"/>
      <c r="AL217" s="5"/>
      <c r="AM217" s="5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20"/>
      <c r="BP217" s="20"/>
      <c r="BQ217" s="20"/>
      <c r="BR217" s="20"/>
      <c r="BS217" s="20"/>
      <c r="BT217" s="20"/>
      <c r="BU217" s="20"/>
    </row>
    <row r="218" spans="1:73" ht="30" hidden="1" customHeight="1" x14ac:dyDescent="0.25">
      <c r="A218" s="17"/>
      <c r="B218" s="6" t="s">
        <v>325</v>
      </c>
      <c r="C218" s="11">
        <v>8</v>
      </c>
      <c r="D218" s="98"/>
      <c r="E218" s="18" t="s">
        <v>43</v>
      </c>
      <c r="F218" s="17"/>
      <c r="G218" s="17"/>
      <c r="H218" s="17"/>
      <c r="I218" s="17"/>
      <c r="J218" s="12">
        <v>1</v>
      </c>
      <c r="K218" s="5">
        <v>1</v>
      </c>
      <c r="L218" s="11">
        <v>1</v>
      </c>
      <c r="M218" s="12"/>
      <c r="N218" s="5">
        <v>1</v>
      </c>
      <c r="O218" s="5">
        <v>1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11"/>
      <c r="AK218" s="12"/>
      <c r="AL218" s="5"/>
      <c r="AM218" s="5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20"/>
      <c r="BP218" s="20"/>
      <c r="BQ218" s="20"/>
      <c r="BR218" s="20"/>
      <c r="BS218" s="20"/>
      <c r="BT218" s="20"/>
      <c r="BU218" s="20"/>
    </row>
    <row r="219" spans="1:73" ht="30" hidden="1" customHeight="1" x14ac:dyDescent="0.25">
      <c r="A219" s="17"/>
      <c r="B219" s="6" t="s">
        <v>326</v>
      </c>
      <c r="C219" s="11">
        <v>8</v>
      </c>
      <c r="D219" s="98"/>
      <c r="E219" s="18" t="s">
        <v>43</v>
      </c>
      <c r="F219" s="17"/>
      <c r="G219" s="17"/>
      <c r="H219" s="17"/>
      <c r="I219" s="17"/>
      <c r="J219" s="12">
        <v>1</v>
      </c>
      <c r="K219" s="5">
        <v>1</v>
      </c>
      <c r="L219" s="11">
        <v>1</v>
      </c>
      <c r="M219" s="12"/>
      <c r="N219" s="5">
        <v>1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11"/>
      <c r="AK219" s="12"/>
      <c r="AL219" s="5"/>
      <c r="AM219" s="5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20"/>
      <c r="BP219" s="20"/>
      <c r="BQ219" s="20"/>
      <c r="BR219" s="20"/>
      <c r="BS219" s="20"/>
      <c r="BT219" s="20"/>
      <c r="BU219" s="20"/>
    </row>
    <row r="220" spans="1:73" ht="30" hidden="1" customHeight="1" x14ac:dyDescent="0.25">
      <c r="A220" s="17"/>
      <c r="B220" s="9" t="s">
        <v>327</v>
      </c>
      <c r="C220" s="11">
        <v>8</v>
      </c>
      <c r="D220" s="98"/>
      <c r="E220" s="18" t="s">
        <v>43</v>
      </c>
      <c r="F220" s="17"/>
      <c r="G220" s="17"/>
      <c r="H220" s="17"/>
      <c r="I220" s="17"/>
      <c r="J220" s="12">
        <v>1</v>
      </c>
      <c r="K220" s="5">
        <v>1</v>
      </c>
      <c r="L220" s="11">
        <v>1</v>
      </c>
      <c r="M220" s="12"/>
      <c r="N220" s="5">
        <v>1</v>
      </c>
      <c r="O220" s="5"/>
      <c r="P220" s="5"/>
      <c r="Q220" s="5"/>
      <c r="R220" s="5">
        <v>1</v>
      </c>
      <c r="S220" s="5"/>
      <c r="T220" s="5"/>
      <c r="U220" s="5"/>
      <c r="V220" s="5"/>
      <c r="W220" s="5"/>
      <c r="X220" s="5">
        <v>2</v>
      </c>
      <c r="Y220" s="5"/>
      <c r="Z220" s="5"/>
      <c r="AA220" s="5"/>
      <c r="AB220" s="5"/>
      <c r="AC220" s="5">
        <v>1</v>
      </c>
      <c r="AD220" s="5"/>
      <c r="AE220" s="5"/>
      <c r="AF220" s="5"/>
      <c r="AG220" s="5"/>
      <c r="AH220" s="5"/>
      <c r="AI220" s="5"/>
      <c r="AJ220" s="11"/>
      <c r="AK220" s="12"/>
      <c r="AL220" s="5"/>
      <c r="AM220" s="5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20"/>
      <c r="BP220" s="20"/>
      <c r="BQ220" s="20"/>
      <c r="BR220" s="20"/>
      <c r="BS220" s="20"/>
      <c r="BT220" s="20"/>
      <c r="BU220" s="20"/>
    </row>
    <row r="221" spans="1:73" ht="30" hidden="1" customHeight="1" x14ac:dyDescent="0.25">
      <c r="A221" s="17"/>
      <c r="B221" s="6" t="s">
        <v>328</v>
      </c>
      <c r="C221" s="11">
        <v>8</v>
      </c>
      <c r="D221" s="98"/>
      <c r="E221" s="18" t="s">
        <v>43</v>
      </c>
      <c r="F221" s="17"/>
      <c r="G221" s="17"/>
      <c r="H221" s="17"/>
      <c r="I221" s="17"/>
      <c r="J221" s="12">
        <v>1</v>
      </c>
      <c r="K221" s="5">
        <v>1</v>
      </c>
      <c r="L221" s="11">
        <v>1</v>
      </c>
      <c r="M221" s="12"/>
      <c r="N221" s="5">
        <v>1</v>
      </c>
      <c r="O221" s="5">
        <v>1</v>
      </c>
      <c r="P221" s="5"/>
      <c r="Q221" s="5"/>
      <c r="R221" s="5">
        <v>1</v>
      </c>
      <c r="S221" s="5"/>
      <c r="T221" s="5"/>
      <c r="U221" s="5"/>
      <c r="V221" s="5"/>
      <c r="W221" s="5"/>
      <c r="X221" s="5">
        <v>1</v>
      </c>
      <c r="Y221" s="5"/>
      <c r="Z221" s="5"/>
      <c r="AA221" s="5"/>
      <c r="AB221" s="5"/>
      <c r="AC221" s="5">
        <v>1</v>
      </c>
      <c r="AD221" s="5"/>
      <c r="AE221" s="5">
        <v>1</v>
      </c>
      <c r="AF221" s="5"/>
      <c r="AG221" s="5"/>
      <c r="AH221" s="5"/>
      <c r="AI221" s="5">
        <v>1</v>
      </c>
      <c r="AJ221" s="11"/>
      <c r="AK221" s="12"/>
      <c r="AL221" s="5"/>
      <c r="AM221" s="5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20"/>
      <c r="BP221" s="20"/>
      <c r="BQ221" s="20"/>
      <c r="BR221" s="20"/>
      <c r="BS221" s="20"/>
      <c r="BT221" s="20"/>
      <c r="BU221" s="20"/>
    </row>
    <row r="222" spans="1:73" ht="30" hidden="1" customHeight="1" x14ac:dyDescent="0.25">
      <c r="A222" s="17"/>
      <c r="B222" s="138" t="s">
        <v>329</v>
      </c>
      <c r="C222" s="11">
        <v>8</v>
      </c>
      <c r="D222" s="98"/>
      <c r="E222" s="18" t="s">
        <v>43</v>
      </c>
      <c r="F222" s="17"/>
      <c r="G222" s="17"/>
      <c r="H222" s="17"/>
      <c r="I222" s="17"/>
      <c r="J222" s="12">
        <v>1</v>
      </c>
      <c r="K222" s="5">
        <v>1</v>
      </c>
      <c r="L222" s="11">
        <v>1</v>
      </c>
      <c r="M222" s="12"/>
      <c r="N222" s="5">
        <v>1</v>
      </c>
      <c r="O222" s="5"/>
      <c r="P222" s="5"/>
      <c r="Q222" s="5"/>
      <c r="R222" s="5">
        <v>1</v>
      </c>
      <c r="S222" s="5"/>
      <c r="T222" s="5"/>
      <c r="U222" s="5"/>
      <c r="V222" s="5"/>
      <c r="W222" s="5"/>
      <c r="X222" s="5">
        <v>1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11">
        <v>1</v>
      </c>
      <c r="AK222" s="12"/>
      <c r="AL222" s="5"/>
      <c r="AM222" s="5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20"/>
      <c r="BP222" s="20"/>
      <c r="BQ222" s="20"/>
      <c r="BR222" s="20"/>
      <c r="BS222" s="20"/>
      <c r="BT222" s="20"/>
      <c r="BU222" s="20"/>
    </row>
    <row r="223" spans="1:73" ht="30" hidden="1" customHeight="1" x14ac:dyDescent="0.25">
      <c r="A223" s="17"/>
      <c r="B223" s="6" t="s">
        <v>330</v>
      </c>
      <c r="C223" s="11">
        <v>8</v>
      </c>
      <c r="D223" s="98"/>
      <c r="E223" s="18" t="s">
        <v>43</v>
      </c>
      <c r="F223" s="17"/>
      <c r="G223" s="17"/>
      <c r="H223" s="17"/>
      <c r="I223" s="17"/>
      <c r="J223" s="12">
        <v>1</v>
      </c>
      <c r="K223" s="5">
        <v>1</v>
      </c>
      <c r="L223" s="11">
        <v>1</v>
      </c>
      <c r="M223" s="12"/>
      <c r="N223" s="5">
        <v>1</v>
      </c>
      <c r="O223" s="5"/>
      <c r="P223" s="5"/>
      <c r="Q223" s="5"/>
      <c r="R223" s="5">
        <v>1</v>
      </c>
      <c r="S223" s="5"/>
      <c r="T223" s="5"/>
      <c r="U223" s="5"/>
      <c r="V223" s="5"/>
      <c r="W223" s="5"/>
      <c r="X223" s="5">
        <v>2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11">
        <v>1</v>
      </c>
      <c r="AK223" s="12"/>
      <c r="AL223" s="5"/>
      <c r="AM223" s="5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20"/>
      <c r="BP223" s="20"/>
      <c r="BQ223" s="20"/>
      <c r="BR223" s="20"/>
      <c r="BS223" s="20"/>
      <c r="BT223" s="20"/>
      <c r="BU223" s="20"/>
    </row>
    <row r="224" spans="1:73" ht="30" hidden="1" customHeight="1" x14ac:dyDescent="0.25">
      <c r="A224" s="17"/>
      <c r="B224" s="6" t="s">
        <v>59</v>
      </c>
      <c r="C224" s="11">
        <v>8</v>
      </c>
      <c r="D224" s="98"/>
      <c r="E224" s="18" t="s">
        <v>43</v>
      </c>
      <c r="F224" s="17"/>
      <c r="G224" s="17"/>
      <c r="H224" s="17"/>
      <c r="I224" s="17"/>
      <c r="J224" s="12">
        <v>1</v>
      </c>
      <c r="K224" s="5">
        <v>1</v>
      </c>
      <c r="L224" s="11">
        <v>1</v>
      </c>
      <c r="M224" s="12"/>
      <c r="N224" s="5">
        <v>1</v>
      </c>
      <c r="O224" s="5"/>
      <c r="P224" s="5"/>
      <c r="Q224" s="5"/>
      <c r="R224" s="5">
        <v>1</v>
      </c>
      <c r="S224" s="5"/>
      <c r="T224" s="5"/>
      <c r="U224" s="5"/>
      <c r="V224" s="5"/>
      <c r="W224" s="5"/>
      <c r="X224" s="5">
        <v>1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11">
        <v>1</v>
      </c>
      <c r="AK224" s="12"/>
      <c r="AL224" s="5"/>
      <c r="AM224" s="5"/>
      <c r="AN224" s="1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  <c r="AY224" s="99"/>
      <c r="AZ224" s="99"/>
      <c r="BA224" s="99"/>
      <c r="BB224" s="99"/>
      <c r="BC224" s="99"/>
      <c r="BD224" s="99"/>
      <c r="BE224" s="99"/>
      <c r="BF224" s="99"/>
      <c r="BG224" s="99"/>
      <c r="BH224" s="99"/>
      <c r="BI224" s="99"/>
      <c r="BJ224" s="99"/>
      <c r="BK224" s="99"/>
      <c r="BL224" s="99"/>
      <c r="BM224" s="99"/>
      <c r="BN224" s="99"/>
      <c r="BO224" s="20"/>
      <c r="BP224" s="20"/>
      <c r="BQ224" s="20"/>
      <c r="BR224" s="20"/>
      <c r="BS224" s="20"/>
      <c r="BT224" s="20"/>
      <c r="BU224" s="20"/>
    </row>
    <row r="225" spans="1:73" ht="30" hidden="1" customHeight="1" x14ac:dyDescent="0.25">
      <c r="A225" s="17"/>
      <c r="B225" s="6" t="s">
        <v>331</v>
      </c>
      <c r="C225" s="11">
        <v>8</v>
      </c>
      <c r="D225" s="98"/>
      <c r="E225" s="18" t="s">
        <v>43</v>
      </c>
      <c r="F225" s="17"/>
      <c r="G225" s="17"/>
      <c r="H225" s="17"/>
      <c r="I225" s="17"/>
      <c r="J225" s="12">
        <v>1</v>
      </c>
      <c r="K225" s="5">
        <v>1</v>
      </c>
      <c r="L225" s="11">
        <v>1</v>
      </c>
      <c r="M225" s="12"/>
      <c r="N225" s="5">
        <v>1</v>
      </c>
      <c r="O225" s="5"/>
      <c r="P225" s="5"/>
      <c r="Q225" s="5"/>
      <c r="R225" s="5">
        <v>1</v>
      </c>
      <c r="S225" s="5"/>
      <c r="T225" s="5"/>
      <c r="U225" s="5"/>
      <c r="V225" s="5"/>
      <c r="W225" s="5"/>
      <c r="X225" s="5">
        <v>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11"/>
      <c r="AK225" s="12"/>
      <c r="AL225" s="5"/>
      <c r="AM225" s="5"/>
      <c r="AN225" s="19"/>
      <c r="AO225" s="99"/>
      <c r="AP225" s="99"/>
      <c r="AQ225" s="19"/>
      <c r="AR225" s="9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20"/>
      <c r="BP225" s="20"/>
      <c r="BQ225" s="20"/>
      <c r="BR225" s="20"/>
      <c r="BS225" s="20"/>
      <c r="BT225" s="20"/>
      <c r="BU225" s="20"/>
    </row>
    <row r="226" spans="1:73" ht="30" hidden="1" customHeight="1" x14ac:dyDescent="0.25">
      <c r="A226" s="17"/>
      <c r="B226" s="6" t="s">
        <v>332</v>
      </c>
      <c r="C226" s="11">
        <v>8</v>
      </c>
      <c r="D226" s="98"/>
      <c r="E226" s="18" t="s">
        <v>43</v>
      </c>
      <c r="F226" s="17"/>
      <c r="G226" s="17"/>
      <c r="H226" s="17"/>
      <c r="I226" s="17"/>
      <c r="J226" s="12">
        <v>1</v>
      </c>
      <c r="K226" s="5">
        <v>1</v>
      </c>
      <c r="L226" s="11">
        <v>1</v>
      </c>
      <c r="M226" s="12"/>
      <c r="N226" s="5">
        <v>1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11"/>
      <c r="AK226" s="12"/>
      <c r="AL226" s="5"/>
      <c r="AM226" s="5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20"/>
      <c r="BP226" s="20"/>
      <c r="BQ226" s="20"/>
      <c r="BR226" s="20"/>
      <c r="BS226" s="20"/>
      <c r="BT226" s="20"/>
      <c r="BU226" s="20"/>
    </row>
    <row r="227" spans="1:73" ht="30" hidden="1" customHeight="1" x14ac:dyDescent="0.25">
      <c r="A227" s="17"/>
      <c r="B227" s="6" t="s">
        <v>333</v>
      </c>
      <c r="C227" s="11">
        <v>8</v>
      </c>
      <c r="D227" s="98"/>
      <c r="E227" s="18" t="s">
        <v>43</v>
      </c>
      <c r="F227" s="17"/>
      <c r="G227" s="17"/>
      <c r="H227" s="17"/>
      <c r="I227" s="17"/>
      <c r="J227" s="12">
        <v>1</v>
      </c>
      <c r="K227" s="5">
        <v>1</v>
      </c>
      <c r="L227" s="11">
        <v>1</v>
      </c>
      <c r="M227" s="12"/>
      <c r="N227" s="5">
        <v>1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11"/>
      <c r="AK227" s="12"/>
      <c r="AL227" s="5"/>
      <c r="AM227" s="5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20"/>
      <c r="BP227" s="20"/>
      <c r="BQ227" s="20"/>
      <c r="BR227" s="20"/>
      <c r="BS227" s="20"/>
      <c r="BT227" s="20"/>
      <c r="BU227" s="20"/>
    </row>
    <row r="228" spans="1:73" ht="30" hidden="1" customHeight="1" x14ac:dyDescent="0.25">
      <c r="A228" s="17"/>
      <c r="B228" s="6" t="s">
        <v>334</v>
      </c>
      <c r="C228" s="11">
        <v>8</v>
      </c>
      <c r="D228" s="98"/>
      <c r="E228" s="18" t="s">
        <v>43</v>
      </c>
      <c r="F228" s="17"/>
      <c r="G228" s="17"/>
      <c r="H228" s="17"/>
      <c r="I228" s="17"/>
      <c r="J228" s="12">
        <v>1</v>
      </c>
      <c r="K228" s="5">
        <v>1</v>
      </c>
      <c r="L228" s="11">
        <v>1</v>
      </c>
      <c r="M228" s="12"/>
      <c r="N228" s="5">
        <v>2</v>
      </c>
      <c r="O228" s="5"/>
      <c r="P228" s="5"/>
      <c r="Q228" s="5"/>
      <c r="R228" s="5">
        <v>1</v>
      </c>
      <c r="S228" s="5"/>
      <c r="T228" s="5"/>
      <c r="U228" s="5"/>
      <c r="V228" s="5"/>
      <c r="W228" s="5"/>
      <c r="X228" s="5">
        <v>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11">
        <v>1</v>
      </c>
      <c r="AK228" s="12"/>
      <c r="AL228" s="5"/>
      <c r="AM228" s="5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20"/>
      <c r="BP228" s="20"/>
      <c r="BQ228" s="20"/>
      <c r="BR228" s="20"/>
      <c r="BS228" s="20"/>
      <c r="BT228" s="20"/>
      <c r="BU228" s="20"/>
    </row>
    <row r="229" spans="1:73" ht="30" hidden="1" customHeight="1" x14ac:dyDescent="0.25">
      <c r="A229" s="17"/>
      <c r="B229" s="6" t="s">
        <v>335</v>
      </c>
      <c r="C229" s="11">
        <v>8</v>
      </c>
      <c r="D229" s="98"/>
      <c r="E229" s="18" t="s">
        <v>43</v>
      </c>
      <c r="F229" s="17"/>
      <c r="G229" s="17"/>
      <c r="H229" s="17"/>
      <c r="I229" s="17"/>
      <c r="J229" s="12">
        <v>1</v>
      </c>
      <c r="K229" s="5">
        <v>1</v>
      </c>
      <c r="L229" s="11">
        <v>1</v>
      </c>
      <c r="M229" s="12"/>
      <c r="N229" s="5">
        <v>1</v>
      </c>
      <c r="O229" s="5"/>
      <c r="P229" s="5"/>
      <c r="Q229" s="5"/>
      <c r="R229" s="5">
        <v>1</v>
      </c>
      <c r="S229" s="5"/>
      <c r="T229" s="5"/>
      <c r="U229" s="5"/>
      <c r="V229" s="5"/>
      <c r="W229" s="5"/>
      <c r="X229" s="5">
        <v>1</v>
      </c>
      <c r="Y229" s="5"/>
      <c r="Z229" s="5"/>
      <c r="AA229" s="5"/>
      <c r="AB229" s="5"/>
      <c r="AC229" s="5">
        <v>1</v>
      </c>
      <c r="AD229" s="5">
        <v>1</v>
      </c>
      <c r="AE229" s="5"/>
      <c r="AF229" s="5"/>
      <c r="AG229" s="5"/>
      <c r="AH229" s="5"/>
      <c r="AI229" s="5"/>
      <c r="AJ229" s="11"/>
      <c r="AK229" s="12"/>
      <c r="AL229" s="5"/>
      <c r="AM229" s="5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20"/>
      <c r="BP229" s="20"/>
      <c r="BQ229" s="20"/>
      <c r="BR229" s="20"/>
      <c r="BS229" s="20"/>
      <c r="BT229" s="20"/>
      <c r="BU229" s="20"/>
    </row>
    <row r="230" spans="1:73" ht="30" customHeight="1" x14ac:dyDescent="0.25">
      <c r="A230" s="17" t="s">
        <v>336</v>
      </c>
      <c r="B230" s="120" t="s">
        <v>337</v>
      </c>
      <c r="C230" s="11">
        <v>8</v>
      </c>
      <c r="D230" s="98">
        <v>5</v>
      </c>
      <c r="E230" s="18" t="s">
        <v>64</v>
      </c>
      <c r="F230" s="17" t="s">
        <v>66</v>
      </c>
      <c r="G230" s="17" t="s">
        <v>161</v>
      </c>
      <c r="H230" s="17" t="s">
        <v>338</v>
      </c>
      <c r="I230" s="17"/>
      <c r="J230" s="12">
        <v>1</v>
      </c>
      <c r="K230" s="5">
        <v>1</v>
      </c>
      <c r="L230" s="11">
        <v>1</v>
      </c>
      <c r="M230" s="12"/>
      <c r="N230" s="5">
        <v>1</v>
      </c>
      <c r="O230" s="5"/>
      <c r="P230" s="5"/>
      <c r="Q230" s="5"/>
      <c r="R230" s="5">
        <v>1</v>
      </c>
      <c r="S230" s="5"/>
      <c r="T230" s="5"/>
      <c r="U230" s="5"/>
      <c r="V230" s="5"/>
      <c r="W230" s="5"/>
      <c r="X230" s="5">
        <v>1</v>
      </c>
      <c r="Y230" s="5">
        <v>1</v>
      </c>
      <c r="Z230" s="5"/>
      <c r="AA230" s="5"/>
      <c r="AB230" s="5"/>
      <c r="AC230" s="5">
        <v>1</v>
      </c>
      <c r="AD230" s="5"/>
      <c r="AE230" s="5"/>
      <c r="AF230" s="5"/>
      <c r="AG230" s="5"/>
      <c r="AH230" s="5"/>
      <c r="AI230" s="5"/>
      <c r="AJ230" s="11"/>
      <c r="AK230" s="12"/>
      <c r="AL230" s="5"/>
      <c r="AM230" s="5"/>
      <c r="AN230" s="19">
        <v>3.4</v>
      </c>
      <c r="AO230" s="19">
        <v>3.4</v>
      </c>
      <c r="AP230" s="19">
        <v>3.5</v>
      </c>
      <c r="AQ230" s="19"/>
      <c r="AR230" s="19">
        <v>3.4</v>
      </c>
      <c r="AS230" s="19"/>
      <c r="AT230" s="19"/>
      <c r="AU230" s="19"/>
      <c r="AV230" s="19">
        <v>3.4</v>
      </c>
      <c r="AW230" s="19"/>
      <c r="AX230" s="19"/>
      <c r="AY230" s="19"/>
      <c r="AZ230" s="19"/>
      <c r="BA230" s="19"/>
      <c r="BB230" s="19">
        <v>3.2</v>
      </c>
      <c r="BC230" s="19">
        <v>3.4</v>
      </c>
      <c r="BD230" s="19"/>
      <c r="BE230" s="19"/>
      <c r="BF230" s="19"/>
      <c r="BG230" s="19">
        <v>3.4</v>
      </c>
      <c r="BH230" s="19"/>
      <c r="BI230" s="19"/>
      <c r="BJ230" s="19"/>
      <c r="BK230" s="19"/>
      <c r="BL230" s="19"/>
      <c r="BM230" s="19"/>
      <c r="BN230" s="19"/>
      <c r="BO230" s="20"/>
      <c r="BP230" s="20"/>
      <c r="BQ230" s="20"/>
      <c r="BR230" s="20"/>
      <c r="BS230" s="20"/>
      <c r="BT230" s="20"/>
      <c r="BU230" s="20"/>
    </row>
    <row r="231" spans="1:73" ht="30" hidden="1" customHeight="1" x14ac:dyDescent="0.25">
      <c r="A231" s="17"/>
      <c r="B231" s="6" t="s">
        <v>60</v>
      </c>
      <c r="C231" s="11">
        <v>8</v>
      </c>
      <c r="D231" s="98"/>
      <c r="E231" s="18" t="s">
        <v>43</v>
      </c>
      <c r="F231" s="17"/>
      <c r="G231" s="17"/>
      <c r="H231" s="17"/>
      <c r="I231" s="17"/>
      <c r="J231" s="12">
        <v>1</v>
      </c>
      <c r="K231" s="5">
        <v>1</v>
      </c>
      <c r="L231" s="11">
        <v>1</v>
      </c>
      <c r="M231" s="12"/>
      <c r="N231" s="5">
        <v>1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11"/>
      <c r="AK231" s="12"/>
      <c r="AL231" s="5"/>
      <c r="AM231" s="5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20"/>
      <c r="BP231" s="20"/>
      <c r="BQ231" s="20"/>
      <c r="BR231" s="20"/>
      <c r="BS231" s="20"/>
      <c r="BT231" s="20"/>
      <c r="BU231" s="20"/>
    </row>
    <row r="232" spans="1:73" ht="30" hidden="1" customHeight="1" x14ac:dyDescent="0.25">
      <c r="A232" s="17"/>
      <c r="B232" s="6" t="s">
        <v>339</v>
      </c>
      <c r="C232" s="11">
        <v>7</v>
      </c>
      <c r="D232" s="98"/>
      <c r="E232" s="18" t="s">
        <v>43</v>
      </c>
      <c r="F232" s="17"/>
      <c r="G232" s="17"/>
      <c r="H232" s="17"/>
      <c r="I232" s="17"/>
      <c r="J232" s="12">
        <v>1</v>
      </c>
      <c r="K232" s="5">
        <v>1</v>
      </c>
      <c r="L232" s="11">
        <v>1</v>
      </c>
      <c r="M232" s="12"/>
      <c r="N232" s="5">
        <v>1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11"/>
      <c r="AK232" s="12"/>
      <c r="AL232" s="5"/>
      <c r="AM232" s="5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20"/>
      <c r="BP232" s="20"/>
      <c r="BQ232" s="20"/>
      <c r="BR232" s="20"/>
      <c r="BS232" s="20"/>
      <c r="BT232" s="20"/>
      <c r="BU232" s="20"/>
    </row>
    <row r="233" spans="1:73" ht="30" customHeight="1" x14ac:dyDescent="0.25">
      <c r="A233" s="17" t="s">
        <v>340</v>
      </c>
      <c r="B233" s="6" t="s">
        <v>341</v>
      </c>
      <c r="C233" s="11">
        <v>7</v>
      </c>
      <c r="D233" s="98">
        <v>5</v>
      </c>
      <c r="E233" s="18" t="s">
        <v>64</v>
      </c>
      <c r="F233" s="17" t="s">
        <v>41</v>
      </c>
      <c r="G233" s="17" t="s">
        <v>167</v>
      </c>
      <c r="H233" s="17" t="s">
        <v>177</v>
      </c>
      <c r="I233" s="17"/>
      <c r="J233" s="12">
        <v>1</v>
      </c>
      <c r="K233" s="7">
        <v>1</v>
      </c>
      <c r="L233" s="11">
        <v>1</v>
      </c>
      <c r="M233" s="139"/>
      <c r="N233" s="5">
        <v>1</v>
      </c>
      <c r="O233" s="140"/>
      <c r="P233" s="140"/>
      <c r="Q233" s="140"/>
      <c r="R233" s="5">
        <v>1</v>
      </c>
      <c r="S233" s="140"/>
      <c r="T233" s="140"/>
      <c r="U233" s="140"/>
      <c r="V233" s="140"/>
      <c r="W233" s="140"/>
      <c r="X233" s="5">
        <v>1</v>
      </c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  <c r="AJ233" s="13">
        <v>1</v>
      </c>
      <c r="AK233" s="12"/>
      <c r="AL233" s="5"/>
      <c r="AM233" s="5"/>
      <c r="AN233" s="19">
        <v>3.5</v>
      </c>
      <c r="AO233" s="19">
        <v>3.7</v>
      </c>
      <c r="AP233" s="19">
        <v>3.4</v>
      </c>
      <c r="AQ233" s="19"/>
      <c r="AR233" s="19">
        <v>2.5</v>
      </c>
      <c r="AS233" s="19"/>
      <c r="AT233" s="19"/>
      <c r="AU233" s="19"/>
      <c r="AV233" s="19">
        <v>2.8</v>
      </c>
      <c r="AW233" s="19"/>
      <c r="AX233" s="19"/>
      <c r="AY233" s="19"/>
      <c r="AZ233" s="19"/>
      <c r="BA233" s="19"/>
      <c r="BB233" s="19">
        <v>3.3</v>
      </c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>
        <v>3.1</v>
      </c>
      <c r="BO233" s="20"/>
      <c r="BP233" s="20"/>
      <c r="BQ233" s="20"/>
      <c r="BR233" s="20"/>
      <c r="BS233" s="20"/>
      <c r="BT233" s="20"/>
      <c r="BU233" s="20"/>
    </row>
    <row r="234" spans="1:73" ht="30" customHeight="1" x14ac:dyDescent="0.25">
      <c r="A234" s="17" t="s">
        <v>342</v>
      </c>
      <c r="B234" s="6" t="s">
        <v>341</v>
      </c>
      <c r="C234" s="11">
        <v>7</v>
      </c>
      <c r="D234" s="98">
        <v>5</v>
      </c>
      <c r="E234" s="18" t="s">
        <v>64</v>
      </c>
      <c r="F234" s="17" t="s">
        <v>68</v>
      </c>
      <c r="G234" s="17" t="s">
        <v>281</v>
      </c>
      <c r="H234" s="17" t="s">
        <v>177</v>
      </c>
      <c r="I234" s="17"/>
      <c r="J234" s="12">
        <v>1</v>
      </c>
      <c r="K234" s="7">
        <v>1</v>
      </c>
      <c r="L234" s="11">
        <v>1</v>
      </c>
      <c r="M234" s="139"/>
      <c r="N234" s="5">
        <v>1</v>
      </c>
      <c r="O234" s="140"/>
      <c r="P234" s="140"/>
      <c r="Q234" s="140"/>
      <c r="R234" s="5">
        <v>1</v>
      </c>
      <c r="S234" s="140"/>
      <c r="T234" s="140"/>
      <c r="U234" s="140"/>
      <c r="V234" s="140"/>
      <c r="W234" s="140"/>
      <c r="X234" s="5">
        <v>1</v>
      </c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  <c r="AJ234" s="13">
        <v>1</v>
      </c>
      <c r="AK234" s="12"/>
      <c r="AL234" s="5"/>
      <c r="AM234" s="5"/>
      <c r="AN234" s="19">
        <v>3.3</v>
      </c>
      <c r="AO234" s="19">
        <v>3.4</v>
      </c>
      <c r="AP234" s="19">
        <v>3.6</v>
      </c>
      <c r="AQ234" s="19"/>
      <c r="AR234" s="19">
        <v>2.9</v>
      </c>
      <c r="AS234" s="19"/>
      <c r="AT234" s="19"/>
      <c r="AU234" s="19"/>
      <c r="AV234" s="19">
        <v>3.5</v>
      </c>
      <c r="AW234" s="19"/>
      <c r="AX234" s="19"/>
      <c r="AY234" s="19"/>
      <c r="AZ234" s="19"/>
      <c r="BA234" s="19"/>
      <c r="BB234" s="19">
        <v>3.7</v>
      </c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>
        <v>3</v>
      </c>
      <c r="BO234" s="20"/>
      <c r="BP234" s="20"/>
      <c r="BQ234" s="20"/>
      <c r="BR234" s="20"/>
      <c r="BS234" s="20"/>
      <c r="BT234" s="20"/>
      <c r="BU234" s="20"/>
    </row>
    <row r="235" spans="1:73" ht="30" hidden="1" customHeight="1" x14ac:dyDescent="0.25">
      <c r="A235" s="17"/>
      <c r="B235" s="6" t="s">
        <v>289</v>
      </c>
      <c r="C235" s="11">
        <v>7</v>
      </c>
      <c r="D235" s="98"/>
      <c r="E235" s="18" t="s">
        <v>43</v>
      </c>
      <c r="F235" s="17"/>
      <c r="G235" s="17"/>
      <c r="H235" s="17"/>
      <c r="I235" s="17"/>
      <c r="J235" s="12">
        <v>1</v>
      </c>
      <c r="K235" s="5">
        <v>1</v>
      </c>
      <c r="L235" s="11">
        <v>1</v>
      </c>
      <c r="M235" s="12"/>
      <c r="N235" s="5">
        <v>1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11"/>
      <c r="AK235" s="12"/>
      <c r="AL235" s="5"/>
      <c r="AM235" s="5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20"/>
      <c r="BP235" s="20"/>
      <c r="BQ235" s="20"/>
      <c r="BR235" s="20"/>
      <c r="BS235" s="20"/>
      <c r="BT235" s="20"/>
      <c r="BU235" s="20"/>
    </row>
    <row r="236" spans="1:73" ht="30" hidden="1" customHeight="1" x14ac:dyDescent="0.25">
      <c r="A236" s="17"/>
      <c r="B236" s="6" t="s">
        <v>46</v>
      </c>
      <c r="C236" s="11">
        <v>7</v>
      </c>
      <c r="D236" s="98"/>
      <c r="E236" s="18" t="s">
        <v>43</v>
      </c>
      <c r="F236" s="17"/>
      <c r="G236" s="17"/>
      <c r="H236" s="17"/>
      <c r="I236" s="17"/>
      <c r="J236" s="12">
        <v>1</v>
      </c>
      <c r="K236" s="5">
        <v>1</v>
      </c>
      <c r="L236" s="11">
        <v>1</v>
      </c>
      <c r="M236" s="12"/>
      <c r="N236" s="5">
        <v>1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11"/>
      <c r="AK236" s="12"/>
      <c r="AL236" s="5"/>
      <c r="AM236" s="5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20"/>
      <c r="BP236" s="20"/>
      <c r="BQ236" s="20"/>
      <c r="BR236" s="20"/>
      <c r="BS236" s="20"/>
      <c r="BT236" s="20"/>
      <c r="BU236" s="20"/>
    </row>
    <row r="237" spans="1:73" ht="30" customHeight="1" x14ac:dyDescent="0.25">
      <c r="A237" s="17" t="s">
        <v>343</v>
      </c>
      <c r="B237" s="6" t="s">
        <v>46</v>
      </c>
      <c r="C237" s="11">
        <v>7</v>
      </c>
      <c r="D237" s="98"/>
      <c r="E237" s="18" t="s">
        <v>64</v>
      </c>
      <c r="F237" s="17" t="s">
        <v>66</v>
      </c>
      <c r="G237" s="17" t="s">
        <v>163</v>
      </c>
      <c r="H237" s="17" t="s">
        <v>226</v>
      </c>
      <c r="I237" s="17"/>
      <c r="J237" s="12">
        <v>1</v>
      </c>
      <c r="K237" s="5">
        <v>1</v>
      </c>
      <c r="L237" s="11">
        <v>1</v>
      </c>
      <c r="M237" s="12"/>
      <c r="N237" s="5">
        <v>1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11"/>
      <c r="AK237" s="12"/>
      <c r="AL237" s="5"/>
      <c r="AM237" s="5"/>
      <c r="AN237" s="19">
        <v>3.8</v>
      </c>
      <c r="AO237" s="19">
        <v>3.8</v>
      </c>
      <c r="AP237" s="19">
        <v>3.4</v>
      </c>
      <c r="AQ237" s="19"/>
      <c r="AR237" s="19">
        <v>3.3</v>
      </c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20"/>
      <c r="BP237" s="20"/>
      <c r="BQ237" s="20"/>
      <c r="BR237" s="20"/>
      <c r="BS237" s="20"/>
      <c r="BT237" s="20"/>
      <c r="BU237" s="20"/>
    </row>
    <row r="238" spans="1:73" ht="30" customHeight="1" x14ac:dyDescent="0.25">
      <c r="A238" s="17" t="s">
        <v>344</v>
      </c>
      <c r="B238" s="6" t="s">
        <v>46</v>
      </c>
      <c r="C238" s="11">
        <v>7</v>
      </c>
      <c r="D238" s="98">
        <v>5</v>
      </c>
      <c r="E238" s="18" t="s">
        <v>64</v>
      </c>
      <c r="F238" s="17" t="s">
        <v>66</v>
      </c>
      <c r="G238" s="17" t="s">
        <v>163</v>
      </c>
      <c r="H238" s="17" t="s">
        <v>177</v>
      </c>
      <c r="I238" s="17"/>
      <c r="J238" s="12">
        <v>1</v>
      </c>
      <c r="K238" s="5">
        <v>1</v>
      </c>
      <c r="L238" s="11">
        <v>1</v>
      </c>
      <c r="M238" s="12"/>
      <c r="N238" s="5">
        <v>1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11"/>
      <c r="AK238" s="12"/>
      <c r="AL238" s="5"/>
      <c r="AM238" s="5"/>
      <c r="AN238" s="19">
        <v>3</v>
      </c>
      <c r="AO238" s="19">
        <v>2.9</v>
      </c>
      <c r="AP238" s="19">
        <v>2.5</v>
      </c>
      <c r="AQ238" s="19"/>
      <c r="AR238" s="19">
        <v>2</v>
      </c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20"/>
      <c r="BP238" s="20"/>
      <c r="BQ238" s="20"/>
      <c r="BR238" s="20"/>
      <c r="BS238" s="20"/>
      <c r="BT238" s="20"/>
      <c r="BU238" s="20"/>
    </row>
    <row r="239" spans="1:73" ht="30" customHeight="1" x14ac:dyDescent="0.25">
      <c r="A239" s="17" t="s">
        <v>345</v>
      </c>
      <c r="B239" s="6" t="s">
        <v>46</v>
      </c>
      <c r="C239" s="11">
        <v>7</v>
      </c>
      <c r="D239" s="98"/>
      <c r="E239" s="18" t="s">
        <v>64</v>
      </c>
      <c r="F239" s="17" t="s">
        <v>66</v>
      </c>
      <c r="G239" s="17" t="s">
        <v>163</v>
      </c>
      <c r="H239" s="17" t="s">
        <v>226</v>
      </c>
      <c r="I239" s="17"/>
      <c r="J239" s="12"/>
      <c r="K239" s="5"/>
      <c r="L239" s="11"/>
      <c r="M239" s="12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11"/>
      <c r="AK239" s="12"/>
      <c r="AL239" s="5"/>
      <c r="AM239" s="5"/>
      <c r="AN239" s="19">
        <v>3.3</v>
      </c>
      <c r="AO239" s="19">
        <v>3.1</v>
      </c>
      <c r="AP239" s="19">
        <v>2.9</v>
      </c>
      <c r="AQ239" s="19"/>
      <c r="AR239" s="19">
        <v>3.4</v>
      </c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20"/>
      <c r="BP239" s="20"/>
      <c r="BQ239" s="20"/>
      <c r="BR239" s="20"/>
      <c r="BS239" s="20"/>
      <c r="BT239" s="20"/>
      <c r="BU239" s="20"/>
    </row>
    <row r="240" spans="1:73" ht="30" customHeight="1" x14ac:dyDescent="0.25">
      <c r="A240" s="17" t="s">
        <v>346</v>
      </c>
      <c r="B240" s="6" t="s">
        <v>46</v>
      </c>
      <c r="C240" s="11">
        <v>7</v>
      </c>
      <c r="D240" s="98">
        <v>5</v>
      </c>
      <c r="E240" s="18" t="s">
        <v>64</v>
      </c>
      <c r="F240" s="17" t="s">
        <v>66</v>
      </c>
      <c r="G240" s="17" t="s">
        <v>163</v>
      </c>
      <c r="H240" s="17" t="s">
        <v>177</v>
      </c>
      <c r="I240" s="17"/>
      <c r="J240" s="12">
        <v>1</v>
      </c>
      <c r="K240" s="5">
        <v>1</v>
      </c>
      <c r="L240" s="11">
        <v>1</v>
      </c>
      <c r="M240" s="12"/>
      <c r="N240" s="5">
        <v>1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11"/>
      <c r="AK240" s="12"/>
      <c r="AL240" s="5"/>
      <c r="AM240" s="5"/>
      <c r="AN240" s="19">
        <v>3.8</v>
      </c>
      <c r="AO240" s="19">
        <v>3.2</v>
      </c>
      <c r="AP240" s="19">
        <v>3.4</v>
      </c>
      <c r="AQ240" s="19"/>
      <c r="AR240" s="19">
        <v>4</v>
      </c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20"/>
      <c r="BP240" s="20"/>
      <c r="BQ240" s="20"/>
      <c r="BR240" s="20"/>
      <c r="BS240" s="20"/>
      <c r="BT240" s="20"/>
      <c r="BU240" s="20"/>
    </row>
    <row r="241" spans="1:73" ht="30" hidden="1" customHeight="1" x14ac:dyDescent="0.25">
      <c r="A241" s="17"/>
      <c r="B241" s="6" t="s">
        <v>312</v>
      </c>
      <c r="C241" s="11">
        <v>7</v>
      </c>
      <c r="D241" s="98"/>
      <c r="E241" s="18" t="s">
        <v>43</v>
      </c>
      <c r="F241" s="17"/>
      <c r="G241" s="17"/>
      <c r="H241" s="17"/>
      <c r="I241" s="17"/>
      <c r="J241" s="12">
        <v>1</v>
      </c>
      <c r="K241" s="5">
        <v>1</v>
      </c>
      <c r="L241" s="11">
        <v>1</v>
      </c>
      <c r="M241" s="12"/>
      <c r="N241" s="5">
        <v>1</v>
      </c>
      <c r="O241" s="5"/>
      <c r="P241" s="5"/>
      <c r="Q241" s="5"/>
      <c r="R241" s="5"/>
      <c r="S241" s="5">
        <v>1</v>
      </c>
      <c r="T241" s="5"/>
      <c r="U241" s="5"/>
      <c r="V241" s="5"/>
      <c r="W241" s="5"/>
      <c r="X241" s="5">
        <v>1</v>
      </c>
      <c r="Y241" s="5"/>
      <c r="Z241" s="5"/>
      <c r="AA241" s="5"/>
      <c r="AB241" s="5"/>
      <c r="AC241" s="5">
        <v>1</v>
      </c>
      <c r="AD241" s="5"/>
      <c r="AE241" s="5"/>
      <c r="AF241" s="5"/>
      <c r="AG241" s="5"/>
      <c r="AH241" s="5"/>
      <c r="AI241" s="5"/>
      <c r="AJ241" s="11"/>
      <c r="AK241" s="12"/>
      <c r="AL241" s="5"/>
      <c r="AM241" s="5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20"/>
      <c r="BP241" s="20"/>
      <c r="BQ241" s="20"/>
      <c r="BR241" s="20"/>
      <c r="BS241" s="20"/>
      <c r="BT241" s="20"/>
      <c r="BU241" s="20"/>
    </row>
    <row r="242" spans="1:73" ht="30" hidden="1" customHeight="1" x14ac:dyDescent="0.25">
      <c r="A242" s="17"/>
      <c r="B242" s="6" t="s">
        <v>347</v>
      </c>
      <c r="C242" s="11">
        <v>7</v>
      </c>
      <c r="D242" s="98"/>
      <c r="E242" s="18" t="s">
        <v>43</v>
      </c>
      <c r="F242" s="17"/>
      <c r="G242" s="17"/>
      <c r="H242" s="17"/>
      <c r="I242" s="17"/>
      <c r="J242" s="12">
        <v>1</v>
      </c>
      <c r="K242" s="5">
        <v>1</v>
      </c>
      <c r="L242" s="11">
        <v>1</v>
      </c>
      <c r="M242" s="12"/>
      <c r="N242" s="5">
        <v>1</v>
      </c>
      <c r="O242" s="5"/>
      <c r="P242" s="5"/>
      <c r="Q242" s="5"/>
      <c r="R242" s="5">
        <v>2</v>
      </c>
      <c r="S242" s="5"/>
      <c r="T242" s="5"/>
      <c r="U242" s="5"/>
      <c r="V242" s="5"/>
      <c r="W242" s="5"/>
      <c r="X242" s="5">
        <v>2</v>
      </c>
      <c r="Y242" s="5"/>
      <c r="Z242" s="5"/>
      <c r="AA242" s="5"/>
      <c r="AB242" s="5"/>
      <c r="AC242" s="5">
        <v>2</v>
      </c>
      <c r="AD242" s="5"/>
      <c r="AE242" s="5"/>
      <c r="AF242" s="5"/>
      <c r="AG242" s="5"/>
      <c r="AH242" s="5"/>
      <c r="AI242" s="5"/>
      <c r="AJ242" s="11"/>
      <c r="AK242" s="12"/>
      <c r="AL242" s="5"/>
      <c r="AM242" s="5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20"/>
      <c r="BP242" s="20"/>
      <c r="BQ242" s="20"/>
      <c r="BR242" s="20"/>
      <c r="BS242" s="20"/>
      <c r="BT242" s="20"/>
      <c r="BU242" s="20"/>
    </row>
    <row r="243" spans="1:73" ht="30" hidden="1" customHeight="1" x14ac:dyDescent="0.25">
      <c r="A243" s="17"/>
      <c r="B243" s="120" t="s">
        <v>348</v>
      </c>
      <c r="C243" s="11">
        <v>7</v>
      </c>
      <c r="D243" s="98"/>
      <c r="E243" s="18" t="s">
        <v>43</v>
      </c>
      <c r="F243" s="17"/>
      <c r="G243" s="17"/>
      <c r="H243" s="17"/>
      <c r="I243" s="17"/>
      <c r="J243" s="12">
        <v>1</v>
      </c>
      <c r="K243" s="5">
        <v>1</v>
      </c>
      <c r="L243" s="11">
        <v>1</v>
      </c>
      <c r="M243" s="12"/>
      <c r="N243" s="5">
        <v>1</v>
      </c>
      <c r="O243" s="5"/>
      <c r="P243" s="5"/>
      <c r="Q243" s="5"/>
      <c r="R243" s="5">
        <v>1</v>
      </c>
      <c r="S243" s="5"/>
      <c r="T243" s="5"/>
      <c r="U243" s="5"/>
      <c r="V243" s="5"/>
      <c r="W243" s="5"/>
      <c r="X243" s="5">
        <v>1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11"/>
      <c r="AK243" s="12"/>
      <c r="AL243" s="5"/>
      <c r="AM243" s="5"/>
      <c r="AN243" s="19"/>
      <c r="AO243" s="99"/>
      <c r="AP243" s="99"/>
      <c r="AQ243" s="19"/>
      <c r="AR243" s="9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20"/>
      <c r="BP243" s="20"/>
      <c r="BQ243" s="20"/>
      <c r="BR243" s="20"/>
      <c r="BS243" s="20"/>
      <c r="BT243" s="20"/>
      <c r="BU243" s="20"/>
    </row>
    <row r="244" spans="1:73" ht="30" hidden="1" customHeight="1" x14ac:dyDescent="0.25">
      <c r="A244" s="17"/>
      <c r="B244" s="6" t="s">
        <v>349</v>
      </c>
      <c r="C244" s="11">
        <v>6</v>
      </c>
      <c r="D244" s="98"/>
      <c r="E244" s="18" t="s">
        <v>43</v>
      </c>
      <c r="F244" s="17"/>
      <c r="G244" s="17"/>
      <c r="H244" s="17"/>
      <c r="I244" s="17"/>
      <c r="J244" s="12">
        <v>1</v>
      </c>
      <c r="K244" s="5">
        <v>1</v>
      </c>
      <c r="L244" s="11">
        <v>1</v>
      </c>
      <c r="M244" s="12"/>
      <c r="N244" s="5">
        <v>1</v>
      </c>
      <c r="O244" s="5"/>
      <c r="P244" s="5"/>
      <c r="Q244" s="5"/>
      <c r="R244" s="5">
        <v>1</v>
      </c>
      <c r="S244" s="5"/>
      <c r="T244" s="5"/>
      <c r="U244" s="5"/>
      <c r="V244" s="5"/>
      <c r="W244" s="5"/>
      <c r="X244" s="5">
        <v>1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11"/>
      <c r="AK244" s="12"/>
      <c r="AL244" s="5"/>
      <c r="AM244" s="5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20"/>
      <c r="BP244" s="20"/>
      <c r="BQ244" s="20"/>
      <c r="BR244" s="20"/>
      <c r="BS244" s="20"/>
      <c r="BT244" s="20"/>
      <c r="BU244" s="20"/>
    </row>
    <row r="245" spans="1:73" ht="30" hidden="1" customHeight="1" x14ac:dyDescent="0.25">
      <c r="A245" s="17"/>
      <c r="B245" s="120" t="s">
        <v>350</v>
      </c>
      <c r="C245" s="11">
        <v>6</v>
      </c>
      <c r="D245" s="98"/>
      <c r="E245" s="18" t="s">
        <v>43</v>
      </c>
      <c r="F245" s="17"/>
      <c r="G245" s="17"/>
      <c r="H245" s="17"/>
      <c r="I245" s="17"/>
      <c r="J245" s="12">
        <v>1</v>
      </c>
      <c r="K245" s="5">
        <v>1</v>
      </c>
      <c r="L245" s="11">
        <v>1</v>
      </c>
      <c r="M245" s="12"/>
      <c r="N245" s="5">
        <v>1</v>
      </c>
      <c r="O245" s="5"/>
      <c r="P245" s="5"/>
      <c r="Q245" s="5"/>
      <c r="R245" s="5">
        <v>1</v>
      </c>
      <c r="S245" s="5"/>
      <c r="T245" s="5"/>
      <c r="U245" s="5"/>
      <c r="V245" s="5"/>
      <c r="W245" s="5"/>
      <c r="X245" s="5">
        <v>1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11"/>
      <c r="AK245" s="12"/>
      <c r="AL245" s="5"/>
      <c r="AM245" s="5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20"/>
      <c r="BP245" s="20"/>
      <c r="BQ245" s="20"/>
      <c r="BR245" s="20"/>
      <c r="BS245" s="20"/>
      <c r="BT245" s="20"/>
      <c r="BU245" s="20"/>
    </row>
    <row r="246" spans="1:73" ht="30" hidden="1" customHeight="1" x14ac:dyDescent="0.25">
      <c r="A246" s="17"/>
      <c r="B246" s="6" t="s">
        <v>351</v>
      </c>
      <c r="C246" s="11">
        <v>6</v>
      </c>
      <c r="D246" s="98"/>
      <c r="E246" s="18" t="s">
        <v>43</v>
      </c>
      <c r="F246" s="17"/>
      <c r="G246" s="17"/>
      <c r="H246" s="17"/>
      <c r="I246" s="17"/>
      <c r="J246" s="12">
        <v>1</v>
      </c>
      <c r="K246" s="5">
        <v>1</v>
      </c>
      <c r="L246" s="11">
        <v>1</v>
      </c>
      <c r="M246" s="12"/>
      <c r="N246" s="5">
        <v>1</v>
      </c>
      <c r="O246" s="5"/>
      <c r="P246" s="5"/>
      <c r="Q246" s="5"/>
      <c r="R246" s="5">
        <v>1</v>
      </c>
      <c r="S246" s="5"/>
      <c r="T246" s="5"/>
      <c r="U246" s="5"/>
      <c r="V246" s="5"/>
      <c r="W246" s="5"/>
      <c r="X246" s="5">
        <v>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11"/>
      <c r="AK246" s="12"/>
      <c r="AL246" s="5"/>
      <c r="AM246" s="5"/>
      <c r="AN246" s="19"/>
      <c r="AO246" s="99"/>
      <c r="AP246" s="99"/>
      <c r="AQ246" s="99"/>
      <c r="AR246" s="99"/>
      <c r="AS246" s="99"/>
      <c r="AT246" s="99"/>
      <c r="AU246" s="99"/>
      <c r="AV246" s="19"/>
      <c r="AW246" s="99"/>
      <c r="AX246" s="99"/>
      <c r="AY246" s="99"/>
      <c r="AZ246" s="99"/>
      <c r="BA246" s="99"/>
      <c r="BB246" s="19"/>
      <c r="BC246" s="19"/>
      <c r="BD246" s="99"/>
      <c r="BE246" s="99"/>
      <c r="BF246" s="99"/>
      <c r="BG246" s="19"/>
      <c r="BH246" s="99"/>
      <c r="BI246" s="99"/>
      <c r="BJ246" s="99"/>
      <c r="BK246" s="99"/>
      <c r="BL246" s="99"/>
      <c r="BM246" s="99"/>
      <c r="BN246" s="99"/>
      <c r="BO246" s="20"/>
      <c r="BP246" s="20"/>
      <c r="BQ246" s="20"/>
      <c r="BR246" s="20"/>
      <c r="BS246" s="20"/>
      <c r="BT246" s="20"/>
      <c r="BU246" s="20"/>
    </row>
    <row r="247" spans="1:73" ht="30" hidden="1" customHeight="1" x14ac:dyDescent="0.25">
      <c r="A247" s="17"/>
      <c r="B247" s="6" t="s">
        <v>352</v>
      </c>
      <c r="C247" s="11">
        <v>6</v>
      </c>
      <c r="D247" s="98"/>
      <c r="E247" s="18" t="s">
        <v>43</v>
      </c>
      <c r="F247" s="17"/>
      <c r="G247" s="17"/>
      <c r="H247" s="17"/>
      <c r="I247" s="17"/>
      <c r="J247" s="12">
        <v>1</v>
      </c>
      <c r="K247" s="7">
        <v>1</v>
      </c>
      <c r="L247" s="13">
        <v>1</v>
      </c>
      <c r="M247" s="14"/>
      <c r="N247" s="7">
        <v>1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13"/>
      <c r="AK247" s="12"/>
      <c r="AL247" s="5"/>
      <c r="AM247" s="5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20"/>
      <c r="BP247" s="20"/>
      <c r="BQ247" s="20"/>
      <c r="BR247" s="20"/>
      <c r="BS247" s="20"/>
      <c r="BT247" s="20"/>
      <c r="BU247" s="20"/>
    </row>
    <row r="248" spans="1:73" ht="30" hidden="1" customHeight="1" x14ac:dyDescent="0.25">
      <c r="A248" s="17"/>
      <c r="B248" s="6" t="s">
        <v>263</v>
      </c>
      <c r="C248" s="11">
        <v>6</v>
      </c>
      <c r="D248" s="98"/>
      <c r="E248" s="18" t="s">
        <v>43</v>
      </c>
      <c r="F248" s="17"/>
      <c r="G248" s="17"/>
      <c r="H248" s="17"/>
      <c r="I248" s="17"/>
      <c r="J248" s="12">
        <v>1</v>
      </c>
      <c r="K248" s="7">
        <v>1</v>
      </c>
      <c r="L248" s="13">
        <v>1</v>
      </c>
      <c r="M248" s="12"/>
      <c r="N248" s="7">
        <v>1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11"/>
      <c r="AK248" s="12"/>
      <c r="AL248" s="5"/>
      <c r="AM248" s="5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20"/>
      <c r="BP248" s="20"/>
      <c r="BQ248" s="20"/>
      <c r="BR248" s="20"/>
      <c r="BS248" s="20"/>
      <c r="BT248" s="20"/>
      <c r="BU248" s="20"/>
    </row>
    <row r="249" spans="1:73" ht="30" hidden="1" customHeight="1" x14ac:dyDescent="0.25">
      <c r="A249" s="17"/>
      <c r="B249" s="6" t="s">
        <v>353</v>
      </c>
      <c r="C249" s="11">
        <v>6</v>
      </c>
      <c r="D249" s="98"/>
      <c r="E249" s="18" t="s">
        <v>43</v>
      </c>
      <c r="F249" s="17"/>
      <c r="G249" s="17"/>
      <c r="H249" s="17"/>
      <c r="I249" s="17"/>
      <c r="J249" s="12">
        <v>1</v>
      </c>
      <c r="K249" s="5">
        <v>1</v>
      </c>
      <c r="L249" s="11">
        <v>1</v>
      </c>
      <c r="M249" s="12"/>
      <c r="N249" s="5">
        <v>1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11"/>
      <c r="AK249" s="12"/>
      <c r="AL249" s="5"/>
      <c r="AM249" s="5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20"/>
      <c r="BP249" s="20"/>
      <c r="BQ249" s="20"/>
      <c r="BR249" s="20"/>
      <c r="BS249" s="20"/>
      <c r="BT249" s="20"/>
      <c r="BU249" s="20"/>
    </row>
    <row r="250" spans="1:73" ht="30" hidden="1" customHeight="1" x14ac:dyDescent="0.25">
      <c r="A250" s="17"/>
      <c r="B250" s="6" t="s">
        <v>354</v>
      </c>
      <c r="C250" s="11">
        <v>6</v>
      </c>
      <c r="D250" s="98"/>
      <c r="E250" s="18" t="s">
        <v>43</v>
      </c>
      <c r="F250" s="17"/>
      <c r="G250" s="17"/>
      <c r="H250" s="17"/>
      <c r="I250" s="17"/>
      <c r="J250" s="12">
        <v>1</v>
      </c>
      <c r="K250" s="5">
        <v>1</v>
      </c>
      <c r="L250" s="11">
        <v>1</v>
      </c>
      <c r="M250" s="12"/>
      <c r="N250" s="5">
        <v>1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11"/>
      <c r="AK250" s="12"/>
      <c r="AL250" s="5"/>
      <c r="AM250" s="5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20"/>
      <c r="BP250" s="20"/>
      <c r="BQ250" s="20"/>
      <c r="BR250" s="20"/>
      <c r="BS250" s="20"/>
      <c r="BT250" s="20"/>
      <c r="BU250" s="20"/>
    </row>
    <row r="251" spans="1:73" ht="30" hidden="1" customHeight="1" x14ac:dyDescent="0.25">
      <c r="A251" s="17"/>
      <c r="B251" s="6" t="s">
        <v>47</v>
      </c>
      <c r="C251" s="11">
        <v>6</v>
      </c>
      <c r="D251" s="98"/>
      <c r="E251" s="18" t="s">
        <v>43</v>
      </c>
      <c r="F251" s="17"/>
      <c r="G251" s="17"/>
      <c r="H251" s="17"/>
      <c r="I251" s="17"/>
      <c r="J251" s="12">
        <v>1</v>
      </c>
      <c r="K251" s="5">
        <v>1</v>
      </c>
      <c r="L251" s="11">
        <v>1</v>
      </c>
      <c r="M251" s="12"/>
      <c r="N251" s="5">
        <v>1</v>
      </c>
      <c r="O251" s="5"/>
      <c r="P251" s="5"/>
      <c r="Q251" s="5"/>
      <c r="R251" s="5">
        <v>1</v>
      </c>
      <c r="S251" s="5"/>
      <c r="T251" s="5"/>
      <c r="U251" s="5"/>
      <c r="V251" s="5"/>
      <c r="W251" s="5"/>
      <c r="X251" s="5">
        <v>1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11"/>
      <c r="AK251" s="12"/>
      <c r="AL251" s="5"/>
      <c r="AM251" s="5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20"/>
      <c r="BP251" s="20"/>
      <c r="BQ251" s="20"/>
      <c r="BR251" s="20"/>
      <c r="BS251" s="20"/>
      <c r="BT251" s="20"/>
      <c r="BU251" s="20"/>
    </row>
    <row r="252" spans="1:73" ht="30" hidden="1" customHeight="1" x14ac:dyDescent="0.25">
      <c r="A252" s="17"/>
      <c r="B252" s="6" t="s">
        <v>355</v>
      </c>
      <c r="C252" s="11">
        <v>6</v>
      </c>
      <c r="D252" s="98"/>
      <c r="E252" s="18" t="s">
        <v>43</v>
      </c>
      <c r="F252" s="17"/>
      <c r="G252" s="17"/>
      <c r="H252" s="17"/>
      <c r="I252" s="17"/>
      <c r="J252" s="12">
        <v>1</v>
      </c>
      <c r="K252" s="5">
        <v>1</v>
      </c>
      <c r="L252" s="11">
        <v>1</v>
      </c>
      <c r="M252" s="12"/>
      <c r="N252" s="5">
        <v>1</v>
      </c>
      <c r="O252" s="5"/>
      <c r="P252" s="5"/>
      <c r="Q252" s="5"/>
      <c r="R252" s="5">
        <v>1</v>
      </c>
      <c r="S252" s="5"/>
      <c r="T252" s="5"/>
      <c r="U252" s="5"/>
      <c r="V252" s="5"/>
      <c r="W252" s="5"/>
      <c r="X252" s="5">
        <v>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11"/>
      <c r="AK252" s="12"/>
      <c r="AL252" s="5"/>
      <c r="AM252" s="5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20"/>
      <c r="BP252" s="20"/>
      <c r="BQ252" s="20"/>
      <c r="BR252" s="20"/>
      <c r="BS252" s="20"/>
      <c r="BT252" s="20"/>
      <c r="BU252" s="20"/>
    </row>
    <row r="253" spans="1:73" ht="30" hidden="1" customHeight="1" x14ac:dyDescent="0.25">
      <c r="A253" s="17"/>
      <c r="B253" s="6" t="s">
        <v>356</v>
      </c>
      <c r="C253" s="11">
        <v>6</v>
      </c>
      <c r="D253" s="98"/>
      <c r="E253" s="18" t="s">
        <v>43</v>
      </c>
      <c r="F253" s="17"/>
      <c r="G253" s="17"/>
      <c r="H253" s="17"/>
      <c r="I253" s="17"/>
      <c r="J253" s="12">
        <v>1</v>
      </c>
      <c r="K253" s="5">
        <v>1</v>
      </c>
      <c r="L253" s="11">
        <v>1</v>
      </c>
      <c r="M253" s="12"/>
      <c r="N253" s="5">
        <v>1</v>
      </c>
      <c r="O253" s="5"/>
      <c r="P253" s="5"/>
      <c r="Q253" s="5"/>
      <c r="R253" s="5">
        <v>1</v>
      </c>
      <c r="S253" s="5"/>
      <c r="T253" s="5"/>
      <c r="U253" s="5"/>
      <c r="V253" s="5"/>
      <c r="W253" s="5"/>
      <c r="X253" s="5">
        <v>1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11"/>
      <c r="AK253" s="12"/>
      <c r="AL253" s="5"/>
      <c r="AM253" s="5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20"/>
      <c r="BP253" s="20"/>
      <c r="BQ253" s="20"/>
      <c r="BR253" s="20"/>
      <c r="BS253" s="20"/>
      <c r="BT253" s="20"/>
      <c r="BU253" s="20"/>
    </row>
    <row r="254" spans="1:73" ht="30" hidden="1" customHeight="1" x14ac:dyDescent="0.25">
      <c r="A254" s="17"/>
      <c r="B254" s="6" t="s">
        <v>357</v>
      </c>
      <c r="C254" s="11">
        <v>6</v>
      </c>
      <c r="D254" s="98"/>
      <c r="E254" s="18" t="s">
        <v>43</v>
      </c>
      <c r="F254" s="17"/>
      <c r="G254" s="17"/>
      <c r="H254" s="17"/>
      <c r="I254" s="17"/>
      <c r="J254" s="12">
        <v>1</v>
      </c>
      <c r="K254" s="5">
        <v>1</v>
      </c>
      <c r="L254" s="11">
        <v>1</v>
      </c>
      <c r="M254" s="12"/>
      <c r="N254" s="5">
        <v>1</v>
      </c>
      <c r="O254" s="5"/>
      <c r="P254" s="5"/>
      <c r="Q254" s="5"/>
      <c r="R254" s="5">
        <v>2</v>
      </c>
      <c r="S254" s="5"/>
      <c r="T254" s="5"/>
      <c r="U254" s="5">
        <v>1</v>
      </c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>
        <v>1</v>
      </c>
      <c r="AI254" s="5"/>
      <c r="AJ254" s="11"/>
      <c r="AK254" s="12"/>
      <c r="AL254" s="5"/>
      <c r="AM254" s="5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20"/>
      <c r="BP254" s="20"/>
      <c r="BQ254" s="20"/>
      <c r="BR254" s="20"/>
      <c r="BS254" s="20"/>
      <c r="BT254" s="20"/>
      <c r="BU254" s="20"/>
    </row>
    <row r="255" spans="1:73" ht="30" hidden="1" customHeight="1" x14ac:dyDescent="0.25">
      <c r="A255" s="17"/>
      <c r="B255" s="6" t="s">
        <v>358</v>
      </c>
      <c r="C255" s="11">
        <v>6</v>
      </c>
      <c r="D255" s="98"/>
      <c r="E255" s="18" t="s">
        <v>43</v>
      </c>
      <c r="F255" s="17"/>
      <c r="G255" s="17"/>
      <c r="H255" s="17"/>
      <c r="I255" s="17"/>
      <c r="J255" s="12">
        <v>1</v>
      </c>
      <c r="K255" s="5">
        <v>1</v>
      </c>
      <c r="L255" s="11">
        <v>1</v>
      </c>
      <c r="M255" s="12"/>
      <c r="N255" s="5">
        <v>1</v>
      </c>
      <c r="O255" s="5"/>
      <c r="P255" s="5"/>
      <c r="Q255" s="5"/>
      <c r="R255" s="5">
        <v>2</v>
      </c>
      <c r="S255" s="5"/>
      <c r="T255" s="5"/>
      <c r="U255" s="5">
        <v>1</v>
      </c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>
        <v>1</v>
      </c>
      <c r="AI255" s="5"/>
      <c r="AJ255" s="11"/>
      <c r="AK255" s="12"/>
      <c r="AL255" s="5"/>
      <c r="AM255" s="5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20"/>
      <c r="BP255" s="20"/>
      <c r="BQ255" s="20"/>
      <c r="BR255" s="20"/>
      <c r="BS255" s="20"/>
      <c r="BT255" s="20"/>
      <c r="BU255" s="20"/>
    </row>
    <row r="256" spans="1:73" ht="30" hidden="1" customHeight="1" x14ac:dyDescent="0.25">
      <c r="A256" s="17"/>
      <c r="B256" s="6" t="s">
        <v>359</v>
      </c>
      <c r="C256" s="11">
        <v>6</v>
      </c>
      <c r="D256" s="98"/>
      <c r="E256" s="18" t="s">
        <v>43</v>
      </c>
      <c r="F256" s="17"/>
      <c r="G256" s="17"/>
      <c r="H256" s="17"/>
      <c r="I256" s="17"/>
      <c r="J256" s="12">
        <v>1</v>
      </c>
      <c r="K256" s="5">
        <v>1</v>
      </c>
      <c r="L256" s="11">
        <v>1</v>
      </c>
      <c r="M256" s="12"/>
      <c r="N256" s="5">
        <v>1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11"/>
      <c r="AK256" s="12"/>
      <c r="AL256" s="5"/>
      <c r="AM256" s="5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20"/>
      <c r="BP256" s="20"/>
      <c r="BQ256" s="20"/>
      <c r="BR256" s="20"/>
      <c r="BS256" s="20"/>
      <c r="BT256" s="20"/>
      <c r="BU256" s="20"/>
    </row>
    <row r="257" spans="1:73" ht="30" hidden="1" customHeight="1" x14ac:dyDescent="0.25">
      <c r="A257" s="17"/>
      <c r="B257" s="6" t="s">
        <v>360</v>
      </c>
      <c r="C257" s="11">
        <v>6</v>
      </c>
      <c r="D257" s="98"/>
      <c r="E257" s="18" t="s">
        <v>43</v>
      </c>
      <c r="F257" s="17"/>
      <c r="G257" s="17"/>
      <c r="H257" s="17"/>
      <c r="I257" s="17"/>
      <c r="J257" s="12">
        <v>1</v>
      </c>
      <c r="K257" s="5">
        <v>1</v>
      </c>
      <c r="L257" s="11">
        <v>1</v>
      </c>
      <c r="M257" s="12"/>
      <c r="N257" s="5">
        <v>1</v>
      </c>
      <c r="O257" s="5"/>
      <c r="P257" s="5"/>
      <c r="Q257" s="5"/>
      <c r="R257" s="5">
        <v>1</v>
      </c>
      <c r="S257" s="5"/>
      <c r="T257" s="5"/>
      <c r="U257" s="5"/>
      <c r="V257" s="5"/>
      <c r="W257" s="5"/>
      <c r="X257" s="5">
        <v>1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11"/>
      <c r="AK257" s="12"/>
      <c r="AL257" s="5"/>
      <c r="AM257" s="5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20"/>
      <c r="BP257" s="20"/>
      <c r="BQ257" s="20"/>
      <c r="BR257" s="20"/>
      <c r="BS257" s="20"/>
      <c r="BT257" s="20"/>
      <c r="BU257" s="20"/>
    </row>
    <row r="258" spans="1:73" ht="30" hidden="1" customHeight="1" x14ac:dyDescent="0.25">
      <c r="A258" s="17"/>
      <c r="B258" s="6" t="s">
        <v>48</v>
      </c>
      <c r="C258" s="11">
        <v>6</v>
      </c>
      <c r="D258" s="98"/>
      <c r="E258" s="18" t="s">
        <v>43</v>
      </c>
      <c r="F258" s="17"/>
      <c r="G258" s="17"/>
      <c r="H258" s="17"/>
      <c r="I258" s="17"/>
      <c r="J258" s="12">
        <v>1</v>
      </c>
      <c r="K258" s="5">
        <v>1</v>
      </c>
      <c r="L258" s="11">
        <v>1</v>
      </c>
      <c r="M258" s="12"/>
      <c r="N258" s="5">
        <v>1</v>
      </c>
      <c r="O258" s="5"/>
      <c r="P258" s="5"/>
      <c r="Q258" s="5"/>
      <c r="R258" s="5"/>
      <c r="S258" s="5">
        <v>1</v>
      </c>
      <c r="T258" s="5"/>
      <c r="U258" s="5"/>
      <c r="V258" s="5"/>
      <c r="W258" s="5"/>
      <c r="X258" s="5">
        <v>1</v>
      </c>
      <c r="Y258" s="5"/>
      <c r="Z258" s="5"/>
      <c r="AA258" s="5"/>
      <c r="AB258" s="5"/>
      <c r="AC258" s="5">
        <v>1</v>
      </c>
      <c r="AD258" s="5"/>
      <c r="AE258" s="5"/>
      <c r="AF258" s="5"/>
      <c r="AG258" s="5"/>
      <c r="AH258" s="5"/>
      <c r="AI258" s="5"/>
      <c r="AJ258" s="11"/>
      <c r="AK258" s="12"/>
      <c r="AL258" s="5"/>
      <c r="AM258" s="5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20"/>
      <c r="BP258" s="20"/>
      <c r="BQ258" s="20"/>
      <c r="BR258" s="20"/>
      <c r="BS258" s="20"/>
      <c r="BT258" s="20"/>
      <c r="BU258" s="20"/>
    </row>
    <row r="259" spans="1:73" ht="30" hidden="1" customHeight="1" x14ac:dyDescent="0.25">
      <c r="A259" s="17"/>
      <c r="B259" s="6" t="s">
        <v>361</v>
      </c>
      <c r="C259" s="11">
        <v>6</v>
      </c>
      <c r="D259" s="98"/>
      <c r="E259" s="18" t="s">
        <v>43</v>
      </c>
      <c r="F259" s="17"/>
      <c r="G259" s="17"/>
      <c r="H259" s="17"/>
      <c r="I259" s="17"/>
      <c r="J259" s="12">
        <v>1</v>
      </c>
      <c r="K259" s="5">
        <v>1</v>
      </c>
      <c r="L259" s="11">
        <v>1</v>
      </c>
      <c r="M259" s="12"/>
      <c r="N259" s="5">
        <v>1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11"/>
      <c r="AK259" s="12"/>
      <c r="AL259" s="5"/>
      <c r="AM259" s="5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20"/>
      <c r="BP259" s="20"/>
      <c r="BQ259" s="20"/>
      <c r="BR259" s="20"/>
      <c r="BS259" s="20"/>
      <c r="BT259" s="20"/>
      <c r="BU259" s="20"/>
    </row>
    <row r="260" spans="1:73" ht="30" hidden="1" customHeight="1" x14ac:dyDescent="0.25">
      <c r="A260" s="17"/>
      <c r="B260" s="136" t="s">
        <v>362</v>
      </c>
      <c r="C260" s="11">
        <v>6</v>
      </c>
      <c r="D260" s="98"/>
      <c r="E260" s="18" t="s">
        <v>43</v>
      </c>
      <c r="F260" s="17"/>
      <c r="G260" s="17"/>
      <c r="H260" s="17"/>
      <c r="I260" s="17"/>
      <c r="J260" s="12">
        <v>1</v>
      </c>
      <c r="K260" s="5">
        <v>1</v>
      </c>
      <c r="L260" s="11">
        <v>1</v>
      </c>
      <c r="M260" s="12"/>
      <c r="N260" s="5">
        <v>1</v>
      </c>
      <c r="O260" s="5"/>
      <c r="P260" s="5"/>
      <c r="Q260" s="5"/>
      <c r="R260" s="5">
        <v>1</v>
      </c>
      <c r="S260" s="5"/>
      <c r="T260" s="5">
        <v>1</v>
      </c>
      <c r="U260" s="5"/>
      <c r="V260" s="5"/>
      <c r="W260" s="5">
        <v>1</v>
      </c>
      <c r="X260" s="5">
        <v>1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11"/>
      <c r="AK260" s="12"/>
      <c r="AL260" s="5"/>
      <c r="AM260" s="5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20"/>
      <c r="BP260" s="20"/>
      <c r="BQ260" s="20"/>
      <c r="BR260" s="20"/>
      <c r="BS260" s="20"/>
      <c r="BT260" s="20"/>
      <c r="BU260" s="20"/>
    </row>
    <row r="261" spans="1:73" ht="30" hidden="1" customHeight="1" x14ac:dyDescent="0.25">
      <c r="A261" s="17"/>
      <c r="B261" s="6" t="s">
        <v>363</v>
      </c>
      <c r="C261" s="11">
        <v>6</v>
      </c>
      <c r="D261" s="98"/>
      <c r="E261" s="18" t="s">
        <v>43</v>
      </c>
      <c r="F261" s="17"/>
      <c r="G261" s="17"/>
      <c r="H261" s="17"/>
      <c r="I261" s="17"/>
      <c r="J261" s="12">
        <v>1</v>
      </c>
      <c r="K261" s="7">
        <v>1</v>
      </c>
      <c r="L261" s="13">
        <v>1</v>
      </c>
      <c r="M261" s="12"/>
      <c r="N261" s="7">
        <v>1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11"/>
      <c r="AK261" s="12"/>
      <c r="AL261" s="5"/>
      <c r="AM261" s="5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20"/>
      <c r="BP261" s="20"/>
      <c r="BQ261" s="20"/>
      <c r="BR261" s="20"/>
      <c r="BS261" s="20"/>
      <c r="BT261" s="20"/>
      <c r="BU261" s="20"/>
    </row>
    <row r="262" spans="1:73" ht="0.75" customHeight="1" x14ac:dyDescent="0.25">
      <c r="A262" s="17"/>
      <c r="B262" s="6" t="s">
        <v>364</v>
      </c>
      <c r="C262" s="11">
        <v>6</v>
      </c>
      <c r="D262" s="98"/>
      <c r="E262" s="18" t="s">
        <v>43</v>
      </c>
      <c r="F262" s="17"/>
      <c r="G262" s="17"/>
      <c r="H262" s="17"/>
      <c r="I262" s="17"/>
      <c r="J262" s="12">
        <v>1</v>
      </c>
      <c r="K262" s="5">
        <v>1</v>
      </c>
      <c r="L262" s="11">
        <v>1</v>
      </c>
      <c r="M262" s="12"/>
      <c r="N262" s="5">
        <v>1</v>
      </c>
      <c r="O262" s="5"/>
      <c r="P262" s="5"/>
      <c r="Q262" s="5"/>
      <c r="R262" s="5">
        <v>1</v>
      </c>
      <c r="S262" s="5"/>
      <c r="T262" s="5"/>
      <c r="U262" s="5"/>
      <c r="V262" s="5"/>
      <c r="W262" s="5"/>
      <c r="X262" s="5">
        <v>1</v>
      </c>
      <c r="Y262" s="5"/>
      <c r="Z262" s="5"/>
      <c r="AA262" s="5"/>
      <c r="AB262" s="5"/>
      <c r="AC262" s="5">
        <v>1</v>
      </c>
      <c r="AD262" s="5"/>
      <c r="AE262" s="5"/>
      <c r="AF262" s="5"/>
      <c r="AG262" s="5"/>
      <c r="AH262" s="5"/>
      <c r="AI262" s="5">
        <v>1</v>
      </c>
      <c r="AJ262" s="11"/>
      <c r="AK262" s="12"/>
      <c r="AL262" s="5"/>
      <c r="AM262" s="5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20"/>
      <c r="BP262" s="20"/>
      <c r="BQ262" s="20"/>
      <c r="BR262" s="20"/>
      <c r="BS262" s="20"/>
      <c r="BT262" s="20"/>
      <c r="BU262" s="20"/>
    </row>
    <row r="263" spans="1:73" ht="30" customHeight="1" x14ac:dyDescent="0.25">
      <c r="A263" s="17" t="s">
        <v>365</v>
      </c>
      <c r="B263" s="6" t="s">
        <v>61</v>
      </c>
      <c r="C263" s="11">
        <v>6</v>
      </c>
      <c r="D263" s="98"/>
      <c r="E263" s="18" t="s">
        <v>64</v>
      </c>
      <c r="F263" s="17" t="s">
        <v>65</v>
      </c>
      <c r="G263" s="17" t="s">
        <v>165</v>
      </c>
      <c r="H263" s="17" t="s">
        <v>177</v>
      </c>
      <c r="I263" s="17"/>
      <c r="J263" s="12">
        <v>1</v>
      </c>
      <c r="K263" s="5">
        <v>1</v>
      </c>
      <c r="L263" s="11">
        <v>1</v>
      </c>
      <c r="M263" s="12"/>
      <c r="N263" s="5">
        <v>1</v>
      </c>
      <c r="O263" s="5"/>
      <c r="P263" s="5"/>
      <c r="Q263" s="5"/>
      <c r="R263" s="5">
        <v>1</v>
      </c>
      <c r="S263" s="5"/>
      <c r="T263" s="5"/>
      <c r="U263" s="5">
        <v>1</v>
      </c>
      <c r="V263" s="5"/>
      <c r="W263" s="5"/>
      <c r="X263" s="5">
        <v>1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>
        <v>1</v>
      </c>
      <c r="AI263" s="5"/>
      <c r="AJ263" s="11"/>
      <c r="AK263" s="12"/>
      <c r="AL263" s="5"/>
      <c r="AM263" s="5"/>
      <c r="AN263" s="19">
        <v>3.6</v>
      </c>
      <c r="AO263" s="19">
        <v>3.7</v>
      </c>
      <c r="AP263" s="19">
        <v>3</v>
      </c>
      <c r="AQ263" s="19"/>
      <c r="AR263" s="19">
        <v>3</v>
      </c>
      <c r="AS263" s="19"/>
      <c r="AT263" s="19"/>
      <c r="AU263" s="19"/>
      <c r="AV263" s="19">
        <v>2.8</v>
      </c>
      <c r="AW263" s="19"/>
      <c r="AX263" s="19"/>
      <c r="AY263" s="19">
        <v>3</v>
      </c>
      <c r="AZ263" s="19"/>
      <c r="BA263" s="19"/>
      <c r="BB263" s="19">
        <v>2.1</v>
      </c>
      <c r="BC263" s="19"/>
      <c r="BD263" s="19"/>
      <c r="BE263" s="19"/>
      <c r="BF263" s="19"/>
      <c r="BG263" s="19"/>
      <c r="BH263" s="19"/>
      <c r="BI263" s="19"/>
      <c r="BJ263" s="19"/>
      <c r="BK263" s="19"/>
      <c r="BL263" s="19">
        <v>2.5</v>
      </c>
      <c r="BM263" s="19"/>
      <c r="BN263" s="19"/>
      <c r="BO263" s="20"/>
      <c r="BP263" s="20"/>
      <c r="BQ263" s="20"/>
      <c r="BR263" s="20"/>
      <c r="BS263" s="20"/>
      <c r="BT263" s="20"/>
      <c r="BU263" s="20"/>
    </row>
    <row r="264" spans="1:73" s="119" customFormat="1" ht="30" customHeight="1" x14ac:dyDescent="0.25">
      <c r="A264" s="109" t="s">
        <v>366</v>
      </c>
      <c r="B264" s="110" t="s">
        <v>61</v>
      </c>
      <c r="C264" s="111">
        <v>6</v>
      </c>
      <c r="D264" s="112"/>
      <c r="E264" s="113" t="s">
        <v>64</v>
      </c>
      <c r="F264" s="109" t="s">
        <v>65</v>
      </c>
      <c r="G264" s="109" t="s">
        <v>165</v>
      </c>
      <c r="H264" s="109" t="s">
        <v>177</v>
      </c>
      <c r="I264" s="109"/>
      <c r="J264" s="114">
        <v>1</v>
      </c>
      <c r="K264" s="115">
        <v>1</v>
      </c>
      <c r="L264" s="111">
        <v>1</v>
      </c>
      <c r="M264" s="114"/>
      <c r="N264" s="115">
        <v>1</v>
      </c>
      <c r="O264" s="115"/>
      <c r="P264" s="115"/>
      <c r="Q264" s="115"/>
      <c r="R264" s="115">
        <v>1</v>
      </c>
      <c r="S264" s="115"/>
      <c r="T264" s="115"/>
      <c r="U264" s="115">
        <v>1</v>
      </c>
      <c r="V264" s="115"/>
      <c r="W264" s="115"/>
      <c r="X264" s="115">
        <v>1</v>
      </c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>
        <v>1</v>
      </c>
      <c r="AI264" s="115"/>
      <c r="AJ264" s="111"/>
      <c r="AK264" s="114"/>
      <c r="AL264" s="115"/>
      <c r="AM264" s="115"/>
      <c r="AN264" s="116">
        <v>3.4</v>
      </c>
      <c r="AO264" s="116">
        <v>4</v>
      </c>
      <c r="AP264" s="116">
        <v>3.7</v>
      </c>
      <c r="AQ264" s="116"/>
      <c r="AR264" s="116">
        <v>3.8</v>
      </c>
      <c r="AS264" s="116"/>
      <c r="AT264" s="116"/>
      <c r="AU264" s="116"/>
      <c r="AV264" s="116">
        <v>3.8</v>
      </c>
      <c r="AW264" s="116"/>
      <c r="AX264" s="116"/>
      <c r="AY264" s="116">
        <v>4</v>
      </c>
      <c r="AZ264" s="116"/>
      <c r="BA264" s="116"/>
      <c r="BB264" s="116">
        <v>3.2</v>
      </c>
      <c r="BC264" s="116"/>
      <c r="BD264" s="116"/>
      <c r="BE264" s="116"/>
      <c r="BF264" s="116"/>
      <c r="BG264" s="116"/>
      <c r="BH264" s="116"/>
      <c r="BI264" s="116"/>
      <c r="BJ264" s="116"/>
      <c r="BK264" s="116"/>
      <c r="BL264" s="116"/>
      <c r="BM264" s="116"/>
      <c r="BN264" s="116"/>
      <c r="BO264" s="118"/>
      <c r="BP264" s="118"/>
      <c r="BQ264" s="118"/>
      <c r="BR264" s="118"/>
      <c r="BS264" s="118"/>
      <c r="BT264" s="118"/>
      <c r="BU264" s="118"/>
    </row>
    <row r="265" spans="1:73" s="119" customFormat="1" ht="30" customHeight="1" x14ac:dyDescent="0.25">
      <c r="A265" s="109" t="s">
        <v>367</v>
      </c>
      <c r="B265" s="110" t="s">
        <v>61</v>
      </c>
      <c r="C265" s="111">
        <v>6</v>
      </c>
      <c r="D265" s="112"/>
      <c r="E265" s="113" t="s">
        <v>64</v>
      </c>
      <c r="F265" s="109" t="s">
        <v>65</v>
      </c>
      <c r="G265" s="109" t="s">
        <v>165</v>
      </c>
      <c r="H265" s="109" t="s">
        <v>177</v>
      </c>
      <c r="I265" s="109"/>
      <c r="J265" s="114">
        <v>1</v>
      </c>
      <c r="K265" s="115">
        <v>1</v>
      </c>
      <c r="L265" s="111">
        <v>1</v>
      </c>
      <c r="M265" s="114"/>
      <c r="N265" s="115">
        <v>1</v>
      </c>
      <c r="O265" s="115"/>
      <c r="P265" s="115"/>
      <c r="Q265" s="115"/>
      <c r="R265" s="115">
        <v>1</v>
      </c>
      <c r="S265" s="115"/>
      <c r="T265" s="115"/>
      <c r="U265" s="115">
        <v>1</v>
      </c>
      <c r="V265" s="115"/>
      <c r="W265" s="115"/>
      <c r="X265" s="115">
        <v>1</v>
      </c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>
        <v>1</v>
      </c>
      <c r="AI265" s="115"/>
      <c r="AJ265" s="111"/>
      <c r="AK265" s="114"/>
      <c r="AL265" s="115"/>
      <c r="AM265" s="115"/>
      <c r="AN265" s="116">
        <v>3</v>
      </c>
      <c r="AO265" s="116">
        <v>3</v>
      </c>
      <c r="AP265" s="116">
        <v>3</v>
      </c>
      <c r="AQ265" s="116"/>
      <c r="AR265" s="116">
        <v>3.1</v>
      </c>
      <c r="AS265" s="116"/>
      <c r="AT265" s="116"/>
      <c r="AU265" s="116"/>
      <c r="AV265" s="116">
        <v>3.1</v>
      </c>
      <c r="AW265" s="116"/>
      <c r="AX265" s="116"/>
      <c r="AY265" s="130">
        <v>0</v>
      </c>
      <c r="AZ265" s="116"/>
      <c r="BA265" s="116"/>
      <c r="BB265" s="130">
        <v>0</v>
      </c>
      <c r="BC265" s="116"/>
      <c r="BD265" s="116"/>
      <c r="BE265" s="116"/>
      <c r="BF265" s="116"/>
      <c r="BG265" s="116"/>
      <c r="BH265" s="116"/>
      <c r="BI265" s="116"/>
      <c r="BJ265" s="116"/>
      <c r="BK265" s="116"/>
      <c r="BL265" s="116"/>
      <c r="BM265" s="116"/>
      <c r="BN265" s="116"/>
      <c r="BO265" s="118"/>
      <c r="BP265" s="118"/>
      <c r="BQ265" s="118"/>
      <c r="BR265" s="118"/>
      <c r="BS265" s="118"/>
      <c r="BT265" s="118"/>
      <c r="BU265" s="118"/>
    </row>
    <row r="266" spans="1:73" ht="30" customHeight="1" x14ac:dyDescent="0.25">
      <c r="A266" s="17" t="s">
        <v>368</v>
      </c>
      <c r="B266" s="6" t="s">
        <v>61</v>
      </c>
      <c r="C266" s="11">
        <v>6</v>
      </c>
      <c r="D266" s="98"/>
      <c r="E266" s="18" t="s">
        <v>64</v>
      </c>
      <c r="F266" s="17" t="s">
        <v>65</v>
      </c>
      <c r="G266" s="17" t="s">
        <v>165</v>
      </c>
      <c r="H266" s="17" t="s">
        <v>177</v>
      </c>
      <c r="I266" s="17"/>
      <c r="J266" s="12">
        <v>1</v>
      </c>
      <c r="K266" s="5">
        <v>1</v>
      </c>
      <c r="L266" s="11">
        <v>1</v>
      </c>
      <c r="M266" s="12"/>
      <c r="N266" s="5">
        <v>1</v>
      </c>
      <c r="O266" s="5"/>
      <c r="P266" s="5"/>
      <c r="Q266" s="5"/>
      <c r="R266" s="5">
        <v>1</v>
      </c>
      <c r="S266" s="5"/>
      <c r="T266" s="5"/>
      <c r="U266" s="5">
        <v>1</v>
      </c>
      <c r="V266" s="5"/>
      <c r="W266" s="5"/>
      <c r="X266" s="5">
        <v>1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>
        <v>1</v>
      </c>
      <c r="AI266" s="5"/>
      <c r="AJ266" s="11"/>
      <c r="AK266" s="12"/>
      <c r="AL266" s="5"/>
      <c r="AM266" s="5"/>
      <c r="AN266" s="19">
        <v>3.8</v>
      </c>
      <c r="AO266" s="19">
        <v>3.3</v>
      </c>
      <c r="AP266" s="19">
        <v>3.2</v>
      </c>
      <c r="AQ266" s="19"/>
      <c r="AR266" s="19">
        <v>3</v>
      </c>
      <c r="AS266" s="19"/>
      <c r="AT266" s="19"/>
      <c r="AU266" s="19"/>
      <c r="AV266" s="19">
        <v>2.8</v>
      </c>
      <c r="AW266" s="19"/>
      <c r="AX266" s="19"/>
      <c r="AY266" s="19">
        <v>2.5</v>
      </c>
      <c r="AZ266" s="19"/>
      <c r="BA266" s="19"/>
      <c r="BB266" s="19">
        <v>2.2999999999999998</v>
      </c>
      <c r="BC266" s="19"/>
      <c r="BD266" s="19"/>
      <c r="BE266" s="19"/>
      <c r="BF266" s="19"/>
      <c r="BG266" s="19"/>
      <c r="BH266" s="19"/>
      <c r="BI266" s="19"/>
      <c r="BJ266" s="19"/>
      <c r="BK266" s="19"/>
      <c r="BL266" s="19">
        <v>2.6</v>
      </c>
      <c r="BM266" s="19"/>
      <c r="BN266" s="19"/>
      <c r="BO266" s="20"/>
      <c r="BP266" s="20"/>
      <c r="BQ266" s="20"/>
      <c r="BR266" s="20"/>
      <c r="BS266" s="20"/>
      <c r="BT266" s="20"/>
      <c r="BU266" s="20"/>
    </row>
    <row r="267" spans="1:73" ht="30" hidden="1" customHeight="1" x14ac:dyDescent="0.25">
      <c r="A267" s="17"/>
      <c r="B267" s="6" t="s">
        <v>369</v>
      </c>
      <c r="C267" s="11">
        <v>6</v>
      </c>
      <c r="D267" s="98"/>
      <c r="E267" s="18" t="s">
        <v>43</v>
      </c>
      <c r="F267" s="17"/>
      <c r="G267" s="17"/>
      <c r="H267" s="17"/>
      <c r="I267" s="17"/>
      <c r="J267" s="12">
        <v>1</v>
      </c>
      <c r="K267" s="7">
        <v>1</v>
      </c>
      <c r="L267" s="13">
        <v>1</v>
      </c>
      <c r="M267" s="139"/>
      <c r="N267" s="7">
        <v>1</v>
      </c>
      <c r="O267" s="140"/>
      <c r="P267" s="140"/>
      <c r="Q267" s="140"/>
      <c r="R267" s="5">
        <v>1</v>
      </c>
      <c r="S267" s="140"/>
      <c r="T267" s="140"/>
      <c r="U267" s="140"/>
      <c r="V267" s="140"/>
      <c r="W267" s="140"/>
      <c r="X267" s="5">
        <v>1</v>
      </c>
      <c r="Y267" s="5">
        <v>1</v>
      </c>
      <c r="Z267" s="140"/>
      <c r="AA267" s="140"/>
      <c r="AB267" s="140"/>
      <c r="AC267" s="5">
        <v>1</v>
      </c>
      <c r="AD267" s="140"/>
      <c r="AE267" s="140"/>
      <c r="AF267" s="140"/>
      <c r="AG267" s="140"/>
      <c r="AH267" s="140"/>
      <c r="AI267" s="140"/>
      <c r="AJ267" s="15"/>
      <c r="AK267" s="12"/>
      <c r="AL267" s="5"/>
      <c r="AM267" s="5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20"/>
      <c r="BP267" s="20"/>
      <c r="BQ267" s="20"/>
      <c r="BR267" s="20"/>
      <c r="BS267" s="20"/>
      <c r="BT267" s="20"/>
      <c r="BU267" s="20"/>
    </row>
    <row r="268" spans="1:73" ht="30" hidden="1" customHeight="1" x14ac:dyDescent="0.25">
      <c r="A268" s="17"/>
      <c r="B268" s="6" t="s">
        <v>370</v>
      </c>
      <c r="C268" s="11">
        <v>6</v>
      </c>
      <c r="D268" s="98"/>
      <c r="E268" s="18" t="s">
        <v>43</v>
      </c>
      <c r="F268" s="17"/>
      <c r="G268" s="17"/>
      <c r="H268" s="17"/>
      <c r="I268" s="17"/>
      <c r="J268" s="12">
        <v>1</v>
      </c>
      <c r="K268" s="5">
        <v>1</v>
      </c>
      <c r="L268" s="11">
        <v>1</v>
      </c>
      <c r="M268" s="12"/>
      <c r="N268" s="5">
        <v>1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11"/>
      <c r="AK268" s="12"/>
      <c r="AL268" s="5"/>
      <c r="AM268" s="5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20"/>
      <c r="BP268" s="20"/>
      <c r="BQ268" s="20"/>
      <c r="BR268" s="20"/>
      <c r="BS268" s="20"/>
      <c r="BT268" s="20"/>
      <c r="BU268" s="20"/>
    </row>
    <row r="269" spans="1:73" ht="30" hidden="1" customHeight="1" x14ac:dyDescent="0.25">
      <c r="A269" s="17"/>
      <c r="B269" s="6" t="s">
        <v>371</v>
      </c>
      <c r="C269" s="11">
        <v>5</v>
      </c>
      <c r="D269" s="98"/>
      <c r="E269" s="18" t="s">
        <v>43</v>
      </c>
      <c r="F269" s="17"/>
      <c r="G269" s="17"/>
      <c r="H269" s="17"/>
      <c r="I269" s="17"/>
      <c r="J269" s="12">
        <v>1</v>
      </c>
      <c r="K269" s="5">
        <v>1</v>
      </c>
      <c r="L269" s="11">
        <v>1</v>
      </c>
      <c r="M269" s="12"/>
      <c r="N269" s="5">
        <v>1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11"/>
      <c r="AK269" s="12"/>
      <c r="AL269" s="5"/>
      <c r="AM269" s="5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20"/>
      <c r="BP269" s="20"/>
      <c r="BQ269" s="20"/>
      <c r="BR269" s="20"/>
      <c r="BS269" s="20"/>
      <c r="BT269" s="20"/>
      <c r="BU269" s="20"/>
    </row>
    <row r="270" spans="1:73" ht="30" hidden="1" customHeight="1" x14ac:dyDescent="0.25">
      <c r="A270" s="17"/>
      <c r="B270" s="6" t="s">
        <v>372</v>
      </c>
      <c r="C270" s="11">
        <v>5</v>
      </c>
      <c r="D270" s="98"/>
      <c r="E270" s="18" t="s">
        <v>43</v>
      </c>
      <c r="F270" s="17"/>
      <c r="G270" s="17"/>
      <c r="H270" s="17"/>
      <c r="I270" s="17"/>
      <c r="J270" s="12">
        <v>1</v>
      </c>
      <c r="K270" s="5">
        <v>1</v>
      </c>
      <c r="L270" s="11">
        <v>1</v>
      </c>
      <c r="M270" s="12"/>
      <c r="N270" s="5">
        <v>1</v>
      </c>
      <c r="O270" s="5"/>
      <c r="P270" s="5"/>
      <c r="Q270" s="5"/>
      <c r="R270" s="5"/>
      <c r="S270" s="5"/>
      <c r="T270" s="5"/>
      <c r="U270" s="5"/>
      <c r="V270" s="5"/>
      <c r="W270" s="5"/>
      <c r="X270" s="5">
        <v>1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11"/>
      <c r="AK270" s="12"/>
      <c r="AL270" s="5"/>
      <c r="AM270" s="5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20"/>
      <c r="BP270" s="20"/>
      <c r="BQ270" s="20"/>
      <c r="BR270" s="20"/>
      <c r="BS270" s="20"/>
      <c r="BT270" s="20"/>
      <c r="BU270" s="20"/>
    </row>
    <row r="271" spans="1:73" ht="30" hidden="1" customHeight="1" x14ac:dyDescent="0.25">
      <c r="A271" s="17"/>
      <c r="B271" s="6" t="s">
        <v>373</v>
      </c>
      <c r="C271" s="11">
        <v>5</v>
      </c>
      <c r="D271" s="98"/>
      <c r="E271" s="18" t="s">
        <v>43</v>
      </c>
      <c r="F271" s="17"/>
      <c r="G271" s="17"/>
      <c r="H271" s="17"/>
      <c r="I271" s="17"/>
      <c r="J271" s="12">
        <v>1</v>
      </c>
      <c r="K271" s="5">
        <v>1</v>
      </c>
      <c r="L271" s="11">
        <v>1</v>
      </c>
      <c r="M271" s="12"/>
      <c r="N271" s="5">
        <v>1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11"/>
      <c r="AK271" s="12"/>
      <c r="AL271" s="5"/>
      <c r="AM271" s="5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20"/>
      <c r="BP271" s="20"/>
      <c r="BQ271" s="20"/>
      <c r="BR271" s="20"/>
      <c r="BS271" s="20"/>
      <c r="BT271" s="20"/>
      <c r="BU271" s="20"/>
    </row>
    <row r="272" spans="1:73" ht="30" hidden="1" customHeight="1" x14ac:dyDescent="0.25">
      <c r="A272" s="17"/>
      <c r="B272" s="9" t="s">
        <v>374</v>
      </c>
      <c r="C272" s="11">
        <v>5</v>
      </c>
      <c r="D272" s="98"/>
      <c r="E272" s="18" t="s">
        <v>43</v>
      </c>
      <c r="F272" s="17"/>
      <c r="G272" s="17"/>
      <c r="H272" s="17"/>
      <c r="I272" s="17"/>
      <c r="J272" s="12">
        <v>1</v>
      </c>
      <c r="K272" s="5">
        <v>1</v>
      </c>
      <c r="L272" s="11">
        <v>1</v>
      </c>
      <c r="M272" s="12"/>
      <c r="N272" s="5">
        <v>1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>
        <v>1</v>
      </c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11"/>
      <c r="AK272" s="12"/>
      <c r="AL272" s="5"/>
      <c r="AM272" s="5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20"/>
      <c r="BP272" s="20"/>
      <c r="BQ272" s="20"/>
      <c r="BR272" s="20"/>
      <c r="BS272" s="20"/>
      <c r="BT272" s="20"/>
      <c r="BU272" s="20"/>
    </row>
    <row r="273" spans="1:73" ht="30" hidden="1" customHeight="1" x14ac:dyDescent="0.25">
      <c r="A273" s="17"/>
      <c r="B273" s="120" t="s">
        <v>375</v>
      </c>
      <c r="C273" s="11">
        <v>5</v>
      </c>
      <c r="D273" s="98"/>
      <c r="E273" s="18" t="s">
        <v>43</v>
      </c>
      <c r="F273" s="17"/>
      <c r="G273" s="17"/>
      <c r="H273" s="17"/>
      <c r="I273" s="17"/>
      <c r="J273" s="12">
        <v>1</v>
      </c>
      <c r="K273" s="5">
        <v>1</v>
      </c>
      <c r="L273" s="11">
        <v>1</v>
      </c>
      <c r="M273" s="12"/>
      <c r="N273" s="5">
        <v>1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>
        <v>1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11"/>
      <c r="AK273" s="12"/>
      <c r="AL273" s="5"/>
      <c r="AM273" s="5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20"/>
      <c r="BP273" s="20"/>
      <c r="BQ273" s="20"/>
      <c r="BR273" s="20"/>
      <c r="BS273" s="20"/>
      <c r="BT273" s="20"/>
      <c r="BU273" s="20"/>
    </row>
    <row r="274" spans="1:73" ht="30" hidden="1" customHeight="1" x14ac:dyDescent="0.25">
      <c r="A274" s="17"/>
      <c r="B274" s="6" t="s">
        <v>376</v>
      </c>
      <c r="C274" s="11">
        <v>4</v>
      </c>
      <c r="D274" s="98"/>
      <c r="E274" s="18" t="s">
        <v>43</v>
      </c>
      <c r="F274" s="17"/>
      <c r="G274" s="17"/>
      <c r="H274" s="17"/>
      <c r="I274" s="17"/>
      <c r="J274" s="12">
        <v>1</v>
      </c>
      <c r="K274" s="5">
        <v>1</v>
      </c>
      <c r="L274" s="11">
        <v>1</v>
      </c>
      <c r="M274" s="12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11"/>
      <c r="AK274" s="12"/>
      <c r="AL274" s="5"/>
      <c r="AM274" s="5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20"/>
      <c r="BP274" s="20"/>
      <c r="BQ274" s="20"/>
      <c r="BR274" s="20"/>
      <c r="BS274" s="20"/>
      <c r="BT274" s="20"/>
      <c r="BU274" s="20"/>
    </row>
    <row r="275" spans="1:73" ht="30" hidden="1" customHeight="1" x14ac:dyDescent="0.25">
      <c r="A275" s="17"/>
      <c r="B275" s="6" t="s">
        <v>377</v>
      </c>
      <c r="C275" s="11">
        <v>4</v>
      </c>
      <c r="D275" s="98"/>
      <c r="E275" s="18" t="s">
        <v>43</v>
      </c>
      <c r="F275" s="17"/>
      <c r="G275" s="17"/>
      <c r="H275" s="17"/>
      <c r="I275" s="17"/>
      <c r="J275" s="12">
        <v>1</v>
      </c>
      <c r="K275" s="5">
        <v>1</v>
      </c>
      <c r="L275" s="11">
        <v>1</v>
      </c>
      <c r="M275" s="12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11"/>
      <c r="AK275" s="12"/>
      <c r="AL275" s="5"/>
      <c r="AM275" s="5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20"/>
      <c r="BP275" s="20"/>
      <c r="BQ275" s="20"/>
      <c r="BR275" s="20"/>
      <c r="BS275" s="20"/>
      <c r="BT275" s="20"/>
      <c r="BU275" s="20"/>
    </row>
    <row r="276" spans="1:73" ht="30" hidden="1" customHeight="1" x14ac:dyDescent="0.25">
      <c r="A276" s="17"/>
      <c r="B276" s="6" t="s">
        <v>378</v>
      </c>
      <c r="C276" s="11">
        <v>4</v>
      </c>
      <c r="D276" s="98"/>
      <c r="E276" s="18" t="s">
        <v>43</v>
      </c>
      <c r="F276" s="17"/>
      <c r="G276" s="17"/>
      <c r="H276" s="17"/>
      <c r="I276" s="17"/>
      <c r="J276" s="12">
        <v>1</v>
      </c>
      <c r="K276" s="5">
        <v>1</v>
      </c>
      <c r="L276" s="11">
        <v>1</v>
      </c>
      <c r="M276" s="12"/>
      <c r="N276" s="5">
        <v>1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11"/>
      <c r="AK276" s="12"/>
      <c r="AL276" s="5"/>
      <c r="AM276" s="5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20"/>
      <c r="BP276" s="20"/>
      <c r="BQ276" s="20"/>
      <c r="BR276" s="20"/>
      <c r="BS276" s="20"/>
      <c r="BT276" s="20"/>
      <c r="BU276" s="20"/>
    </row>
    <row r="277" spans="1:73" ht="30" hidden="1" customHeight="1" x14ac:dyDescent="0.25">
      <c r="A277" s="17"/>
      <c r="B277" s="6" t="s">
        <v>49</v>
      </c>
      <c r="C277" s="11">
        <v>4</v>
      </c>
      <c r="D277" s="98"/>
      <c r="E277" s="18" t="s">
        <v>43</v>
      </c>
      <c r="F277" s="17"/>
      <c r="G277" s="17"/>
      <c r="H277" s="17"/>
      <c r="I277" s="17"/>
      <c r="J277" s="12">
        <v>1</v>
      </c>
      <c r="K277" s="5">
        <v>1</v>
      </c>
      <c r="L277" s="11">
        <v>1</v>
      </c>
      <c r="M277" s="12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>
        <v>1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11"/>
      <c r="AK277" s="12"/>
      <c r="AL277" s="5"/>
      <c r="AM277" s="5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20"/>
      <c r="BP277" s="20"/>
      <c r="BQ277" s="20"/>
      <c r="BR277" s="20"/>
      <c r="BS277" s="20"/>
      <c r="BT277" s="20"/>
      <c r="BU277" s="20"/>
    </row>
    <row r="278" spans="1:73" ht="30" hidden="1" customHeight="1" x14ac:dyDescent="0.25">
      <c r="A278" s="17"/>
      <c r="B278" s="6" t="s">
        <v>379</v>
      </c>
      <c r="C278" s="11">
        <v>4</v>
      </c>
      <c r="D278" s="98"/>
      <c r="E278" s="18" t="s">
        <v>43</v>
      </c>
      <c r="F278" s="17"/>
      <c r="G278" s="17"/>
      <c r="H278" s="17"/>
      <c r="I278" s="17"/>
      <c r="J278" s="12">
        <v>1</v>
      </c>
      <c r="K278" s="5">
        <v>1</v>
      </c>
      <c r="L278" s="11">
        <v>1</v>
      </c>
      <c r="M278" s="12"/>
      <c r="N278" s="5">
        <v>1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11"/>
      <c r="AK278" s="12"/>
      <c r="AL278" s="5"/>
      <c r="AM278" s="5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20"/>
      <c r="BP278" s="20"/>
      <c r="BQ278" s="20"/>
      <c r="BR278" s="20"/>
      <c r="BS278" s="20"/>
      <c r="BT278" s="20"/>
      <c r="BU278" s="20"/>
    </row>
    <row r="279" spans="1:73" ht="30" hidden="1" customHeight="1" x14ac:dyDescent="0.25">
      <c r="A279" s="17"/>
      <c r="B279" s="6" t="s">
        <v>380</v>
      </c>
      <c r="C279" s="11">
        <v>4</v>
      </c>
      <c r="D279" s="98"/>
      <c r="E279" s="18" t="s">
        <v>43</v>
      </c>
      <c r="F279" s="17"/>
      <c r="G279" s="17"/>
      <c r="H279" s="17"/>
      <c r="I279" s="17"/>
      <c r="J279" s="12">
        <v>1</v>
      </c>
      <c r="K279" s="5">
        <v>1</v>
      </c>
      <c r="L279" s="11">
        <v>1</v>
      </c>
      <c r="M279" s="12"/>
      <c r="N279" s="5">
        <v>1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11"/>
      <c r="AK279" s="12"/>
      <c r="AL279" s="5"/>
      <c r="AM279" s="5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20"/>
      <c r="BP279" s="20"/>
      <c r="BQ279" s="20"/>
      <c r="BR279" s="20"/>
      <c r="BS279" s="20"/>
      <c r="BT279" s="20"/>
      <c r="BU279" s="20"/>
    </row>
    <row r="280" spans="1:73" ht="30" hidden="1" customHeight="1" x14ac:dyDescent="0.25">
      <c r="A280" s="17"/>
      <c r="B280" s="6" t="s">
        <v>381</v>
      </c>
      <c r="C280" s="11">
        <v>4</v>
      </c>
      <c r="D280" s="98"/>
      <c r="E280" s="18" t="s">
        <v>43</v>
      </c>
      <c r="F280" s="17"/>
      <c r="G280" s="17"/>
      <c r="H280" s="17"/>
      <c r="I280" s="17"/>
      <c r="J280" s="12">
        <v>1</v>
      </c>
      <c r="K280" s="5">
        <v>1</v>
      </c>
      <c r="L280" s="11">
        <v>1</v>
      </c>
      <c r="M280" s="12"/>
      <c r="N280" s="5">
        <v>1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11"/>
      <c r="AK280" s="12"/>
      <c r="AL280" s="5"/>
      <c r="AM280" s="5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20"/>
      <c r="BP280" s="20"/>
      <c r="BQ280" s="20"/>
      <c r="BR280" s="20"/>
      <c r="BS280" s="20"/>
      <c r="BT280" s="20"/>
      <c r="BU280" s="20"/>
    </row>
    <row r="281" spans="1:73" ht="30" hidden="1" customHeight="1" x14ac:dyDescent="0.25">
      <c r="A281" s="17"/>
      <c r="B281" s="6" t="s">
        <v>382</v>
      </c>
      <c r="C281" s="11">
        <v>4</v>
      </c>
      <c r="D281" s="98"/>
      <c r="E281" s="18" t="s">
        <v>43</v>
      </c>
      <c r="F281" s="17"/>
      <c r="G281" s="17"/>
      <c r="H281" s="17"/>
      <c r="I281" s="17"/>
      <c r="J281" s="12">
        <v>1</v>
      </c>
      <c r="K281" s="5">
        <v>1</v>
      </c>
      <c r="L281" s="11">
        <v>1</v>
      </c>
      <c r="M281" s="12"/>
      <c r="N281" s="5">
        <v>1</v>
      </c>
      <c r="O281" s="5"/>
      <c r="P281" s="5"/>
      <c r="Q281" s="5"/>
      <c r="R281" s="5"/>
      <c r="S281" s="5"/>
      <c r="T281" s="5"/>
      <c r="U281" s="5"/>
      <c r="V281" s="5"/>
      <c r="W281" s="5"/>
      <c r="X281" s="5">
        <v>1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11"/>
      <c r="AK281" s="12"/>
      <c r="AL281" s="5"/>
      <c r="AM281" s="5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20"/>
      <c r="BP281" s="20"/>
      <c r="BQ281" s="20"/>
      <c r="BR281" s="20"/>
      <c r="BS281" s="20"/>
      <c r="BT281" s="20"/>
      <c r="BU281" s="20"/>
    </row>
    <row r="282" spans="1:73" ht="30" hidden="1" customHeight="1" x14ac:dyDescent="0.25">
      <c r="A282" s="17"/>
      <c r="B282" s="6" t="s">
        <v>383</v>
      </c>
      <c r="C282" s="11">
        <v>4</v>
      </c>
      <c r="D282" s="98"/>
      <c r="E282" s="18" t="s">
        <v>43</v>
      </c>
      <c r="F282" s="17"/>
      <c r="G282" s="17"/>
      <c r="H282" s="17"/>
      <c r="I282" s="17"/>
      <c r="J282" s="12">
        <v>1</v>
      </c>
      <c r="K282" s="5">
        <v>1</v>
      </c>
      <c r="L282" s="11">
        <v>1</v>
      </c>
      <c r="M282" s="12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11"/>
      <c r="AK282" s="12"/>
      <c r="AL282" s="5"/>
      <c r="AM282" s="5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20"/>
      <c r="BP282" s="20"/>
      <c r="BQ282" s="20"/>
      <c r="BR282" s="20"/>
      <c r="BS282" s="20"/>
      <c r="BT282" s="20"/>
      <c r="BU282" s="20"/>
    </row>
    <row r="283" spans="1:73" ht="30" hidden="1" customHeight="1" x14ac:dyDescent="0.25">
      <c r="A283" s="17"/>
      <c r="B283" s="6" t="s">
        <v>384</v>
      </c>
      <c r="C283" s="11">
        <v>4</v>
      </c>
      <c r="D283" s="98"/>
      <c r="E283" s="18" t="s">
        <v>43</v>
      </c>
      <c r="F283" s="17"/>
      <c r="G283" s="17"/>
      <c r="H283" s="17"/>
      <c r="I283" s="17"/>
      <c r="J283" s="12">
        <v>1</v>
      </c>
      <c r="K283" s="5">
        <v>1</v>
      </c>
      <c r="L283" s="11">
        <v>1</v>
      </c>
      <c r="M283" s="12"/>
      <c r="N283" s="5">
        <v>1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11"/>
      <c r="AK283" s="12"/>
      <c r="AL283" s="5"/>
      <c r="AM283" s="5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20"/>
      <c r="BP283" s="20"/>
      <c r="BQ283" s="20"/>
      <c r="BR283" s="20"/>
      <c r="BS283" s="20"/>
      <c r="BT283" s="20"/>
      <c r="BU283" s="20"/>
    </row>
    <row r="284" spans="1:73" ht="30" hidden="1" customHeight="1" x14ac:dyDescent="0.25">
      <c r="A284" s="17"/>
      <c r="B284" s="6" t="s">
        <v>385</v>
      </c>
      <c r="C284" s="11">
        <v>4</v>
      </c>
      <c r="D284" s="98"/>
      <c r="E284" s="18" t="s">
        <v>43</v>
      </c>
      <c r="F284" s="17"/>
      <c r="G284" s="17"/>
      <c r="H284" s="17"/>
      <c r="I284" s="17"/>
      <c r="J284" s="12">
        <v>1</v>
      </c>
      <c r="K284" s="5">
        <v>1</v>
      </c>
      <c r="L284" s="11">
        <v>1</v>
      </c>
      <c r="M284" s="12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11"/>
      <c r="AK284" s="12"/>
      <c r="AL284" s="5"/>
      <c r="AM284" s="5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20"/>
      <c r="BP284" s="20"/>
      <c r="BQ284" s="20"/>
      <c r="BR284" s="20"/>
      <c r="BS284" s="20"/>
      <c r="BT284" s="20"/>
      <c r="BU284" s="20"/>
    </row>
    <row r="285" spans="1:73" ht="30" hidden="1" customHeight="1" x14ac:dyDescent="0.25">
      <c r="A285" s="17"/>
      <c r="B285" s="6" t="s">
        <v>62</v>
      </c>
      <c r="C285" s="11">
        <v>4</v>
      </c>
      <c r="D285" s="98"/>
      <c r="E285" s="18" t="s">
        <v>43</v>
      </c>
      <c r="F285" s="17"/>
      <c r="G285" s="17"/>
      <c r="H285" s="17"/>
      <c r="I285" s="17"/>
      <c r="J285" s="12">
        <v>1</v>
      </c>
      <c r="K285" s="5">
        <v>1</v>
      </c>
      <c r="L285" s="11">
        <v>1</v>
      </c>
      <c r="M285" s="12"/>
      <c r="N285" s="5">
        <v>1</v>
      </c>
      <c r="O285" s="5"/>
      <c r="P285" s="5"/>
      <c r="Q285" s="5"/>
      <c r="R285" s="5"/>
      <c r="S285" s="5"/>
      <c r="T285" s="5"/>
      <c r="U285" s="5">
        <v>1</v>
      </c>
      <c r="V285" s="5"/>
      <c r="W285" s="5"/>
      <c r="X285" s="5">
        <v>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>
        <v>1</v>
      </c>
      <c r="AI285" s="5"/>
      <c r="AJ285" s="11"/>
      <c r="AK285" s="12"/>
      <c r="AL285" s="5"/>
      <c r="AM285" s="5"/>
      <c r="AN285" s="19"/>
      <c r="AO285" s="19"/>
      <c r="AP285" s="19"/>
      <c r="AQ285" s="99"/>
      <c r="AR285" s="19"/>
      <c r="AS285" s="99"/>
      <c r="AT285" s="99"/>
      <c r="AU285" s="99"/>
      <c r="AV285" s="19"/>
      <c r="AW285" s="99"/>
      <c r="AX285" s="99"/>
      <c r="AY285" s="99"/>
      <c r="AZ285" s="99"/>
      <c r="BA285" s="99"/>
      <c r="BB285" s="1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19"/>
      <c r="BO285" s="20"/>
      <c r="BP285" s="20"/>
      <c r="BQ285" s="20"/>
      <c r="BR285" s="20"/>
      <c r="BS285" s="20"/>
      <c r="BT285" s="20"/>
      <c r="BU285" s="20"/>
    </row>
    <row r="286" spans="1:73" ht="30" hidden="1" customHeight="1" x14ac:dyDescent="0.25">
      <c r="A286" s="17"/>
      <c r="B286" s="6" t="s">
        <v>386</v>
      </c>
      <c r="C286" s="11">
        <v>4</v>
      </c>
      <c r="D286" s="98"/>
      <c r="E286" s="18" t="s">
        <v>43</v>
      </c>
      <c r="F286" s="17"/>
      <c r="G286" s="17"/>
      <c r="H286" s="17"/>
      <c r="I286" s="17"/>
      <c r="J286" s="12">
        <v>1</v>
      </c>
      <c r="K286" s="5">
        <v>1</v>
      </c>
      <c r="L286" s="11">
        <v>1</v>
      </c>
      <c r="M286" s="12"/>
      <c r="N286" s="5"/>
      <c r="O286" s="5"/>
      <c r="P286" s="5"/>
      <c r="Q286" s="5"/>
      <c r="R286" s="5">
        <v>1</v>
      </c>
      <c r="S286" s="5"/>
      <c r="T286" s="5"/>
      <c r="U286" s="5"/>
      <c r="V286" s="5"/>
      <c r="W286" s="5"/>
      <c r="X286" s="5">
        <v>1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>
        <v>1</v>
      </c>
      <c r="AJ286" s="11"/>
      <c r="AK286" s="12"/>
      <c r="AL286" s="5"/>
      <c r="AM286" s="5"/>
      <c r="AN286" s="1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19"/>
      <c r="BO286" s="20"/>
      <c r="BP286" s="20"/>
      <c r="BQ286" s="20"/>
      <c r="BR286" s="20"/>
      <c r="BS286" s="20"/>
      <c r="BT286" s="20"/>
      <c r="BU286" s="20"/>
    </row>
    <row r="287" spans="1:73" ht="30" hidden="1" customHeight="1" x14ac:dyDescent="0.25">
      <c r="A287" s="17"/>
      <c r="B287" s="10" t="s">
        <v>387</v>
      </c>
      <c r="C287" s="11">
        <v>4</v>
      </c>
      <c r="D287" s="98"/>
      <c r="E287" s="18" t="s">
        <v>43</v>
      </c>
      <c r="F287" s="17"/>
      <c r="G287" s="17"/>
      <c r="H287" s="17"/>
      <c r="I287" s="17"/>
      <c r="J287" s="12">
        <v>1</v>
      </c>
      <c r="K287" s="5">
        <v>1</v>
      </c>
      <c r="L287" s="11">
        <v>1</v>
      </c>
      <c r="M287" s="12"/>
      <c r="N287" s="5">
        <v>1</v>
      </c>
      <c r="O287" s="5"/>
      <c r="P287" s="5"/>
      <c r="Q287" s="5"/>
      <c r="R287" s="5"/>
      <c r="S287" s="5"/>
      <c r="T287" s="5"/>
      <c r="U287" s="5"/>
      <c r="V287" s="5"/>
      <c r="W287" s="5"/>
      <c r="X287" s="5">
        <v>1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11"/>
      <c r="AK287" s="12"/>
      <c r="AL287" s="5"/>
      <c r="AM287" s="5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20"/>
      <c r="BP287" s="20"/>
      <c r="BQ287" s="20"/>
      <c r="BR287" s="20"/>
      <c r="BS287" s="20"/>
      <c r="BT287" s="20"/>
      <c r="BU287" s="20"/>
    </row>
    <row r="288" spans="1:73" ht="30" hidden="1" customHeight="1" x14ac:dyDescent="0.25">
      <c r="A288" s="17"/>
      <c r="B288" s="141" t="s">
        <v>388</v>
      </c>
      <c r="C288" s="11">
        <v>4</v>
      </c>
      <c r="D288" s="98"/>
      <c r="E288" s="18" t="s">
        <v>43</v>
      </c>
      <c r="F288" s="17"/>
      <c r="G288" s="17"/>
      <c r="H288" s="17"/>
      <c r="I288" s="17"/>
      <c r="J288" s="12">
        <v>1</v>
      </c>
      <c r="K288" s="5">
        <v>1</v>
      </c>
      <c r="L288" s="11">
        <v>1</v>
      </c>
      <c r="M288" s="12"/>
      <c r="N288" s="5">
        <v>1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>
        <v>1</v>
      </c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11"/>
      <c r="AK288" s="12"/>
      <c r="AL288" s="5"/>
      <c r="AM288" s="5"/>
      <c r="AN288" s="1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19"/>
      <c r="BO288" s="20"/>
      <c r="BP288" s="20"/>
      <c r="BQ288" s="20"/>
      <c r="BR288" s="20"/>
      <c r="BS288" s="20"/>
      <c r="BT288" s="20"/>
      <c r="BU288" s="20"/>
    </row>
    <row r="289" spans="1:73" ht="30" hidden="1" customHeight="1" x14ac:dyDescent="0.25">
      <c r="A289" s="17"/>
      <c r="B289" s="6" t="s">
        <v>389</v>
      </c>
      <c r="C289" s="11">
        <v>4</v>
      </c>
      <c r="D289" s="98"/>
      <c r="E289" s="18" t="s">
        <v>43</v>
      </c>
      <c r="F289" s="17"/>
      <c r="G289" s="17"/>
      <c r="H289" s="17"/>
      <c r="I289" s="17"/>
      <c r="J289" s="12">
        <v>1</v>
      </c>
      <c r="K289" s="5">
        <v>1</v>
      </c>
      <c r="L289" s="11">
        <v>1</v>
      </c>
      <c r="M289" s="12"/>
      <c r="N289" s="5">
        <v>1</v>
      </c>
      <c r="O289" s="5"/>
      <c r="P289" s="5"/>
      <c r="Q289" s="5"/>
      <c r="R289" s="5">
        <v>1</v>
      </c>
      <c r="S289" s="5"/>
      <c r="T289" s="5"/>
      <c r="U289" s="5"/>
      <c r="V289" s="5"/>
      <c r="W289" s="5"/>
      <c r="X289" s="5">
        <v>1</v>
      </c>
      <c r="Y289" s="5">
        <v>1</v>
      </c>
      <c r="Z289" s="5"/>
      <c r="AA289" s="5"/>
      <c r="AB289" s="5"/>
      <c r="AC289" s="5">
        <v>1</v>
      </c>
      <c r="AD289" s="5"/>
      <c r="AE289" s="5"/>
      <c r="AF289" s="5"/>
      <c r="AG289" s="5"/>
      <c r="AH289" s="5"/>
      <c r="AI289" s="5"/>
      <c r="AJ289" s="11"/>
      <c r="AK289" s="12"/>
      <c r="AL289" s="5"/>
      <c r="AM289" s="5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20"/>
      <c r="BP289" s="20"/>
      <c r="BQ289" s="20"/>
      <c r="BR289" s="20"/>
      <c r="BS289" s="20"/>
      <c r="BT289" s="20"/>
      <c r="BU289" s="20"/>
    </row>
    <row r="290" spans="1:73" ht="30" hidden="1" customHeight="1" x14ac:dyDescent="0.25">
      <c r="A290" s="17"/>
      <c r="B290" s="6" t="s">
        <v>390</v>
      </c>
      <c r="C290" s="11">
        <v>3</v>
      </c>
      <c r="D290" s="98"/>
      <c r="E290" s="18" t="s">
        <v>43</v>
      </c>
      <c r="F290" s="17"/>
      <c r="G290" s="17"/>
      <c r="H290" s="17"/>
      <c r="I290" s="17"/>
      <c r="J290" s="12">
        <v>1</v>
      </c>
      <c r="K290" s="5">
        <v>1</v>
      </c>
      <c r="L290" s="11">
        <v>1</v>
      </c>
      <c r="M290" s="12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11"/>
      <c r="AK290" s="12"/>
      <c r="AL290" s="5"/>
      <c r="AM290" s="5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20"/>
      <c r="BP290" s="20"/>
      <c r="BQ290" s="20"/>
      <c r="BR290" s="20"/>
      <c r="BS290" s="20"/>
      <c r="BT290" s="20"/>
      <c r="BU290" s="20"/>
    </row>
    <row r="291" spans="1:73" ht="30" hidden="1" customHeight="1" x14ac:dyDescent="0.25">
      <c r="A291" s="17"/>
      <c r="B291" s="6" t="s">
        <v>391</v>
      </c>
      <c r="C291" s="11">
        <v>3</v>
      </c>
      <c r="D291" s="98"/>
      <c r="E291" s="18" t="s">
        <v>43</v>
      </c>
      <c r="F291" s="17"/>
      <c r="G291" s="17"/>
      <c r="H291" s="17"/>
      <c r="I291" s="17"/>
      <c r="J291" s="12">
        <v>1</v>
      </c>
      <c r="K291" s="5">
        <v>1</v>
      </c>
      <c r="L291" s="11">
        <v>1</v>
      </c>
      <c r="M291" s="12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>
        <v>1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11"/>
      <c r="AK291" s="12"/>
      <c r="AL291" s="5"/>
      <c r="AM291" s="5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20"/>
      <c r="BP291" s="20"/>
      <c r="BQ291" s="20"/>
      <c r="BR291" s="20"/>
      <c r="BS291" s="20"/>
      <c r="BT291" s="20"/>
      <c r="BU291" s="20"/>
    </row>
    <row r="292" spans="1:73" ht="30" hidden="1" customHeight="1" x14ac:dyDescent="0.25">
      <c r="A292" s="17"/>
      <c r="B292" s="6" t="s">
        <v>392</v>
      </c>
      <c r="C292" s="11">
        <v>3</v>
      </c>
      <c r="D292" s="98"/>
      <c r="E292" s="18" t="s">
        <v>43</v>
      </c>
      <c r="F292" s="17"/>
      <c r="G292" s="17"/>
      <c r="H292" s="17"/>
      <c r="I292" s="17"/>
      <c r="J292" s="12">
        <v>1</v>
      </c>
      <c r="K292" s="5">
        <v>1</v>
      </c>
      <c r="L292" s="11">
        <v>1</v>
      </c>
      <c r="M292" s="12"/>
      <c r="N292" s="5">
        <v>1</v>
      </c>
      <c r="O292" s="5"/>
      <c r="P292" s="5"/>
      <c r="Q292" s="5"/>
      <c r="R292" s="5"/>
      <c r="S292" s="5"/>
      <c r="T292" s="5"/>
      <c r="U292" s="5"/>
      <c r="V292" s="5"/>
      <c r="W292" s="5"/>
      <c r="X292" s="5">
        <v>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11"/>
      <c r="AK292" s="12"/>
      <c r="AL292" s="5"/>
      <c r="AM292" s="5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20"/>
      <c r="BP292" s="20"/>
      <c r="BQ292" s="20"/>
      <c r="BR292" s="20"/>
      <c r="BS292" s="20"/>
      <c r="BT292" s="20"/>
      <c r="BU292" s="20"/>
    </row>
    <row r="293" spans="1:73" ht="30" hidden="1" customHeight="1" x14ac:dyDescent="0.25">
      <c r="A293" s="17"/>
      <c r="B293" s="6" t="s">
        <v>393</v>
      </c>
      <c r="C293" s="11">
        <v>3</v>
      </c>
      <c r="D293" s="98"/>
      <c r="E293" s="18" t="s">
        <v>43</v>
      </c>
      <c r="F293" s="17"/>
      <c r="G293" s="17"/>
      <c r="H293" s="17"/>
      <c r="I293" s="17"/>
      <c r="J293" s="12">
        <v>1</v>
      </c>
      <c r="K293" s="5">
        <v>1</v>
      </c>
      <c r="L293" s="11">
        <v>1</v>
      </c>
      <c r="M293" s="12"/>
      <c r="N293" s="5">
        <v>1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11"/>
      <c r="AK293" s="12"/>
      <c r="AL293" s="5"/>
      <c r="AM293" s="5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20"/>
      <c r="BP293" s="20"/>
      <c r="BQ293" s="20"/>
      <c r="BR293" s="20"/>
      <c r="BS293" s="20"/>
      <c r="BT293" s="20"/>
      <c r="BU293" s="20"/>
    </row>
    <row r="294" spans="1:73" ht="30" hidden="1" customHeight="1" x14ac:dyDescent="0.25">
      <c r="A294" s="17"/>
      <c r="B294" s="120" t="s">
        <v>394</v>
      </c>
      <c r="C294" s="11">
        <v>3</v>
      </c>
      <c r="D294" s="98"/>
      <c r="E294" s="18" t="s">
        <v>43</v>
      </c>
      <c r="F294" s="17"/>
      <c r="G294" s="17"/>
      <c r="H294" s="17"/>
      <c r="I294" s="17"/>
      <c r="J294" s="12">
        <v>1</v>
      </c>
      <c r="K294" s="5">
        <v>1</v>
      </c>
      <c r="L294" s="11">
        <v>1</v>
      </c>
      <c r="M294" s="12"/>
      <c r="N294" s="5">
        <v>1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11"/>
      <c r="AK294" s="12"/>
      <c r="AL294" s="5"/>
      <c r="AM294" s="5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20"/>
      <c r="BP294" s="20"/>
      <c r="BQ294" s="20"/>
      <c r="BR294" s="20"/>
      <c r="BS294" s="20"/>
      <c r="BT294" s="20"/>
      <c r="BU294" s="20"/>
    </row>
    <row r="295" spans="1:73" ht="30" customHeight="1" x14ac:dyDescent="0.25">
      <c r="A295" s="17" t="s">
        <v>395</v>
      </c>
      <c r="B295" s="6" t="s">
        <v>50</v>
      </c>
      <c r="C295" s="11">
        <v>3</v>
      </c>
      <c r="D295" s="98">
        <v>4</v>
      </c>
      <c r="E295" s="18" t="s">
        <v>64</v>
      </c>
      <c r="F295" s="17" t="s">
        <v>65</v>
      </c>
      <c r="G295" s="17" t="s">
        <v>165</v>
      </c>
      <c r="H295" s="17" t="s">
        <v>177</v>
      </c>
      <c r="I295" s="17"/>
      <c r="J295" s="12">
        <v>1</v>
      </c>
      <c r="K295" s="5">
        <v>1</v>
      </c>
      <c r="L295" s="11">
        <v>1</v>
      </c>
      <c r="M295" s="12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11"/>
      <c r="AK295" s="12"/>
      <c r="AL295" s="5"/>
      <c r="AM295" s="5"/>
      <c r="AN295" s="19">
        <v>4</v>
      </c>
      <c r="AO295" s="99">
        <v>3.7</v>
      </c>
      <c r="AP295" s="99">
        <v>3.1</v>
      </c>
      <c r="AQ295" s="99"/>
      <c r="AR295" s="99"/>
      <c r="AS295" s="99"/>
      <c r="AT295" s="99"/>
      <c r="AU295" s="99"/>
      <c r="AV295" s="99"/>
      <c r="AW295" s="99"/>
      <c r="AX295" s="19"/>
      <c r="AY295" s="99"/>
      <c r="AZ295" s="99"/>
      <c r="BA295" s="99"/>
      <c r="BB295" s="99"/>
      <c r="BC295" s="99"/>
      <c r="BD295" s="99"/>
      <c r="BE295" s="19"/>
      <c r="BF295" s="99"/>
      <c r="BG295" s="99"/>
      <c r="BH295" s="99"/>
      <c r="BI295" s="99"/>
      <c r="BJ295" s="99"/>
      <c r="BK295" s="99"/>
      <c r="BL295" s="99"/>
      <c r="BM295" s="99"/>
      <c r="BN295" s="19"/>
      <c r="BO295" s="20"/>
      <c r="BP295" s="20"/>
      <c r="BQ295" s="20"/>
      <c r="BR295" s="20"/>
      <c r="BS295" s="20"/>
      <c r="BT295" s="20"/>
      <c r="BU295" s="20"/>
    </row>
    <row r="296" spans="1:73" ht="30" customHeight="1" x14ac:dyDescent="0.25">
      <c r="A296" s="17" t="s">
        <v>396</v>
      </c>
      <c r="B296" s="6" t="s">
        <v>50</v>
      </c>
      <c r="C296" s="11">
        <v>3</v>
      </c>
      <c r="D296" s="98">
        <v>4</v>
      </c>
      <c r="E296" s="18" t="s">
        <v>64</v>
      </c>
      <c r="F296" s="17" t="s">
        <v>41</v>
      </c>
      <c r="G296" s="17" t="s">
        <v>167</v>
      </c>
      <c r="H296" s="17" t="s">
        <v>177</v>
      </c>
      <c r="I296" s="17"/>
      <c r="J296" s="12">
        <v>1</v>
      </c>
      <c r="K296" s="5">
        <v>1</v>
      </c>
      <c r="L296" s="11">
        <v>1</v>
      </c>
      <c r="M296" s="12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11"/>
      <c r="AK296" s="12"/>
      <c r="AL296" s="5"/>
      <c r="AM296" s="5"/>
      <c r="AN296" s="19">
        <v>3.9</v>
      </c>
      <c r="AO296" s="99">
        <v>3.8</v>
      </c>
      <c r="AP296" s="99">
        <v>3.7</v>
      </c>
      <c r="AQ296" s="99"/>
      <c r="AR296" s="99"/>
      <c r="AS296" s="99"/>
      <c r="AT296" s="99"/>
      <c r="AU296" s="99"/>
      <c r="AV296" s="99"/>
      <c r="AW296" s="99"/>
      <c r="AX296" s="19"/>
      <c r="AY296" s="99"/>
      <c r="AZ296" s="99"/>
      <c r="BA296" s="99"/>
      <c r="BB296" s="99"/>
      <c r="BC296" s="99"/>
      <c r="BD296" s="99"/>
      <c r="BE296" s="19"/>
      <c r="BF296" s="99"/>
      <c r="BG296" s="99"/>
      <c r="BH296" s="99"/>
      <c r="BI296" s="99"/>
      <c r="BJ296" s="99"/>
      <c r="BK296" s="99"/>
      <c r="BL296" s="99"/>
      <c r="BM296" s="99"/>
      <c r="BN296" s="19"/>
      <c r="BO296" s="20"/>
      <c r="BP296" s="20"/>
      <c r="BQ296" s="20"/>
      <c r="BR296" s="20"/>
      <c r="BS296" s="20"/>
      <c r="BT296" s="20"/>
      <c r="BU296" s="20"/>
    </row>
    <row r="297" spans="1:73" s="24" customFormat="1" ht="30" customHeight="1" x14ac:dyDescent="0.25">
      <c r="A297" s="21"/>
      <c r="B297" s="25"/>
      <c r="C297" s="27"/>
      <c r="D297" s="21"/>
      <c r="E297" s="21"/>
      <c r="F297" s="21"/>
      <c r="G297" s="21"/>
      <c r="H297" s="29"/>
      <c r="I297" s="22"/>
      <c r="J297" s="26"/>
      <c r="K297" s="29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6"/>
      <c r="AI297" s="29"/>
      <c r="AJ297" s="22"/>
      <c r="AK297" s="22"/>
      <c r="AL297" s="22"/>
      <c r="AM297" s="22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23"/>
      <c r="BP297" s="23"/>
      <c r="BQ297" s="23"/>
      <c r="BR297" s="23"/>
      <c r="BS297" s="23"/>
    </row>
    <row r="298" spans="1:73" s="24" customFormat="1" ht="30" customHeight="1" x14ac:dyDescent="0.25">
      <c r="A298" s="21"/>
      <c r="B298" s="25"/>
      <c r="C298" s="27"/>
      <c r="D298" s="21"/>
      <c r="E298" s="21"/>
      <c r="F298" s="21"/>
      <c r="G298" s="21"/>
      <c r="H298" s="29"/>
      <c r="I298" s="32"/>
      <c r="J298" s="26"/>
      <c r="K298" s="40"/>
      <c r="L298" s="22"/>
      <c r="M298" s="41"/>
      <c r="N298" s="41"/>
      <c r="O298" s="41"/>
      <c r="P298" s="22"/>
      <c r="Q298" s="41"/>
      <c r="R298" s="41"/>
      <c r="S298" s="41"/>
      <c r="T298" s="41"/>
      <c r="U298" s="41"/>
      <c r="V298" s="22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33"/>
      <c r="AI298" s="29"/>
      <c r="AJ298" s="22"/>
      <c r="AK298" s="22"/>
      <c r="AL298" s="22"/>
      <c r="AM298" s="22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23"/>
      <c r="BP298" s="23"/>
      <c r="BQ298" s="23"/>
      <c r="BR298" s="23"/>
      <c r="BS298" s="23"/>
    </row>
    <row r="299" spans="1:73" s="24" customFormat="1" ht="30" customHeight="1" x14ac:dyDescent="0.25">
      <c r="A299" s="21"/>
      <c r="B299" s="25"/>
      <c r="C299" s="27"/>
      <c r="D299" s="21"/>
      <c r="E299" s="21"/>
      <c r="F299" s="21"/>
      <c r="G299" s="21"/>
      <c r="H299" s="29"/>
      <c r="I299" s="32"/>
      <c r="J299" s="26"/>
      <c r="K299" s="40"/>
      <c r="L299" s="22"/>
      <c r="M299" s="41"/>
      <c r="N299" s="41"/>
      <c r="O299" s="41"/>
      <c r="P299" s="22"/>
      <c r="Q299" s="41"/>
      <c r="R299" s="41"/>
      <c r="S299" s="41"/>
      <c r="T299" s="41"/>
      <c r="U299" s="41"/>
      <c r="V299" s="22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33"/>
      <c r="AI299" s="29"/>
      <c r="AJ299" s="22"/>
      <c r="AK299" s="22"/>
      <c r="AL299" s="22"/>
      <c r="AM299" s="22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23"/>
      <c r="BP299" s="23"/>
      <c r="BQ299" s="23"/>
      <c r="BR299" s="23"/>
      <c r="BS299" s="23"/>
    </row>
    <row r="300" spans="1:73" s="24" customFormat="1" ht="30" customHeight="1" x14ac:dyDescent="0.25">
      <c r="A300" s="87" cm="1">
        <f t="array" ref="A300:A311">_xlfn.UNIQUE(AN3:AN296)</f>
        <v>0</v>
      </c>
      <c r="B300" s="25"/>
      <c r="C300" s="27"/>
      <c r="D300" s="21"/>
      <c r="E300" s="21"/>
      <c r="F300" s="21"/>
      <c r="G300" s="21"/>
      <c r="H300" s="29"/>
      <c r="I300" s="22"/>
      <c r="J300" s="26"/>
      <c r="K300" s="29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6"/>
      <c r="AI300" s="29"/>
      <c r="AJ300" s="22"/>
      <c r="AK300" s="22"/>
      <c r="AL300" s="22"/>
      <c r="AM300" s="22"/>
      <c r="AN300" s="88">
        <f>COUNTIF(AN3:AN296,A300)</f>
        <v>0</v>
      </c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23"/>
      <c r="BP300" s="23"/>
      <c r="BQ300" s="23"/>
      <c r="BR300" s="23"/>
      <c r="BS300" s="23"/>
    </row>
    <row r="301" spans="1:73" s="24" customFormat="1" ht="30" customHeight="1" x14ac:dyDescent="0.25">
      <c r="A301" s="87">
        <v>3.8</v>
      </c>
      <c r="B301" s="25"/>
      <c r="C301" s="27"/>
      <c r="D301" s="21"/>
      <c r="E301" s="21"/>
      <c r="F301" s="21"/>
      <c r="G301" s="21"/>
      <c r="H301" s="29"/>
      <c r="I301" s="22"/>
      <c r="J301" s="26"/>
      <c r="K301" s="29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6"/>
      <c r="AI301" s="29"/>
      <c r="AJ301" s="22"/>
      <c r="AK301" s="22"/>
      <c r="AL301" s="22"/>
      <c r="AM301" s="22"/>
      <c r="AN301" s="88">
        <f>COUNTIF(AN4:AN297,A301)</f>
        <v>21</v>
      </c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23"/>
      <c r="BP301" s="23"/>
      <c r="BQ301" s="23"/>
      <c r="BR301" s="23"/>
      <c r="BS301" s="23"/>
    </row>
    <row r="302" spans="1:73" s="24" customFormat="1" ht="30" customHeight="1" x14ac:dyDescent="0.25">
      <c r="A302" s="87">
        <v>3.3</v>
      </c>
      <c r="B302" s="25"/>
      <c r="C302" s="27"/>
      <c r="D302" s="21"/>
      <c r="E302" s="21"/>
      <c r="F302" s="21"/>
      <c r="G302" s="21"/>
      <c r="H302" s="29"/>
      <c r="I302" s="22"/>
      <c r="J302" s="26"/>
      <c r="K302" s="29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6"/>
      <c r="AI302" s="29"/>
      <c r="AJ302" s="22"/>
      <c r="AK302" s="22"/>
      <c r="AL302" s="22"/>
      <c r="AM302" s="22"/>
      <c r="AN302" s="88">
        <f>COUNTIF(AN5:AN298,A302)</f>
        <v>7</v>
      </c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23"/>
      <c r="BP302" s="23"/>
      <c r="BQ302" s="23"/>
      <c r="BR302" s="23"/>
      <c r="BS302" s="23"/>
    </row>
    <row r="303" spans="1:73" s="24" customFormat="1" ht="30" customHeight="1" x14ac:dyDescent="0.25">
      <c r="A303" s="87">
        <v>3.7</v>
      </c>
      <c r="B303" s="25"/>
      <c r="C303" s="27"/>
      <c r="D303" s="21"/>
      <c r="E303" s="21"/>
      <c r="F303" s="21"/>
      <c r="G303" s="21"/>
      <c r="H303" s="29"/>
      <c r="I303" s="22"/>
      <c r="J303" s="26"/>
      <c r="K303" s="29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6"/>
      <c r="AI303" s="29"/>
      <c r="AJ303" s="22"/>
      <c r="AK303" s="22"/>
      <c r="AL303" s="22"/>
      <c r="AM303" s="22"/>
      <c r="AN303" s="88">
        <f>COUNTIF(AN6:AN299,A303)</f>
        <v>15</v>
      </c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23"/>
      <c r="BP303" s="23"/>
      <c r="BQ303" s="23"/>
      <c r="BR303" s="23"/>
      <c r="BS303" s="23"/>
    </row>
    <row r="304" spans="1:73" s="24" customFormat="1" ht="30" customHeight="1" x14ac:dyDescent="0.25">
      <c r="A304" s="87">
        <v>3.6</v>
      </c>
      <c r="B304" s="25"/>
      <c r="C304" s="27"/>
      <c r="D304" s="21"/>
      <c r="E304" s="21"/>
      <c r="F304" s="21"/>
      <c r="G304" s="21"/>
      <c r="H304" s="29"/>
      <c r="I304" s="22"/>
      <c r="J304" s="26"/>
      <c r="K304" s="29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6"/>
      <c r="AI304" s="29"/>
      <c r="AJ304" s="22"/>
      <c r="AK304" s="22"/>
      <c r="AL304" s="22"/>
      <c r="AM304" s="22"/>
      <c r="AN304" s="88">
        <f>COUNTIF(AN7:AN300,A304)</f>
        <v>14</v>
      </c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23"/>
      <c r="BP304" s="23"/>
      <c r="BQ304" s="23"/>
      <c r="BR304" s="23"/>
      <c r="BS304" s="23"/>
    </row>
    <row r="305" spans="1:71" s="24" customFormat="1" ht="30" customHeight="1" x14ac:dyDescent="0.25">
      <c r="A305" s="87">
        <v>3.5</v>
      </c>
      <c r="B305" s="25"/>
      <c r="C305" s="27"/>
      <c r="D305" s="21"/>
      <c r="E305" s="21"/>
      <c r="F305" s="21"/>
      <c r="G305" s="21"/>
      <c r="H305" s="29"/>
      <c r="I305" s="22"/>
      <c r="J305" s="26"/>
      <c r="K305" s="29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6"/>
      <c r="AI305" s="29"/>
      <c r="AJ305" s="22"/>
      <c r="AK305" s="22"/>
      <c r="AL305" s="22"/>
      <c r="AM305" s="22"/>
      <c r="AN305" s="88">
        <f>COUNTIF(AN8:AN301,A305)</f>
        <v>10</v>
      </c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23"/>
      <c r="BP305" s="23"/>
      <c r="BQ305" s="23"/>
      <c r="BR305" s="23"/>
      <c r="BS305" s="23"/>
    </row>
    <row r="306" spans="1:71" s="24" customFormat="1" ht="30" customHeight="1" x14ac:dyDescent="0.25">
      <c r="A306" s="87">
        <v>4</v>
      </c>
      <c r="B306" s="25"/>
      <c r="C306" s="27"/>
      <c r="D306" s="21"/>
      <c r="E306" s="21"/>
      <c r="F306" s="21"/>
      <c r="G306" s="21"/>
      <c r="H306" s="29"/>
      <c r="I306" s="22"/>
      <c r="J306" s="26"/>
      <c r="K306" s="29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6"/>
      <c r="AI306" s="29"/>
      <c r="AJ306" s="22"/>
      <c r="AK306" s="22"/>
      <c r="AL306" s="22"/>
      <c r="AM306" s="22"/>
      <c r="AN306" s="88">
        <f>COUNTIF(AN9:AN302,A306)</f>
        <v>26</v>
      </c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23"/>
      <c r="BP306" s="23"/>
      <c r="BQ306" s="23"/>
      <c r="BR306" s="23"/>
      <c r="BS306" s="23"/>
    </row>
    <row r="307" spans="1:71" s="24" customFormat="1" ht="30" customHeight="1" x14ac:dyDescent="0.25">
      <c r="A307" s="87">
        <v>3.9</v>
      </c>
      <c r="B307" s="25"/>
      <c r="C307" s="27"/>
      <c r="D307" s="21"/>
      <c r="E307" s="21"/>
      <c r="F307" s="21"/>
      <c r="G307" s="21"/>
      <c r="H307" s="29"/>
      <c r="I307" s="22"/>
      <c r="J307" s="26"/>
      <c r="K307" s="29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6"/>
      <c r="AI307" s="29"/>
      <c r="AJ307" s="22"/>
      <c r="AK307" s="22"/>
      <c r="AL307" s="22"/>
      <c r="AM307" s="22"/>
      <c r="AN307" s="88">
        <f>COUNTIF(AN10:AN303,A307)</f>
        <v>13</v>
      </c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23"/>
      <c r="BP307" s="23"/>
      <c r="BQ307" s="23"/>
      <c r="BR307" s="23"/>
      <c r="BS307" s="23"/>
    </row>
    <row r="308" spans="1:71" s="24" customFormat="1" ht="30" customHeight="1" x14ac:dyDescent="0.25">
      <c r="A308" s="87">
        <v>3.1</v>
      </c>
      <c r="B308" s="35"/>
      <c r="C308" s="27"/>
      <c r="D308" s="21"/>
      <c r="E308" s="21"/>
      <c r="F308" s="21"/>
      <c r="G308" s="21"/>
      <c r="H308" s="29"/>
      <c r="I308" s="22"/>
      <c r="J308" s="26"/>
      <c r="K308" s="29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6"/>
      <c r="AI308" s="29"/>
      <c r="AJ308" s="22"/>
      <c r="AK308" s="22"/>
      <c r="AL308" s="22"/>
      <c r="AM308" s="22"/>
      <c r="AN308" s="88">
        <f>COUNTIF(AN11:AN304,A308)</f>
        <v>3</v>
      </c>
      <c r="AO308" s="28"/>
      <c r="AP308" s="28"/>
      <c r="AQ308" s="30"/>
      <c r="AR308" s="28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23"/>
      <c r="BP308" s="23"/>
      <c r="BQ308" s="23"/>
      <c r="BR308" s="23"/>
      <c r="BS308" s="23"/>
    </row>
    <row r="309" spans="1:71" s="24" customFormat="1" ht="30" customHeight="1" x14ac:dyDescent="0.25">
      <c r="A309" s="87">
        <v>3.4</v>
      </c>
      <c r="B309" s="25"/>
      <c r="C309" s="27"/>
      <c r="D309" s="21"/>
      <c r="E309" s="21"/>
      <c r="F309" s="21"/>
      <c r="G309" s="21"/>
      <c r="H309" s="29"/>
      <c r="I309" s="22"/>
      <c r="J309" s="26"/>
      <c r="K309" s="29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6"/>
      <c r="AI309" s="29"/>
      <c r="AJ309" s="22"/>
      <c r="AK309" s="22"/>
      <c r="AL309" s="22"/>
      <c r="AM309" s="22"/>
      <c r="AN309" s="88">
        <f>COUNTIF(AN12:AN305,A309)</f>
        <v>6</v>
      </c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23"/>
      <c r="BP309" s="23"/>
      <c r="BQ309" s="23"/>
      <c r="BR309" s="23"/>
      <c r="BS309" s="23"/>
    </row>
    <row r="310" spans="1:71" s="24" customFormat="1" ht="30" customHeight="1" x14ac:dyDescent="0.25">
      <c r="A310" s="87">
        <v>3.2</v>
      </c>
      <c r="B310" s="35"/>
      <c r="C310" s="27"/>
      <c r="D310" s="21"/>
      <c r="E310" s="21"/>
      <c r="F310" s="21"/>
      <c r="G310" s="21"/>
      <c r="H310" s="29"/>
      <c r="I310" s="22"/>
      <c r="J310" s="26"/>
      <c r="K310" s="29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6"/>
      <c r="AI310" s="29"/>
      <c r="AJ310" s="22"/>
      <c r="AK310" s="22"/>
      <c r="AL310" s="22"/>
      <c r="AM310" s="22"/>
      <c r="AN310" s="88">
        <f>COUNTIF(AN13:AN306,A310)</f>
        <v>1</v>
      </c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23"/>
      <c r="BP310" s="23"/>
      <c r="BQ310" s="23"/>
      <c r="BR310" s="23"/>
      <c r="BS310" s="23"/>
    </row>
    <row r="311" spans="1:71" s="24" customFormat="1" ht="30" customHeight="1" x14ac:dyDescent="0.25">
      <c r="A311" s="87">
        <v>3</v>
      </c>
      <c r="B311" s="25"/>
      <c r="C311" s="27"/>
      <c r="D311" s="21"/>
      <c r="E311" s="21"/>
      <c r="F311" s="21"/>
      <c r="G311" s="21"/>
      <c r="H311" s="29"/>
      <c r="I311" s="22"/>
      <c r="J311" s="26"/>
      <c r="K311" s="29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6"/>
      <c r="AI311" s="29"/>
      <c r="AJ311" s="22"/>
      <c r="AK311" s="22"/>
      <c r="AL311" s="22"/>
      <c r="AM311" s="22"/>
      <c r="AN311" s="88">
        <f>COUNTIF(AN14:AN307,A311)</f>
        <v>3</v>
      </c>
      <c r="AO311" s="28"/>
      <c r="AP311" s="28"/>
      <c r="AQ311" s="28"/>
      <c r="AR311" s="28"/>
      <c r="AS311" s="28"/>
      <c r="AT311" s="28"/>
      <c r="AU311" s="28"/>
      <c r="AV311" s="30"/>
      <c r="AW311" s="28"/>
      <c r="AX311" s="28"/>
      <c r="AY311" s="28"/>
      <c r="AZ311" s="28"/>
      <c r="BA311" s="28"/>
      <c r="BB311" s="30"/>
      <c r="BC311" s="30"/>
      <c r="BD311" s="28"/>
      <c r="BE311" s="28"/>
      <c r="BF311" s="28"/>
      <c r="BG311" s="30"/>
      <c r="BH311" s="28"/>
      <c r="BI311" s="28"/>
      <c r="BJ311" s="28"/>
      <c r="BK311" s="28"/>
      <c r="BL311" s="28"/>
      <c r="BM311" s="28"/>
      <c r="BN311" s="28"/>
      <c r="BO311" s="23"/>
      <c r="BP311" s="23"/>
      <c r="BQ311" s="23"/>
      <c r="BR311" s="23"/>
      <c r="BS311" s="23"/>
    </row>
    <row r="312" spans="1:71" s="24" customFormat="1" ht="30" customHeight="1" x14ac:dyDescent="0.25">
      <c r="A312" s="21"/>
      <c r="B312" s="25"/>
      <c r="C312" s="27"/>
      <c r="D312" s="21"/>
      <c r="E312" s="21"/>
      <c r="F312" s="21"/>
      <c r="G312" s="21"/>
      <c r="H312" s="29"/>
      <c r="I312" s="32"/>
      <c r="J312" s="33"/>
      <c r="K312" s="34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3"/>
      <c r="AI312" s="29"/>
      <c r="AJ312" s="22"/>
      <c r="AK312" s="22"/>
      <c r="AL312" s="22"/>
      <c r="AM312" s="22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23"/>
      <c r="BP312" s="23"/>
      <c r="BQ312" s="23"/>
      <c r="BR312" s="23"/>
      <c r="BS312" s="23"/>
    </row>
    <row r="313" spans="1:71" s="24" customFormat="1" ht="30" customHeight="1" x14ac:dyDescent="0.25">
      <c r="A313" s="89" cm="1">
        <f t="array" ref="A313:A327">_xlfn.UNIQUE(AO4:AO296)</f>
        <v>3.7</v>
      </c>
      <c r="B313" s="25"/>
      <c r="C313" s="27"/>
      <c r="D313" s="21"/>
      <c r="E313" s="21"/>
      <c r="F313" s="21"/>
      <c r="G313" s="21"/>
      <c r="H313" s="29"/>
      <c r="I313" s="32"/>
      <c r="J313" s="33"/>
      <c r="K313" s="29"/>
      <c r="L313" s="3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6"/>
      <c r="AI313" s="29"/>
      <c r="AJ313" s="22"/>
      <c r="AK313" s="22"/>
      <c r="AL313" s="22"/>
      <c r="AM313" s="22"/>
      <c r="AN313" s="90">
        <f>COUNTIF(AO4:AO296,A313)</f>
        <v>13</v>
      </c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23"/>
      <c r="BP313" s="23"/>
      <c r="BQ313" s="23"/>
      <c r="BR313" s="23"/>
      <c r="BS313" s="23"/>
    </row>
    <row r="314" spans="1:71" s="24" customFormat="1" ht="30" customHeight="1" x14ac:dyDescent="0.25">
      <c r="A314" s="89">
        <v>3.1</v>
      </c>
      <c r="B314" s="25"/>
      <c r="C314" s="27"/>
      <c r="D314" s="21"/>
      <c r="E314" s="21"/>
      <c r="F314" s="21"/>
      <c r="G314" s="21"/>
      <c r="H314" s="29"/>
      <c r="I314" s="22"/>
      <c r="J314" s="26"/>
      <c r="K314" s="29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6"/>
      <c r="AI314" s="29"/>
      <c r="AJ314" s="22"/>
      <c r="AK314" s="22"/>
      <c r="AL314" s="22"/>
      <c r="AM314" s="22"/>
      <c r="AN314" s="90">
        <f>COUNTIF(AO5:AO297,A314)</f>
        <v>8</v>
      </c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23"/>
      <c r="BP314" s="23"/>
      <c r="BQ314" s="23"/>
      <c r="BR314" s="23"/>
      <c r="BS314" s="23"/>
    </row>
    <row r="315" spans="1:71" s="24" customFormat="1" ht="30" customHeight="1" x14ac:dyDescent="0.25">
      <c r="A315" s="89">
        <v>0</v>
      </c>
      <c r="B315" s="25"/>
      <c r="C315" s="27"/>
      <c r="D315" s="21"/>
      <c r="E315" s="21"/>
      <c r="F315" s="21"/>
      <c r="G315" s="21"/>
      <c r="H315" s="29"/>
      <c r="I315" s="22"/>
      <c r="J315" s="26"/>
      <c r="K315" s="29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6"/>
      <c r="AI315" s="29"/>
      <c r="AJ315" s="22"/>
      <c r="AK315" s="22"/>
      <c r="AL315" s="22"/>
      <c r="AM315" s="22"/>
      <c r="AN315" s="90">
        <f>COUNTIF(AO6:AO298,A315)</f>
        <v>0</v>
      </c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23"/>
      <c r="BP315" s="23"/>
      <c r="BQ315" s="23"/>
      <c r="BR315" s="23"/>
      <c r="BS315" s="23"/>
    </row>
    <row r="316" spans="1:71" s="24" customFormat="1" ht="30" customHeight="1" x14ac:dyDescent="0.25">
      <c r="A316" s="89">
        <v>3.8</v>
      </c>
      <c r="B316" s="25"/>
      <c r="C316" s="27"/>
      <c r="D316" s="21"/>
      <c r="E316" s="21"/>
      <c r="F316" s="21"/>
      <c r="G316" s="21"/>
      <c r="H316" s="29"/>
      <c r="I316" s="22"/>
      <c r="J316" s="26"/>
      <c r="K316" s="29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6"/>
      <c r="AI316" s="29"/>
      <c r="AJ316" s="22"/>
      <c r="AK316" s="22"/>
      <c r="AL316" s="22"/>
      <c r="AM316" s="22"/>
      <c r="AN316" s="90">
        <f>COUNTIF(AO7:AO299,A316)</f>
        <v>16</v>
      </c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23"/>
      <c r="BP316" s="23"/>
      <c r="BQ316" s="23"/>
      <c r="BR316" s="23"/>
      <c r="BS316" s="23"/>
    </row>
    <row r="317" spans="1:71" s="24" customFormat="1" ht="30" customHeight="1" x14ac:dyDescent="0.25">
      <c r="A317" s="89">
        <v>3.4</v>
      </c>
      <c r="B317" s="25"/>
      <c r="C317" s="27"/>
      <c r="D317" s="21"/>
      <c r="E317" s="21"/>
      <c r="F317" s="21"/>
      <c r="G317" s="21"/>
      <c r="H317" s="29"/>
      <c r="I317" s="22"/>
      <c r="J317" s="26"/>
      <c r="K317" s="29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6"/>
      <c r="AI317" s="29"/>
      <c r="AJ317" s="22"/>
      <c r="AK317" s="22"/>
      <c r="AL317" s="22"/>
      <c r="AM317" s="22"/>
      <c r="AN317" s="90">
        <f>COUNTIF(AO8:AO300,A317)</f>
        <v>7</v>
      </c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23"/>
      <c r="BP317" s="23"/>
      <c r="BQ317" s="23"/>
      <c r="BR317" s="23"/>
      <c r="BS317" s="23"/>
    </row>
    <row r="318" spans="1:71" s="24" customFormat="1" ht="30" customHeight="1" x14ac:dyDescent="0.25">
      <c r="A318" s="89">
        <v>3.6</v>
      </c>
      <c r="B318" s="25"/>
      <c r="C318" s="27"/>
      <c r="D318" s="21"/>
      <c r="E318" s="21"/>
      <c r="F318" s="21"/>
      <c r="G318" s="21"/>
      <c r="H318" s="29"/>
      <c r="I318" s="22"/>
      <c r="J318" s="26"/>
      <c r="K318" s="29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6"/>
      <c r="AI318" s="29"/>
      <c r="AJ318" s="22"/>
      <c r="AK318" s="22"/>
      <c r="AL318" s="22"/>
      <c r="AM318" s="22"/>
      <c r="AN318" s="90">
        <f>COUNTIF(AO9:AO301,A318)</f>
        <v>8</v>
      </c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23"/>
      <c r="BP318" s="23"/>
      <c r="BQ318" s="23"/>
      <c r="BR318" s="23"/>
      <c r="BS318" s="23"/>
    </row>
    <row r="319" spans="1:71" s="24" customFormat="1" ht="30" customHeight="1" x14ac:dyDescent="0.25">
      <c r="A319" s="89">
        <v>3.5</v>
      </c>
      <c r="B319" s="25"/>
      <c r="C319" s="27"/>
      <c r="D319" s="21"/>
      <c r="E319" s="21"/>
      <c r="F319" s="21"/>
      <c r="G319" s="21"/>
      <c r="H319" s="29"/>
      <c r="I319" s="22"/>
      <c r="J319" s="26"/>
      <c r="K319" s="29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6"/>
      <c r="AI319" s="29"/>
      <c r="AJ319" s="22"/>
      <c r="AK319" s="22"/>
      <c r="AL319" s="22"/>
      <c r="AM319" s="22"/>
      <c r="AN319" s="90">
        <f>COUNTIF(AO10:AO302,A319)</f>
        <v>5</v>
      </c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23"/>
      <c r="BP319" s="23"/>
      <c r="BQ319" s="23"/>
      <c r="BR319" s="23"/>
      <c r="BS319" s="23"/>
    </row>
    <row r="320" spans="1:71" s="24" customFormat="1" ht="30" customHeight="1" x14ac:dyDescent="0.25">
      <c r="A320" s="89">
        <v>4</v>
      </c>
      <c r="B320" s="25"/>
      <c r="C320" s="27"/>
      <c r="D320" s="21"/>
      <c r="E320" s="21"/>
      <c r="F320" s="21"/>
      <c r="G320" s="21"/>
      <c r="H320" s="29"/>
      <c r="I320" s="22"/>
      <c r="J320" s="26"/>
      <c r="K320" s="29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6"/>
      <c r="AI320" s="29"/>
      <c r="AJ320" s="22"/>
      <c r="AK320" s="22"/>
      <c r="AL320" s="22"/>
      <c r="AM320" s="22"/>
      <c r="AN320" s="90">
        <f>COUNTIF(AO11:AO303,A320)</f>
        <v>39</v>
      </c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23"/>
      <c r="BP320" s="23"/>
      <c r="BQ320" s="23"/>
      <c r="BR320" s="23"/>
      <c r="BS320" s="23"/>
    </row>
    <row r="321" spans="1:71" s="24" customFormat="1" ht="30" customHeight="1" x14ac:dyDescent="0.25">
      <c r="A321" s="89">
        <v>3.3</v>
      </c>
      <c r="B321" s="25"/>
      <c r="C321" s="27"/>
      <c r="D321" s="21"/>
      <c r="E321" s="21"/>
      <c r="F321" s="21"/>
      <c r="G321" s="21"/>
      <c r="H321" s="29"/>
      <c r="I321" s="22"/>
      <c r="J321" s="26"/>
      <c r="K321" s="29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6"/>
      <c r="AI321" s="29"/>
      <c r="AJ321" s="22"/>
      <c r="AK321" s="22"/>
      <c r="AL321" s="22"/>
      <c r="AM321" s="22"/>
      <c r="AN321" s="90">
        <f>COUNTIF(AO12:AO304,A321)</f>
        <v>3</v>
      </c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23"/>
      <c r="BP321" s="23"/>
      <c r="BQ321" s="23"/>
      <c r="BR321" s="23"/>
      <c r="BS321" s="23"/>
    </row>
    <row r="322" spans="1:71" s="24" customFormat="1" ht="30" customHeight="1" x14ac:dyDescent="0.25">
      <c r="A322" s="89">
        <v>3.9</v>
      </c>
      <c r="B322" s="25"/>
      <c r="C322" s="27"/>
      <c r="D322" s="21"/>
      <c r="E322" s="21"/>
      <c r="F322" s="21"/>
      <c r="G322" s="21"/>
      <c r="H322" s="29"/>
      <c r="I322" s="22"/>
      <c r="J322" s="26"/>
      <c r="K322" s="29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6"/>
      <c r="AI322" s="29"/>
      <c r="AJ322" s="22"/>
      <c r="AK322" s="22"/>
      <c r="AL322" s="22"/>
      <c r="AM322" s="22"/>
      <c r="AN322" s="90">
        <f>COUNTIF(AO13:AO305,A322)</f>
        <v>9</v>
      </c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23"/>
      <c r="BP322" s="23"/>
      <c r="BQ322" s="23"/>
      <c r="BR322" s="23"/>
      <c r="BS322" s="23"/>
    </row>
    <row r="323" spans="1:71" s="24" customFormat="1" ht="30" customHeight="1" x14ac:dyDescent="0.25">
      <c r="A323" s="89">
        <v>3</v>
      </c>
      <c r="B323" s="25"/>
      <c r="C323" s="27"/>
      <c r="D323" s="21"/>
      <c r="E323" s="21"/>
      <c r="F323" s="21"/>
      <c r="G323" s="21"/>
      <c r="H323" s="29"/>
      <c r="I323" s="22"/>
      <c r="J323" s="26"/>
      <c r="K323" s="29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6"/>
      <c r="AI323" s="29"/>
      <c r="AJ323" s="22"/>
      <c r="AK323" s="22"/>
      <c r="AL323" s="22"/>
      <c r="AM323" s="22"/>
      <c r="AN323" s="90">
        <f>COUNTIF(AO14:AO306,A323)</f>
        <v>4</v>
      </c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23"/>
      <c r="BP323" s="23"/>
      <c r="BQ323" s="23"/>
      <c r="BR323" s="23"/>
      <c r="BS323" s="23"/>
    </row>
    <row r="324" spans="1:71" s="24" customFormat="1" ht="30" customHeight="1" x14ac:dyDescent="0.25">
      <c r="A324" s="89">
        <v>3.23</v>
      </c>
      <c r="B324" s="25"/>
      <c r="C324" s="27"/>
      <c r="D324" s="21"/>
      <c r="E324" s="21"/>
      <c r="F324" s="21"/>
      <c r="G324" s="21"/>
      <c r="H324" s="29"/>
      <c r="I324" s="22"/>
      <c r="J324" s="26"/>
      <c r="K324" s="29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6"/>
      <c r="AI324" s="29"/>
      <c r="AJ324" s="22"/>
      <c r="AK324" s="22"/>
      <c r="AL324" s="22"/>
      <c r="AM324" s="22"/>
      <c r="AN324" s="90">
        <f>COUNTIF(AO15:AO307,A324)</f>
        <v>1</v>
      </c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23"/>
      <c r="BP324" s="23"/>
      <c r="BQ324" s="23"/>
      <c r="BR324" s="23"/>
      <c r="BS324" s="23"/>
    </row>
    <row r="325" spans="1:71" s="24" customFormat="1" ht="30" customHeight="1" x14ac:dyDescent="0.25">
      <c r="A325" s="89">
        <v>3.2</v>
      </c>
      <c r="B325" s="37"/>
      <c r="C325" s="27"/>
      <c r="D325" s="21"/>
      <c r="E325" s="21"/>
      <c r="F325" s="21"/>
      <c r="G325" s="21"/>
      <c r="H325" s="29"/>
      <c r="I325" s="22"/>
      <c r="J325" s="26"/>
      <c r="K325" s="29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6"/>
      <c r="AI325" s="29"/>
      <c r="AJ325" s="22"/>
      <c r="AK325" s="22"/>
      <c r="AL325" s="22"/>
      <c r="AM325" s="22"/>
      <c r="AN325" s="90">
        <f>COUNTIF(AO16:AO308,A325)</f>
        <v>4</v>
      </c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23"/>
      <c r="BP325" s="23"/>
      <c r="BQ325" s="23"/>
      <c r="BR325" s="23"/>
      <c r="BS325" s="23"/>
    </row>
    <row r="326" spans="1:71" s="24" customFormat="1" ht="30" customHeight="1" x14ac:dyDescent="0.25">
      <c r="A326" s="89">
        <v>2.1</v>
      </c>
      <c r="B326" s="25"/>
      <c r="C326" s="27"/>
      <c r="D326" s="21"/>
      <c r="E326" s="21"/>
      <c r="F326" s="21"/>
      <c r="G326" s="21"/>
      <c r="H326" s="29"/>
      <c r="I326" s="32"/>
      <c r="J326" s="33"/>
      <c r="K326" s="29"/>
      <c r="L326" s="3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6"/>
      <c r="AI326" s="29"/>
      <c r="AJ326" s="22"/>
      <c r="AK326" s="22"/>
      <c r="AL326" s="22"/>
      <c r="AM326" s="22"/>
      <c r="AN326" s="90">
        <f>COUNTIF(AO17:AO309,A326)</f>
        <v>1</v>
      </c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23"/>
      <c r="BP326" s="23"/>
      <c r="BQ326" s="23"/>
      <c r="BR326" s="23"/>
      <c r="BS326" s="23"/>
    </row>
    <row r="327" spans="1:71" s="24" customFormat="1" ht="0.75" customHeight="1" x14ac:dyDescent="0.25">
      <c r="A327" s="21">
        <v>2.9</v>
      </c>
      <c r="B327" s="25"/>
      <c r="C327" s="27"/>
      <c r="D327" s="21"/>
      <c r="E327" s="21"/>
      <c r="F327" s="21"/>
      <c r="G327" s="21"/>
      <c r="H327" s="29"/>
      <c r="I327" s="22"/>
      <c r="J327" s="26"/>
      <c r="K327" s="29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6"/>
      <c r="AI327" s="29"/>
      <c r="AJ327" s="22"/>
      <c r="AK327" s="22"/>
      <c r="AL327" s="22"/>
      <c r="AM327" s="22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23"/>
      <c r="BP327" s="23"/>
      <c r="BQ327" s="23"/>
      <c r="BR327" s="23"/>
      <c r="BS327" s="23"/>
    </row>
    <row r="328" spans="1:71" s="24" customFormat="1" ht="30" customHeight="1" x14ac:dyDescent="0.25">
      <c r="A328" s="21"/>
      <c r="B328" s="25"/>
      <c r="C328" s="27"/>
      <c r="D328" s="21"/>
      <c r="E328" s="21"/>
      <c r="F328" s="21"/>
      <c r="G328" s="21"/>
      <c r="H328" s="29"/>
      <c r="I328" s="22"/>
      <c r="J328" s="26"/>
      <c r="K328" s="29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6"/>
      <c r="AI328" s="29"/>
      <c r="AJ328" s="22"/>
      <c r="AK328" s="22"/>
      <c r="AL328" s="22"/>
      <c r="AM328" s="22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23"/>
      <c r="BP328" s="23"/>
      <c r="BQ328" s="23"/>
      <c r="BR328" s="23"/>
      <c r="BS328" s="23"/>
    </row>
    <row r="329" spans="1:71" s="24" customFormat="1" ht="30" customHeight="1" x14ac:dyDescent="0.25">
      <c r="A329" s="91" cm="1">
        <f t="array" ref="A329:A347">_xlfn.UNIQUE(AP3:AP296)</f>
        <v>0</v>
      </c>
      <c r="B329" s="25"/>
      <c r="C329" s="27"/>
      <c r="D329" s="21"/>
      <c r="E329" s="21"/>
      <c r="F329" s="21"/>
      <c r="G329" s="21"/>
      <c r="H329" s="29"/>
      <c r="I329" s="22"/>
      <c r="J329" s="26"/>
      <c r="K329" s="29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6"/>
      <c r="AI329" s="29"/>
      <c r="AJ329" s="22"/>
      <c r="AK329" s="22"/>
      <c r="AL329" s="22"/>
      <c r="AM329" s="22"/>
      <c r="AN329" s="92">
        <f>COUNTIF(AP3:AP296,A329)</f>
        <v>0</v>
      </c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23"/>
      <c r="BP329" s="23"/>
      <c r="BQ329" s="23"/>
      <c r="BR329" s="23"/>
      <c r="BS329" s="23"/>
    </row>
    <row r="330" spans="1:71" s="24" customFormat="1" ht="30" customHeight="1" x14ac:dyDescent="0.25">
      <c r="A330" s="91">
        <v>3.2</v>
      </c>
      <c r="B330" s="25"/>
      <c r="C330" s="27"/>
      <c r="D330" s="21"/>
      <c r="E330" s="21"/>
      <c r="F330" s="21"/>
      <c r="G330" s="21"/>
      <c r="H330" s="29"/>
      <c r="I330" s="22"/>
      <c r="J330" s="26"/>
      <c r="K330" s="29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6"/>
      <c r="AI330" s="29"/>
      <c r="AJ330" s="22"/>
      <c r="AK330" s="22"/>
      <c r="AL330" s="22"/>
      <c r="AM330" s="22"/>
      <c r="AN330" s="92">
        <f>COUNTIF(AP4:AP297,A330)</f>
        <v>9</v>
      </c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23"/>
      <c r="BP330" s="23"/>
      <c r="BQ330" s="23"/>
      <c r="BR330" s="23"/>
      <c r="BS330" s="23"/>
    </row>
    <row r="331" spans="1:71" s="24" customFormat="1" ht="30" customHeight="1" x14ac:dyDescent="0.25">
      <c r="A331" s="91">
        <v>2</v>
      </c>
      <c r="B331" s="25"/>
      <c r="C331" s="27"/>
      <c r="D331" s="21"/>
      <c r="E331" s="21"/>
      <c r="F331" s="21"/>
      <c r="G331" s="21"/>
      <c r="H331" s="29"/>
      <c r="I331" s="22"/>
      <c r="J331" s="26"/>
      <c r="K331" s="29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6"/>
      <c r="AI331" s="29"/>
      <c r="AJ331" s="22"/>
      <c r="AK331" s="22"/>
      <c r="AL331" s="22"/>
      <c r="AM331" s="22"/>
      <c r="AN331" s="92">
        <f>COUNTIF(AP5:AP298,A331)</f>
        <v>2</v>
      </c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23"/>
      <c r="BP331" s="23"/>
      <c r="BQ331" s="23"/>
      <c r="BR331" s="23"/>
      <c r="BS331" s="23"/>
    </row>
    <row r="332" spans="1:71" s="24" customFormat="1" ht="30" customHeight="1" x14ac:dyDescent="0.25">
      <c r="A332" s="91">
        <v>3.7</v>
      </c>
      <c r="B332" s="25"/>
      <c r="C332" s="27"/>
      <c r="D332" s="21"/>
      <c r="E332" s="21"/>
      <c r="F332" s="21"/>
      <c r="G332" s="21"/>
      <c r="H332" s="29"/>
      <c r="I332" s="32"/>
      <c r="J332" s="33"/>
      <c r="K332" s="40"/>
      <c r="L332" s="32"/>
      <c r="M332" s="41"/>
      <c r="N332" s="41"/>
      <c r="O332" s="41"/>
      <c r="P332" s="22"/>
      <c r="Q332" s="41"/>
      <c r="R332" s="41"/>
      <c r="S332" s="41"/>
      <c r="T332" s="41"/>
      <c r="U332" s="41"/>
      <c r="V332" s="22"/>
      <c r="W332" s="22"/>
      <c r="X332" s="41"/>
      <c r="Y332" s="41"/>
      <c r="Z332" s="41"/>
      <c r="AA332" s="22"/>
      <c r="AB332" s="41"/>
      <c r="AC332" s="41"/>
      <c r="AD332" s="41"/>
      <c r="AE332" s="41"/>
      <c r="AF332" s="41"/>
      <c r="AG332" s="41"/>
      <c r="AH332" s="36"/>
      <c r="AI332" s="29"/>
      <c r="AJ332" s="22"/>
      <c r="AK332" s="22"/>
      <c r="AL332" s="22"/>
      <c r="AM332" s="22"/>
      <c r="AN332" s="92">
        <f>COUNTIF(AP6:AP299,A332)</f>
        <v>11</v>
      </c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23"/>
      <c r="BP332" s="23"/>
      <c r="BQ332" s="23"/>
      <c r="BR332" s="23"/>
      <c r="BS332" s="23"/>
    </row>
    <row r="333" spans="1:71" s="24" customFormat="1" ht="30" customHeight="1" x14ac:dyDescent="0.25">
      <c r="A333" s="91">
        <v>3</v>
      </c>
      <c r="B333" s="25"/>
      <c r="C333" s="27"/>
      <c r="D333" s="21"/>
      <c r="E333" s="21"/>
      <c r="F333" s="21"/>
      <c r="G333" s="21"/>
      <c r="H333" s="29"/>
      <c r="I333" s="22"/>
      <c r="J333" s="26"/>
      <c r="K333" s="29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6"/>
      <c r="AI333" s="29"/>
      <c r="AJ333" s="22"/>
      <c r="AK333" s="22"/>
      <c r="AL333" s="22"/>
      <c r="AM333" s="22"/>
      <c r="AN333" s="92">
        <f>COUNTIF(AP7:AP300,A333)</f>
        <v>16</v>
      </c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23"/>
      <c r="BP333" s="23"/>
      <c r="BQ333" s="23"/>
      <c r="BR333" s="23"/>
      <c r="BS333" s="23"/>
    </row>
    <row r="334" spans="1:71" s="24" customFormat="1" ht="30" customHeight="1" x14ac:dyDescent="0.25">
      <c r="A334" s="91">
        <v>3.1</v>
      </c>
      <c r="B334" s="25"/>
      <c r="C334" s="27"/>
      <c r="D334" s="21"/>
      <c r="E334" s="21"/>
      <c r="F334" s="21"/>
      <c r="G334" s="21"/>
      <c r="H334" s="29"/>
      <c r="I334" s="22"/>
      <c r="J334" s="26"/>
      <c r="K334" s="29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6"/>
      <c r="AI334" s="29"/>
      <c r="AJ334" s="22"/>
      <c r="AK334" s="22"/>
      <c r="AL334" s="22"/>
      <c r="AM334" s="22"/>
      <c r="AN334" s="92">
        <f>COUNTIF(AP8:AP301,A334)</f>
        <v>8</v>
      </c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23"/>
      <c r="BP334" s="23"/>
      <c r="BQ334" s="23"/>
      <c r="BR334" s="23"/>
      <c r="BS334" s="23"/>
    </row>
    <row r="335" spans="1:71" s="24" customFormat="1" ht="30" customHeight="1" x14ac:dyDescent="0.25">
      <c r="A335" s="91">
        <v>2.6</v>
      </c>
      <c r="B335" s="25"/>
      <c r="C335" s="27"/>
      <c r="D335" s="21"/>
      <c r="E335" s="21"/>
      <c r="F335" s="21"/>
      <c r="G335" s="21"/>
      <c r="H335" s="29"/>
      <c r="I335" s="22"/>
      <c r="J335" s="26"/>
      <c r="K335" s="29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6"/>
      <c r="AI335" s="29"/>
      <c r="AJ335" s="22"/>
      <c r="AK335" s="22"/>
      <c r="AL335" s="22"/>
      <c r="AM335" s="22"/>
      <c r="AN335" s="92">
        <f>COUNTIF(AP9:AP302,A335)</f>
        <v>2</v>
      </c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23"/>
      <c r="BP335" s="23"/>
      <c r="BQ335" s="23"/>
      <c r="BR335" s="23"/>
      <c r="BS335" s="23"/>
    </row>
    <row r="336" spans="1:71" s="24" customFormat="1" ht="30" customHeight="1" x14ac:dyDescent="0.25">
      <c r="A336" s="91">
        <v>3.8</v>
      </c>
      <c r="B336" s="25"/>
      <c r="C336" s="27"/>
      <c r="D336" s="21"/>
      <c r="E336" s="21"/>
      <c r="F336" s="21"/>
      <c r="G336" s="21"/>
      <c r="H336" s="29"/>
      <c r="I336" s="22"/>
      <c r="J336" s="26"/>
      <c r="K336" s="29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6"/>
      <c r="AI336" s="29"/>
      <c r="AJ336" s="22"/>
      <c r="AK336" s="22"/>
      <c r="AL336" s="22"/>
      <c r="AM336" s="22"/>
      <c r="AN336" s="92">
        <f>COUNTIF(AP10:AP303,A336)</f>
        <v>14</v>
      </c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23"/>
      <c r="BP336" s="23"/>
      <c r="BQ336" s="23"/>
      <c r="BR336" s="23"/>
      <c r="BS336" s="23"/>
    </row>
    <row r="337" spans="1:71" s="24" customFormat="1" ht="30" customHeight="1" x14ac:dyDescent="0.25">
      <c r="A337" s="91">
        <v>4</v>
      </c>
      <c r="B337" s="31"/>
      <c r="C337" s="27"/>
      <c r="D337" s="21"/>
      <c r="E337" s="21"/>
      <c r="F337" s="21"/>
      <c r="G337" s="21"/>
      <c r="H337" s="29"/>
      <c r="I337" s="22"/>
      <c r="J337" s="26"/>
      <c r="K337" s="29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6"/>
      <c r="AI337" s="29"/>
      <c r="AJ337" s="22"/>
      <c r="AK337" s="22"/>
      <c r="AL337" s="22"/>
      <c r="AM337" s="22"/>
      <c r="AN337" s="92">
        <f>COUNTIF(AP11:AP304,A337)</f>
        <v>10</v>
      </c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23"/>
      <c r="BP337" s="23"/>
      <c r="BQ337" s="23"/>
      <c r="BR337" s="23"/>
      <c r="BS337" s="23"/>
    </row>
    <row r="338" spans="1:71" s="24" customFormat="1" ht="30" customHeight="1" x14ac:dyDescent="0.25">
      <c r="A338" s="91">
        <v>3.6</v>
      </c>
      <c r="B338" s="35"/>
      <c r="C338" s="27"/>
      <c r="D338" s="21"/>
      <c r="E338" s="21"/>
      <c r="F338" s="21"/>
      <c r="G338" s="21"/>
      <c r="H338" s="29"/>
      <c r="I338" s="22"/>
      <c r="J338" s="26"/>
      <c r="K338" s="29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6"/>
      <c r="AI338" s="29"/>
      <c r="AJ338" s="22"/>
      <c r="AK338" s="22"/>
      <c r="AL338" s="22"/>
      <c r="AM338" s="22"/>
      <c r="AN338" s="92">
        <f>COUNTIF(AP12:AP305,A338)</f>
        <v>10</v>
      </c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23"/>
      <c r="BP338" s="23"/>
      <c r="BQ338" s="23"/>
      <c r="BR338" s="23"/>
      <c r="BS338" s="23"/>
    </row>
    <row r="339" spans="1:71" s="24" customFormat="1" ht="30" customHeight="1" x14ac:dyDescent="0.25">
      <c r="A339" s="91">
        <v>2.9</v>
      </c>
      <c r="B339" s="25"/>
      <c r="C339" s="27"/>
      <c r="D339" s="21"/>
      <c r="E339" s="21"/>
      <c r="F339" s="21"/>
      <c r="G339" s="21"/>
      <c r="H339" s="29"/>
      <c r="I339" s="22"/>
      <c r="J339" s="26"/>
      <c r="K339" s="29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6"/>
      <c r="AI339" s="29"/>
      <c r="AJ339" s="22"/>
      <c r="AK339" s="22"/>
      <c r="AL339" s="22"/>
      <c r="AM339" s="22"/>
      <c r="AN339" s="92">
        <f>COUNTIF(AP13:AP306,A339)</f>
        <v>2</v>
      </c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23"/>
      <c r="BP339" s="23"/>
      <c r="BQ339" s="23"/>
      <c r="BR339" s="23"/>
      <c r="BS339" s="23"/>
    </row>
    <row r="340" spans="1:71" s="24" customFormat="1" ht="30" customHeight="1" x14ac:dyDescent="0.25">
      <c r="A340" s="91">
        <v>3.4</v>
      </c>
      <c r="B340" s="25"/>
      <c r="C340" s="27"/>
      <c r="D340" s="21"/>
      <c r="E340" s="21"/>
      <c r="F340" s="21"/>
      <c r="G340" s="21"/>
      <c r="H340" s="29"/>
      <c r="I340" s="22"/>
      <c r="J340" s="26"/>
      <c r="K340" s="29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6"/>
      <c r="AI340" s="29"/>
      <c r="AJ340" s="22"/>
      <c r="AK340" s="22"/>
      <c r="AL340" s="22"/>
      <c r="AM340" s="22"/>
      <c r="AN340" s="92">
        <f>COUNTIF(AP14:AP307,A340)</f>
        <v>11</v>
      </c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23"/>
      <c r="BP340" s="23"/>
      <c r="BQ340" s="23"/>
      <c r="BR340" s="23"/>
      <c r="BS340" s="23"/>
    </row>
    <row r="341" spans="1:71" s="24" customFormat="1" ht="30" customHeight="1" x14ac:dyDescent="0.25">
      <c r="A341" s="91">
        <v>2.8</v>
      </c>
      <c r="B341" s="25"/>
      <c r="C341" s="27"/>
      <c r="D341" s="21"/>
      <c r="E341" s="21"/>
      <c r="F341" s="21"/>
      <c r="G341" s="21"/>
      <c r="H341" s="29"/>
      <c r="I341" s="22"/>
      <c r="J341" s="26"/>
      <c r="K341" s="29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6"/>
      <c r="AI341" s="29"/>
      <c r="AJ341" s="22"/>
      <c r="AK341" s="22"/>
      <c r="AL341" s="22"/>
      <c r="AM341" s="22"/>
      <c r="AN341" s="92">
        <f>COUNTIF(AP15:AP308,A341)</f>
        <v>2</v>
      </c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23"/>
      <c r="BP341" s="23"/>
      <c r="BQ341" s="23"/>
      <c r="BR341" s="23"/>
      <c r="BS341" s="23"/>
    </row>
    <row r="342" spans="1:71" s="24" customFormat="1" ht="30" customHeight="1" x14ac:dyDescent="0.25">
      <c r="A342" s="91">
        <v>3.3</v>
      </c>
      <c r="B342" s="25"/>
      <c r="C342" s="27"/>
      <c r="D342" s="21"/>
      <c r="E342" s="21"/>
      <c r="F342" s="21"/>
      <c r="G342" s="21"/>
      <c r="H342" s="29"/>
      <c r="I342" s="22"/>
      <c r="J342" s="26"/>
      <c r="K342" s="29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6"/>
      <c r="AI342" s="29"/>
      <c r="AJ342" s="22"/>
      <c r="AK342" s="22"/>
      <c r="AL342" s="22"/>
      <c r="AM342" s="22"/>
      <c r="AN342" s="92">
        <f>COUNTIF(AP16:AP309,A342)</f>
        <v>5</v>
      </c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23"/>
      <c r="BP342" s="23"/>
      <c r="BQ342" s="23"/>
      <c r="BR342" s="23"/>
      <c r="BS342" s="23"/>
    </row>
    <row r="343" spans="1:71" s="24" customFormat="1" ht="30" customHeight="1" x14ac:dyDescent="0.25">
      <c r="A343" s="91">
        <v>3.5</v>
      </c>
      <c r="B343" s="25"/>
      <c r="C343" s="27"/>
      <c r="D343" s="21"/>
      <c r="E343" s="21"/>
      <c r="F343" s="21"/>
      <c r="G343" s="21"/>
      <c r="H343" s="29"/>
      <c r="I343" s="22"/>
      <c r="J343" s="26"/>
      <c r="K343" s="29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6"/>
      <c r="AI343" s="29"/>
      <c r="AJ343" s="22"/>
      <c r="AK343" s="22"/>
      <c r="AL343" s="22"/>
      <c r="AM343" s="22"/>
      <c r="AN343" s="92">
        <f>COUNTIF(AP17:AP310,A343)</f>
        <v>6</v>
      </c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23"/>
      <c r="BP343" s="23"/>
      <c r="BQ343" s="23"/>
      <c r="BR343" s="23"/>
      <c r="BS343" s="23"/>
    </row>
    <row r="344" spans="1:71" s="24" customFormat="1" ht="30" customHeight="1" x14ac:dyDescent="0.25">
      <c r="A344" s="91">
        <v>3.9</v>
      </c>
      <c r="B344" s="25"/>
      <c r="C344" s="27"/>
      <c r="D344" s="21"/>
      <c r="E344" s="21"/>
      <c r="F344" s="21"/>
      <c r="G344" s="21"/>
      <c r="H344" s="29"/>
      <c r="I344" s="22"/>
      <c r="J344" s="26"/>
      <c r="K344" s="29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6"/>
      <c r="AI344" s="29"/>
      <c r="AJ344" s="22"/>
      <c r="AK344" s="22"/>
      <c r="AL344" s="22"/>
      <c r="AM344" s="22"/>
      <c r="AN344" s="92">
        <f>COUNTIF(AP18:AP311,A344)</f>
        <v>4</v>
      </c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23"/>
      <c r="BP344" s="23"/>
      <c r="BQ344" s="23"/>
      <c r="BR344" s="23"/>
      <c r="BS344" s="23"/>
    </row>
    <row r="345" spans="1:71" s="24" customFormat="1" ht="30" customHeight="1" x14ac:dyDescent="0.25">
      <c r="A345" s="91">
        <v>2.4</v>
      </c>
      <c r="B345" s="25"/>
      <c r="C345" s="27"/>
      <c r="D345" s="21"/>
      <c r="E345" s="21"/>
      <c r="F345" s="21"/>
      <c r="G345" s="21"/>
      <c r="H345" s="29"/>
      <c r="I345" s="22"/>
      <c r="J345" s="26"/>
      <c r="K345" s="29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6"/>
      <c r="AI345" s="29"/>
      <c r="AJ345" s="22"/>
      <c r="AK345" s="22"/>
      <c r="AL345" s="22"/>
      <c r="AM345" s="22"/>
      <c r="AN345" s="92">
        <f>COUNTIF(AP19:AP312,A345)</f>
        <v>1</v>
      </c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23"/>
      <c r="BP345" s="23"/>
      <c r="BQ345" s="23"/>
      <c r="BR345" s="23"/>
      <c r="BS345" s="23"/>
    </row>
    <row r="346" spans="1:71" s="24" customFormat="1" ht="30" customHeight="1" x14ac:dyDescent="0.25">
      <c r="A346" s="91">
        <v>2.2000000000000002</v>
      </c>
      <c r="B346" s="25"/>
      <c r="C346" s="27"/>
      <c r="D346" s="21"/>
      <c r="E346" s="21"/>
      <c r="F346" s="21"/>
      <c r="G346" s="21"/>
      <c r="H346" s="29"/>
      <c r="I346" s="22"/>
      <c r="J346" s="26"/>
      <c r="K346" s="29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6"/>
      <c r="AI346" s="29"/>
      <c r="AJ346" s="22"/>
      <c r="AK346" s="22"/>
      <c r="AL346" s="22"/>
      <c r="AM346" s="22"/>
      <c r="AN346" s="92">
        <f>COUNTIF(AP20:AP313,A346)</f>
        <v>1</v>
      </c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23"/>
      <c r="BP346" s="23"/>
      <c r="BQ346" s="23"/>
      <c r="BR346" s="23"/>
      <c r="BS346" s="23"/>
    </row>
    <row r="347" spans="1:71" s="24" customFormat="1" ht="30" customHeight="1" x14ac:dyDescent="0.25">
      <c r="A347" s="91">
        <v>2.5</v>
      </c>
      <c r="B347" s="25"/>
      <c r="C347" s="27"/>
      <c r="D347" s="21"/>
      <c r="E347" s="21"/>
      <c r="F347" s="21"/>
      <c r="G347" s="21"/>
      <c r="H347" s="29"/>
      <c r="I347" s="22"/>
      <c r="J347" s="26"/>
      <c r="K347" s="29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6"/>
      <c r="AI347" s="29"/>
      <c r="AJ347" s="22"/>
      <c r="AK347" s="22"/>
      <c r="AL347" s="22"/>
      <c r="AM347" s="22"/>
      <c r="AN347" s="92">
        <f>COUNTIF(AP21:AP314,A347)</f>
        <v>2</v>
      </c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23"/>
      <c r="BP347" s="23"/>
      <c r="BQ347" s="23"/>
      <c r="BR347" s="23"/>
      <c r="BS347" s="23"/>
    </row>
    <row r="348" spans="1:71" s="24" customFormat="1" ht="30" customHeight="1" x14ac:dyDescent="0.25">
      <c r="A348" s="21"/>
      <c r="B348" s="25"/>
      <c r="C348" s="27"/>
      <c r="D348" s="21"/>
      <c r="E348" s="21"/>
      <c r="F348" s="21"/>
      <c r="G348" s="21"/>
      <c r="H348" s="29"/>
      <c r="I348" s="22"/>
      <c r="J348" s="26"/>
      <c r="K348" s="29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6"/>
      <c r="AI348" s="29"/>
      <c r="AJ348" s="22"/>
      <c r="AK348" s="22"/>
      <c r="AL348" s="22"/>
      <c r="AM348" s="22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23"/>
      <c r="BP348" s="23"/>
      <c r="BQ348" s="23"/>
      <c r="BR348" s="23"/>
      <c r="BS348" s="23"/>
    </row>
    <row r="349" spans="1:71" s="24" customFormat="1" ht="30" customHeight="1" x14ac:dyDescent="0.25">
      <c r="A349" s="21"/>
      <c r="B349" s="25"/>
      <c r="C349" s="27"/>
      <c r="D349" s="21"/>
      <c r="E349" s="21"/>
      <c r="F349" s="21"/>
      <c r="G349" s="21"/>
      <c r="H349" s="29"/>
      <c r="I349" s="22"/>
      <c r="J349" s="26"/>
      <c r="K349" s="29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6"/>
      <c r="AI349" s="29"/>
      <c r="AJ349" s="22"/>
      <c r="AK349" s="22"/>
      <c r="AL349" s="22"/>
      <c r="AM349" s="22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23"/>
      <c r="BP349" s="23"/>
      <c r="BQ349" s="23"/>
      <c r="BR349" s="23"/>
      <c r="BS349" s="23"/>
    </row>
    <row r="350" spans="1:71" s="24" customFormat="1" ht="30" customHeight="1" x14ac:dyDescent="0.25">
      <c r="A350" s="21"/>
      <c r="B350" s="25"/>
      <c r="C350" s="27"/>
      <c r="D350" s="21"/>
      <c r="E350" s="21"/>
      <c r="F350" s="21"/>
      <c r="G350" s="21"/>
      <c r="H350" s="29"/>
      <c r="I350" s="22"/>
      <c r="J350" s="26"/>
      <c r="K350" s="29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6"/>
      <c r="AI350" s="29"/>
      <c r="AJ350" s="22"/>
      <c r="AK350" s="22"/>
      <c r="AL350" s="22"/>
      <c r="AM350" s="22"/>
      <c r="AN350" s="30"/>
      <c r="AO350" s="30"/>
      <c r="AP350" s="30"/>
      <c r="AQ350" s="28"/>
      <c r="AR350" s="30"/>
      <c r="AS350" s="28"/>
      <c r="AT350" s="28"/>
      <c r="AU350" s="28"/>
      <c r="AV350" s="30"/>
      <c r="AW350" s="28"/>
      <c r="AX350" s="28"/>
      <c r="AY350" s="28"/>
      <c r="AZ350" s="28"/>
      <c r="BA350" s="28"/>
      <c r="BB350" s="30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30"/>
      <c r="BO350" s="23"/>
      <c r="BP350" s="23"/>
      <c r="BQ350" s="23"/>
      <c r="BR350" s="23"/>
      <c r="BS350" s="23"/>
    </row>
    <row r="351" spans="1:71" s="24" customFormat="1" ht="30" customHeight="1" x14ac:dyDescent="0.25">
      <c r="A351" s="21"/>
      <c r="B351" s="25"/>
      <c r="C351" s="27"/>
      <c r="D351" s="21"/>
      <c r="E351" s="21"/>
      <c r="F351" s="21"/>
      <c r="G351" s="21"/>
      <c r="H351" s="29"/>
      <c r="I351" s="22"/>
      <c r="J351" s="26"/>
      <c r="K351" s="29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6"/>
      <c r="AI351" s="29"/>
      <c r="AJ351" s="22"/>
      <c r="AK351" s="22"/>
      <c r="AL351" s="22"/>
      <c r="AM351" s="22"/>
      <c r="AN351" s="30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30"/>
      <c r="BO351" s="23"/>
      <c r="BP351" s="23"/>
      <c r="BQ351" s="23"/>
      <c r="BR351" s="23"/>
      <c r="BS351" s="23"/>
    </row>
    <row r="352" spans="1:71" s="24" customFormat="1" ht="30" customHeight="1" x14ac:dyDescent="0.25">
      <c r="A352" s="21"/>
      <c r="B352" s="39"/>
      <c r="C352" s="27"/>
      <c r="D352" s="21"/>
      <c r="E352" s="21"/>
      <c r="F352" s="21"/>
      <c r="G352" s="21"/>
      <c r="H352" s="29"/>
      <c r="I352" s="22"/>
      <c r="J352" s="26"/>
      <c r="K352" s="29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6"/>
      <c r="AI352" s="29"/>
      <c r="AJ352" s="22"/>
      <c r="AK352" s="22"/>
      <c r="AL352" s="22"/>
      <c r="AM352" s="22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23"/>
      <c r="BP352" s="23"/>
      <c r="BQ352" s="23"/>
      <c r="BR352" s="23"/>
      <c r="BS352" s="23"/>
    </row>
    <row r="353" spans="1:71" s="24" customFormat="1" ht="30" customHeight="1" x14ac:dyDescent="0.25">
      <c r="A353" s="21"/>
      <c r="B353" s="42"/>
      <c r="C353" s="27"/>
      <c r="D353" s="21"/>
      <c r="E353" s="21"/>
      <c r="F353" s="21"/>
      <c r="G353" s="21"/>
      <c r="H353" s="29"/>
      <c r="I353" s="22"/>
      <c r="J353" s="26"/>
      <c r="K353" s="29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6"/>
      <c r="AI353" s="29"/>
      <c r="AJ353" s="22"/>
      <c r="AK353" s="22"/>
      <c r="AL353" s="22"/>
      <c r="AM353" s="22"/>
      <c r="AN353" s="30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30"/>
      <c r="BO353" s="23"/>
      <c r="BP353" s="23"/>
      <c r="BQ353" s="23"/>
      <c r="BR353" s="23"/>
      <c r="BS353" s="23"/>
    </row>
    <row r="354" spans="1:71" s="24" customFormat="1" ht="30" customHeight="1" x14ac:dyDescent="0.25">
      <c r="A354" s="21"/>
      <c r="B354" s="25"/>
      <c r="C354" s="27"/>
      <c r="D354" s="21"/>
      <c r="E354" s="21"/>
      <c r="F354" s="21"/>
      <c r="G354" s="21"/>
      <c r="H354" s="29"/>
      <c r="I354" s="22"/>
      <c r="J354" s="26"/>
      <c r="K354" s="29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6"/>
      <c r="AI354" s="29"/>
      <c r="AJ354" s="22"/>
      <c r="AK354" s="22"/>
      <c r="AL354" s="22"/>
      <c r="AM354" s="22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23"/>
      <c r="BP354" s="23"/>
      <c r="BQ354" s="23"/>
      <c r="BR354" s="23"/>
      <c r="BS354" s="23"/>
    </row>
    <row r="355" spans="1:71" s="24" customFormat="1" ht="30" customHeight="1" x14ac:dyDescent="0.25">
      <c r="A355" s="21"/>
      <c r="B355" s="25"/>
      <c r="C355" s="27"/>
      <c r="D355" s="21"/>
      <c r="E355" s="21"/>
      <c r="F355" s="21"/>
      <c r="G355" s="21"/>
      <c r="H355" s="29"/>
      <c r="I355" s="22"/>
      <c r="J355" s="26"/>
      <c r="K355" s="29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6"/>
      <c r="AI355" s="29"/>
      <c r="AJ355" s="22"/>
      <c r="AK355" s="22"/>
      <c r="AL355" s="22"/>
      <c r="AM355" s="22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23"/>
      <c r="BP355" s="23"/>
      <c r="BQ355" s="23"/>
      <c r="BR355" s="23"/>
      <c r="BS355" s="23"/>
    </row>
    <row r="356" spans="1:71" s="24" customFormat="1" ht="30" customHeight="1" x14ac:dyDescent="0.25">
      <c r="A356" s="21"/>
      <c r="B356" s="25"/>
      <c r="C356" s="27"/>
      <c r="D356" s="21"/>
      <c r="E356" s="21"/>
      <c r="F356" s="21"/>
      <c r="G356" s="21"/>
      <c r="H356" s="29"/>
      <c r="I356" s="22"/>
      <c r="J356" s="26"/>
      <c r="K356" s="29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6"/>
      <c r="AI356" s="29"/>
      <c r="AJ356" s="22"/>
      <c r="AK356" s="22"/>
      <c r="AL356" s="22"/>
      <c r="AM356" s="22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23"/>
      <c r="BP356" s="23"/>
      <c r="BQ356" s="23"/>
      <c r="BR356" s="23"/>
      <c r="BS356" s="23"/>
    </row>
    <row r="357" spans="1:71" s="24" customFormat="1" ht="30" customHeight="1" x14ac:dyDescent="0.25">
      <c r="A357" s="21"/>
      <c r="B357" s="25"/>
      <c r="C357" s="27"/>
      <c r="D357" s="21"/>
      <c r="E357" s="21"/>
      <c r="F357" s="21"/>
      <c r="G357" s="21"/>
      <c r="H357" s="29"/>
      <c r="I357" s="22"/>
      <c r="J357" s="26"/>
      <c r="K357" s="29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6"/>
      <c r="AI357" s="29"/>
      <c r="AJ357" s="22"/>
      <c r="AK357" s="22"/>
      <c r="AL357" s="22"/>
      <c r="AM357" s="22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23"/>
      <c r="BP357" s="23"/>
      <c r="BQ357" s="23"/>
      <c r="BR357" s="23"/>
      <c r="BS357" s="23"/>
    </row>
    <row r="358" spans="1:71" s="24" customFormat="1" ht="30" customHeight="1" x14ac:dyDescent="0.25">
      <c r="A358" s="21"/>
      <c r="B358" s="25"/>
      <c r="C358" s="27"/>
      <c r="D358" s="21"/>
      <c r="E358" s="21"/>
      <c r="F358" s="21"/>
      <c r="G358" s="21"/>
      <c r="H358" s="29"/>
      <c r="I358" s="22"/>
      <c r="J358" s="26"/>
      <c r="K358" s="29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6"/>
      <c r="AI358" s="29"/>
      <c r="AJ358" s="22"/>
      <c r="AK358" s="22"/>
      <c r="AL358" s="22"/>
      <c r="AM358" s="22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23"/>
      <c r="BP358" s="23"/>
      <c r="BQ358" s="23"/>
      <c r="BR358" s="23"/>
      <c r="BS358" s="23"/>
    </row>
    <row r="359" spans="1:71" s="24" customFormat="1" ht="30" customHeight="1" x14ac:dyDescent="0.25">
      <c r="A359" s="21"/>
      <c r="B359" s="35"/>
      <c r="C359" s="27"/>
      <c r="D359" s="21"/>
      <c r="E359" s="21"/>
      <c r="F359" s="21"/>
      <c r="G359" s="21"/>
      <c r="H359" s="29"/>
      <c r="I359" s="22"/>
      <c r="J359" s="26"/>
      <c r="K359" s="29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6"/>
      <c r="AI359" s="29"/>
      <c r="AJ359" s="22"/>
      <c r="AK359" s="22"/>
      <c r="AL359" s="22"/>
      <c r="AM359" s="22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23"/>
      <c r="BP359" s="23"/>
      <c r="BQ359" s="23"/>
      <c r="BR359" s="23"/>
      <c r="BS359" s="23"/>
    </row>
    <row r="360" spans="1:71" s="24" customFormat="1" ht="30" customHeight="1" x14ac:dyDescent="0.25">
      <c r="A360" s="21"/>
      <c r="B360" s="25"/>
      <c r="C360" s="27"/>
      <c r="D360" s="21"/>
      <c r="E360" s="21"/>
      <c r="F360" s="21"/>
      <c r="G360" s="21"/>
      <c r="H360" s="29"/>
      <c r="I360" s="22"/>
      <c r="J360" s="26"/>
      <c r="K360" s="29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6"/>
      <c r="AI360" s="29"/>
      <c r="AJ360" s="22"/>
      <c r="AK360" s="22"/>
      <c r="AL360" s="22"/>
      <c r="AM360" s="22"/>
      <c r="AN360" s="30"/>
      <c r="AO360" s="28"/>
      <c r="AP360" s="28"/>
      <c r="AQ360" s="28"/>
      <c r="AR360" s="28"/>
      <c r="AS360" s="28"/>
      <c r="AT360" s="28"/>
      <c r="AU360" s="28"/>
      <c r="AV360" s="28"/>
      <c r="AW360" s="28"/>
      <c r="AX360" s="30"/>
      <c r="AY360" s="28"/>
      <c r="AZ360" s="28"/>
      <c r="BA360" s="28"/>
      <c r="BB360" s="28"/>
      <c r="BC360" s="28"/>
      <c r="BD360" s="28"/>
      <c r="BE360" s="30"/>
      <c r="BF360" s="28"/>
      <c r="BG360" s="28"/>
      <c r="BH360" s="28"/>
      <c r="BI360" s="28"/>
      <c r="BJ360" s="28"/>
      <c r="BK360" s="28"/>
      <c r="BL360" s="28"/>
      <c r="BM360" s="28"/>
      <c r="BN360" s="30"/>
      <c r="BO360" s="23"/>
      <c r="BP360" s="23"/>
      <c r="BQ360" s="23"/>
      <c r="BR360" s="23"/>
      <c r="BS360" s="23"/>
    </row>
    <row r="361" spans="1:71" s="24" customFormat="1" ht="30" customHeight="1" x14ac:dyDescent="0.25">
      <c r="A361" s="21"/>
      <c r="B361" s="25"/>
      <c r="C361" s="27"/>
      <c r="D361" s="21"/>
      <c r="E361" s="21"/>
      <c r="F361" s="21"/>
      <c r="G361" s="21"/>
      <c r="H361" s="29"/>
      <c r="I361" s="22"/>
      <c r="J361" s="26"/>
      <c r="K361" s="29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6"/>
      <c r="AI361" s="29"/>
      <c r="AJ361" s="22"/>
      <c r="AK361" s="22"/>
      <c r="AL361" s="22"/>
      <c r="AM361" s="22"/>
      <c r="AN361" s="30"/>
      <c r="AO361" s="28"/>
      <c r="AP361" s="28"/>
      <c r="AQ361" s="28"/>
      <c r="AR361" s="28"/>
      <c r="AS361" s="28"/>
      <c r="AT361" s="28"/>
      <c r="AU361" s="28"/>
      <c r="AV361" s="28"/>
      <c r="AW361" s="28"/>
      <c r="AX361" s="30"/>
      <c r="AY361" s="28"/>
      <c r="AZ361" s="28"/>
      <c r="BA361" s="28"/>
      <c r="BB361" s="28"/>
      <c r="BC361" s="28"/>
      <c r="BD361" s="28"/>
      <c r="BE361" s="30"/>
      <c r="BF361" s="28"/>
      <c r="BG361" s="28"/>
      <c r="BH361" s="28"/>
      <c r="BI361" s="28"/>
      <c r="BJ361" s="28"/>
      <c r="BK361" s="28"/>
      <c r="BL361" s="28"/>
      <c r="BM361" s="28"/>
      <c r="BN361" s="30"/>
      <c r="BO361" s="23"/>
      <c r="BP361" s="23"/>
      <c r="BQ361" s="23"/>
      <c r="BR361" s="23"/>
      <c r="BS361" s="23"/>
    </row>
    <row r="362" spans="1:71" s="24" customFormat="1" ht="30" customHeight="1" x14ac:dyDescent="0.25">
      <c r="A362" s="21"/>
      <c r="B362" s="25"/>
      <c r="C362" s="27"/>
      <c r="D362" s="21"/>
      <c r="E362" s="21"/>
      <c r="F362" s="21"/>
      <c r="G362" s="21"/>
      <c r="H362" s="29"/>
      <c r="I362" s="22"/>
      <c r="J362" s="26"/>
      <c r="K362" s="29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6"/>
      <c r="AI362" s="29"/>
      <c r="AJ362" s="22"/>
      <c r="AK362" s="22"/>
      <c r="AL362" s="22"/>
      <c r="AM362" s="22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23"/>
      <c r="BP362" s="23"/>
      <c r="BQ362" s="23"/>
      <c r="BR362" s="23"/>
      <c r="BS362" s="23"/>
    </row>
    <row r="363" spans="1:71" s="24" customFormat="1" ht="30" customHeight="1" x14ac:dyDescent="0.25">
      <c r="A363" s="21"/>
      <c r="B363" s="25"/>
      <c r="C363" s="25"/>
      <c r="D363" s="21"/>
      <c r="E363" s="21"/>
      <c r="F363" s="21"/>
      <c r="G363" s="21"/>
      <c r="H363" s="29"/>
      <c r="I363" s="22"/>
      <c r="J363" s="26"/>
      <c r="K363" s="29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6"/>
      <c r="AI363" s="29"/>
      <c r="AJ363" s="22"/>
      <c r="AK363" s="22"/>
      <c r="AL363" s="22"/>
      <c r="AM363" s="22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23"/>
      <c r="BP363" s="23"/>
      <c r="BQ363" s="23"/>
      <c r="BR363" s="23"/>
      <c r="BS363" s="23"/>
    </row>
    <row r="364" spans="1:71" s="24" customFormat="1" ht="30" customHeight="1" x14ac:dyDescent="0.25">
      <c r="A364" s="21"/>
      <c r="B364" s="25"/>
      <c r="C364" s="25"/>
      <c r="D364" s="21"/>
      <c r="E364" s="21"/>
      <c r="F364" s="21"/>
      <c r="G364" s="21"/>
      <c r="H364" s="29"/>
      <c r="I364" s="22"/>
      <c r="J364" s="26"/>
      <c r="K364" s="29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6"/>
      <c r="AI364" s="29"/>
      <c r="AJ364" s="22"/>
      <c r="AK364" s="22"/>
      <c r="AL364" s="22"/>
      <c r="AM364" s="22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23"/>
      <c r="BP364" s="23"/>
      <c r="BQ364" s="23"/>
      <c r="BR364" s="23"/>
      <c r="BS364" s="23"/>
    </row>
    <row r="365" spans="1:71" s="24" customFormat="1" ht="30" customHeight="1" x14ac:dyDescent="0.25">
      <c r="A365" s="21"/>
      <c r="B365" s="25"/>
      <c r="C365" s="25"/>
      <c r="D365" s="21"/>
      <c r="E365" s="21"/>
      <c r="F365" s="21"/>
      <c r="G365" s="21"/>
      <c r="H365" s="29"/>
      <c r="I365" s="22"/>
      <c r="J365" s="26"/>
      <c r="K365" s="29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6"/>
      <c r="AI365" s="29"/>
      <c r="AJ365" s="22"/>
      <c r="AK365" s="22"/>
      <c r="AL365" s="22"/>
      <c r="AM365" s="22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23"/>
      <c r="BP365" s="23"/>
      <c r="BQ365" s="23"/>
      <c r="BR365" s="23"/>
      <c r="BS365" s="23"/>
    </row>
    <row r="366" spans="1:71" s="24" customFormat="1" ht="30" customHeight="1" x14ac:dyDescent="0.25">
      <c r="A366" s="21"/>
      <c r="B366" s="43"/>
      <c r="C366" s="44"/>
      <c r="D366" s="21"/>
      <c r="E366" s="21"/>
      <c r="F366" s="21"/>
      <c r="G366" s="21"/>
      <c r="H366" s="29"/>
      <c r="I366" s="22"/>
      <c r="J366" s="26"/>
      <c r="K366" s="29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6"/>
      <c r="AI366" s="29"/>
      <c r="AJ366" s="22"/>
      <c r="AK366" s="22"/>
      <c r="AL366" s="22"/>
      <c r="AM366" s="22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23"/>
      <c r="BP366" s="23"/>
      <c r="BQ366" s="23"/>
      <c r="BR366" s="23"/>
      <c r="BS366" s="23"/>
    </row>
    <row r="367" spans="1:71" s="24" customFormat="1" ht="30" customHeight="1" x14ac:dyDescent="0.25">
      <c r="A367" s="21"/>
      <c r="B367" s="43"/>
      <c r="C367" s="44"/>
      <c r="D367" s="21"/>
      <c r="E367" s="21"/>
      <c r="F367" s="21"/>
      <c r="G367" s="21"/>
      <c r="H367" s="29"/>
      <c r="I367" s="22"/>
      <c r="J367" s="26"/>
      <c r="K367" s="29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6"/>
      <c r="AI367" s="29"/>
      <c r="AJ367" s="22"/>
      <c r="AK367" s="22"/>
      <c r="AL367" s="22"/>
      <c r="AM367" s="22"/>
      <c r="AN367" s="30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30"/>
      <c r="BO367" s="23"/>
      <c r="BP367" s="23"/>
      <c r="BQ367" s="23"/>
      <c r="BR367" s="23"/>
      <c r="BS367" s="23"/>
    </row>
    <row r="368" spans="1:71" s="24" customFormat="1" ht="30" customHeight="1" x14ac:dyDescent="0.25">
      <c r="A368" s="21"/>
      <c r="B368" s="25"/>
      <c r="C368" s="25"/>
      <c r="D368" s="21"/>
      <c r="E368" s="21"/>
      <c r="F368" s="21"/>
      <c r="G368" s="21"/>
      <c r="H368" s="29"/>
      <c r="I368" s="22"/>
      <c r="J368" s="26"/>
      <c r="K368" s="29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6"/>
      <c r="AI368" s="29"/>
      <c r="AJ368" s="22"/>
      <c r="AK368" s="22"/>
      <c r="AL368" s="22"/>
      <c r="AM368" s="22"/>
      <c r="AN368" s="30"/>
      <c r="AO368" s="28"/>
      <c r="AP368" s="28"/>
      <c r="AQ368" s="30"/>
      <c r="AR368" s="28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23"/>
      <c r="BP368" s="23"/>
      <c r="BQ368" s="23"/>
      <c r="BR368" s="23"/>
      <c r="BS368" s="23"/>
    </row>
    <row r="369" spans="1:71" s="24" customFormat="1" ht="30" customHeight="1" x14ac:dyDescent="0.25">
      <c r="A369" s="21"/>
      <c r="B369" s="25"/>
      <c r="C369" s="25"/>
      <c r="D369" s="21"/>
      <c r="E369" s="21"/>
      <c r="F369" s="21"/>
      <c r="G369" s="21"/>
      <c r="H369" s="29"/>
      <c r="I369" s="22"/>
      <c r="J369" s="26"/>
      <c r="K369" s="29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6"/>
      <c r="AI369" s="29"/>
      <c r="AJ369" s="22"/>
      <c r="AK369" s="22"/>
      <c r="AL369" s="22"/>
      <c r="AM369" s="22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23"/>
      <c r="BP369" s="23"/>
      <c r="BQ369" s="23"/>
      <c r="BR369" s="23"/>
      <c r="BS369" s="23"/>
    </row>
    <row r="370" spans="1:71" s="24" customFormat="1" ht="30" customHeight="1" x14ac:dyDescent="0.25">
      <c r="A370" s="21"/>
      <c r="B370" s="25"/>
      <c r="C370" s="25"/>
      <c r="D370" s="21"/>
      <c r="E370" s="21"/>
      <c r="F370" s="21"/>
      <c r="G370" s="21"/>
      <c r="H370" s="29"/>
      <c r="I370" s="22"/>
      <c r="J370" s="26"/>
      <c r="K370" s="40"/>
      <c r="L370" s="22"/>
      <c r="M370" s="41"/>
      <c r="N370" s="41"/>
      <c r="O370" s="41"/>
      <c r="P370" s="22"/>
      <c r="Q370" s="41"/>
      <c r="R370" s="41"/>
      <c r="S370" s="41"/>
      <c r="T370" s="41"/>
      <c r="U370" s="41"/>
      <c r="V370" s="22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26"/>
      <c r="AI370" s="29"/>
      <c r="AJ370" s="22"/>
      <c r="AK370" s="22"/>
      <c r="AL370" s="22"/>
      <c r="AM370" s="22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23"/>
      <c r="BP370" s="23"/>
      <c r="BQ370" s="23"/>
      <c r="BR370" s="23"/>
      <c r="BS370" s="23"/>
    </row>
    <row r="371" spans="1:71" s="24" customFormat="1" ht="30" customHeight="1" x14ac:dyDescent="0.25">
      <c r="A371" s="21"/>
      <c r="B371" s="25"/>
      <c r="C371" s="25"/>
      <c r="D371" s="21"/>
      <c r="E371" s="21"/>
      <c r="F371" s="21"/>
      <c r="G371" s="21"/>
      <c r="H371" s="29"/>
      <c r="I371" s="32"/>
      <c r="J371" s="33"/>
      <c r="K371" s="34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26"/>
      <c r="AI371" s="29"/>
      <c r="AJ371" s="22"/>
      <c r="AK371" s="22"/>
      <c r="AL371" s="22"/>
      <c r="AM371" s="22"/>
      <c r="AN371" s="30"/>
      <c r="AO371" s="28"/>
      <c r="AP371" s="28"/>
      <c r="AQ371" s="30"/>
      <c r="AR371" s="28"/>
      <c r="AS371" s="30"/>
      <c r="AT371" s="30"/>
      <c r="AU371" s="30"/>
      <c r="AV371" s="28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23"/>
      <c r="BP371" s="23"/>
      <c r="BQ371" s="23"/>
      <c r="BR371" s="23"/>
      <c r="BS371" s="23"/>
    </row>
    <row r="372" spans="1:71" s="24" customFormat="1" ht="30" customHeight="1" x14ac:dyDescent="0.25">
      <c r="A372" s="21"/>
      <c r="B372" s="25"/>
      <c r="C372" s="44"/>
      <c r="D372" s="21"/>
      <c r="E372" s="21"/>
      <c r="F372" s="21"/>
      <c r="G372" s="21"/>
      <c r="H372" s="29"/>
      <c r="I372" s="22"/>
      <c r="J372" s="26"/>
      <c r="K372" s="29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6"/>
      <c r="AI372" s="29"/>
      <c r="AJ372" s="22"/>
      <c r="AK372" s="22"/>
      <c r="AL372" s="22"/>
      <c r="AM372" s="22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23"/>
      <c r="BP372" s="23"/>
      <c r="BQ372" s="23"/>
      <c r="BR372" s="23"/>
      <c r="BS372" s="23"/>
    </row>
    <row r="373" spans="1:71" s="24" customFormat="1" ht="30" customHeight="1" x14ac:dyDescent="0.25">
      <c r="A373" s="21"/>
      <c r="B373" s="45"/>
      <c r="C373" s="25"/>
      <c r="D373" s="21"/>
      <c r="E373" s="21"/>
      <c r="F373" s="21"/>
      <c r="G373" s="21"/>
      <c r="H373" s="29"/>
      <c r="I373" s="32"/>
      <c r="J373" s="33"/>
      <c r="K373" s="34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26"/>
      <c r="AI373" s="29"/>
      <c r="AJ373" s="22"/>
      <c r="AK373" s="22"/>
      <c r="AL373" s="22"/>
      <c r="AM373" s="22"/>
      <c r="AN373" s="30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30"/>
      <c r="BO373" s="23"/>
      <c r="BP373" s="23"/>
      <c r="BQ373" s="23"/>
      <c r="BR373" s="23"/>
      <c r="BS373" s="23"/>
    </row>
    <row r="374" spans="1:71" s="24" customFormat="1" ht="30" customHeight="1" x14ac:dyDescent="0.25">
      <c r="A374" s="21"/>
      <c r="B374" s="25"/>
      <c r="C374" s="25"/>
      <c r="D374" s="21"/>
      <c r="E374" s="21"/>
      <c r="F374" s="21"/>
      <c r="G374" s="21"/>
      <c r="H374" s="29"/>
      <c r="I374" s="22"/>
      <c r="J374" s="26"/>
      <c r="K374" s="29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6"/>
      <c r="AI374" s="29"/>
      <c r="AJ374" s="22"/>
      <c r="AK374" s="22"/>
      <c r="AL374" s="22"/>
      <c r="AM374" s="22"/>
      <c r="AN374" s="28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23"/>
      <c r="BP374" s="23"/>
      <c r="BQ374" s="23"/>
      <c r="BR374" s="23"/>
      <c r="BS374" s="23"/>
    </row>
    <row r="375" spans="1:71" s="24" customFormat="1" ht="30" customHeight="1" x14ac:dyDescent="0.25">
      <c r="A375" s="21"/>
      <c r="B375" s="46"/>
      <c r="C375" s="25"/>
      <c r="D375" s="21"/>
      <c r="E375" s="21"/>
      <c r="F375" s="21"/>
      <c r="G375" s="21"/>
      <c r="H375" s="29"/>
      <c r="I375" s="22"/>
      <c r="J375" s="26"/>
      <c r="K375" s="29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6"/>
      <c r="AI375" s="29"/>
      <c r="AJ375" s="22"/>
      <c r="AK375" s="22"/>
      <c r="AL375" s="22"/>
      <c r="AM375" s="22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23"/>
      <c r="BP375" s="23"/>
      <c r="BQ375" s="23"/>
      <c r="BR375" s="23"/>
      <c r="BS375" s="23"/>
    </row>
    <row r="376" spans="1:71" s="24" customFormat="1" ht="30" customHeight="1" x14ac:dyDescent="0.25">
      <c r="A376" s="21"/>
      <c r="B376" s="46"/>
      <c r="C376" s="25"/>
      <c r="D376" s="21"/>
      <c r="E376" s="21"/>
      <c r="F376" s="21"/>
      <c r="G376" s="21"/>
      <c r="H376" s="29"/>
      <c r="I376" s="22"/>
      <c r="J376" s="26"/>
      <c r="K376" s="29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6"/>
      <c r="AI376" s="29"/>
      <c r="AJ376" s="22"/>
      <c r="AK376" s="22"/>
      <c r="AL376" s="22"/>
      <c r="AM376" s="22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23"/>
      <c r="BP376" s="23"/>
      <c r="BQ376" s="23"/>
      <c r="BR376" s="23"/>
      <c r="BS376" s="23"/>
    </row>
    <row r="377" spans="1:71" s="24" customFormat="1" ht="30" customHeight="1" x14ac:dyDescent="0.25">
      <c r="A377" s="21"/>
      <c r="B377" s="25"/>
      <c r="C377" s="25"/>
      <c r="D377" s="21"/>
      <c r="E377" s="21"/>
      <c r="F377" s="21"/>
      <c r="G377" s="21"/>
      <c r="H377" s="29"/>
      <c r="I377" s="22"/>
      <c r="J377" s="26"/>
      <c r="K377" s="29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6"/>
      <c r="AI377" s="29"/>
      <c r="AJ377" s="22"/>
      <c r="AK377" s="22"/>
      <c r="AL377" s="22"/>
      <c r="AM377" s="22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23"/>
      <c r="BP377" s="23"/>
      <c r="BQ377" s="23"/>
      <c r="BR377" s="23"/>
      <c r="BS377" s="23"/>
    </row>
    <row r="378" spans="1:71" s="24" customFormat="1" ht="30" customHeight="1" x14ac:dyDescent="0.25">
      <c r="A378" s="21"/>
      <c r="B378" s="47"/>
      <c r="C378" s="25"/>
      <c r="D378" s="21"/>
      <c r="E378" s="21"/>
      <c r="F378" s="21"/>
      <c r="G378" s="21"/>
      <c r="H378" s="29"/>
      <c r="I378" s="22"/>
      <c r="J378" s="26"/>
      <c r="K378" s="29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6"/>
      <c r="AI378" s="29"/>
      <c r="AJ378" s="22"/>
      <c r="AK378" s="22"/>
      <c r="AL378" s="22"/>
      <c r="AM378" s="22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23"/>
      <c r="BP378" s="23"/>
      <c r="BQ378" s="23"/>
      <c r="BR378" s="23"/>
      <c r="BS378" s="23"/>
    </row>
    <row r="379" spans="1:71" s="24" customFormat="1" ht="30" customHeight="1" x14ac:dyDescent="0.25">
      <c r="A379" s="21"/>
      <c r="B379" s="25"/>
      <c r="C379" s="25"/>
      <c r="D379" s="21"/>
      <c r="E379" s="21"/>
      <c r="F379" s="21"/>
      <c r="G379" s="21"/>
      <c r="H379" s="29"/>
      <c r="I379" s="22"/>
      <c r="J379" s="26"/>
      <c r="K379" s="29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6"/>
      <c r="AI379" s="29"/>
      <c r="AJ379" s="22"/>
      <c r="AK379" s="22"/>
      <c r="AL379" s="22"/>
      <c r="AM379" s="22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23"/>
      <c r="BP379" s="23"/>
      <c r="BQ379" s="23"/>
      <c r="BR379" s="23"/>
      <c r="BS379" s="23"/>
    </row>
    <row r="380" spans="1:71" s="24" customFormat="1" ht="30" customHeight="1" x14ac:dyDescent="0.25">
      <c r="A380" s="21"/>
      <c r="B380" s="25"/>
      <c r="C380" s="25"/>
      <c r="D380" s="21"/>
      <c r="E380" s="21"/>
      <c r="F380" s="21"/>
      <c r="G380" s="21"/>
      <c r="H380" s="29"/>
      <c r="I380" s="32"/>
      <c r="J380" s="33"/>
      <c r="K380" s="34"/>
      <c r="L380" s="32"/>
      <c r="M380" s="32"/>
      <c r="N380" s="32"/>
      <c r="O380" s="32"/>
      <c r="P380" s="32"/>
      <c r="Q380" s="32"/>
      <c r="R380" s="22"/>
      <c r="S380" s="32"/>
      <c r="T380" s="32"/>
      <c r="U380" s="32"/>
      <c r="V380" s="32"/>
      <c r="W380" s="32"/>
      <c r="X380" s="32"/>
      <c r="Y380" s="22"/>
      <c r="Z380" s="32"/>
      <c r="AA380" s="32"/>
      <c r="AB380" s="32"/>
      <c r="AC380" s="32"/>
      <c r="AD380" s="32"/>
      <c r="AE380" s="32"/>
      <c r="AF380" s="32"/>
      <c r="AG380" s="32"/>
      <c r="AH380" s="26"/>
      <c r="AI380" s="29"/>
      <c r="AJ380" s="22"/>
      <c r="AK380" s="22"/>
      <c r="AL380" s="22"/>
      <c r="AM380" s="22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23"/>
      <c r="BP380" s="23"/>
      <c r="BQ380" s="23"/>
      <c r="BR380" s="23"/>
      <c r="BS380" s="23"/>
    </row>
    <row r="381" spans="1:71" s="24" customFormat="1" ht="30" customHeight="1" x14ac:dyDescent="0.25">
      <c r="A381" s="21"/>
      <c r="B381" s="25"/>
      <c r="C381" s="25"/>
      <c r="D381" s="21"/>
      <c r="E381" s="21"/>
      <c r="F381" s="21"/>
      <c r="G381" s="21"/>
      <c r="H381" s="29"/>
      <c r="I381" s="22"/>
      <c r="J381" s="26"/>
      <c r="K381" s="29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6"/>
      <c r="AI381" s="29"/>
      <c r="AJ381" s="22"/>
      <c r="AK381" s="22"/>
      <c r="AL381" s="22"/>
      <c r="AM381" s="22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23"/>
      <c r="BP381" s="23"/>
      <c r="BQ381" s="23"/>
      <c r="BR381" s="23"/>
      <c r="BS381" s="23"/>
    </row>
    <row r="382" spans="1:71" s="24" customFormat="1" ht="30" customHeight="1" x14ac:dyDescent="0.25">
      <c r="A382" s="21"/>
      <c r="B382" s="25"/>
      <c r="C382" s="25"/>
      <c r="D382" s="21"/>
      <c r="E382" s="21"/>
      <c r="F382" s="21"/>
      <c r="G382" s="21"/>
      <c r="H382" s="29"/>
      <c r="I382" s="22"/>
      <c r="J382" s="26"/>
      <c r="K382" s="29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6"/>
      <c r="AI382" s="29"/>
      <c r="AJ382" s="22"/>
      <c r="AK382" s="22"/>
      <c r="AL382" s="22"/>
      <c r="AM382" s="22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23"/>
      <c r="BP382" s="23"/>
      <c r="BQ382" s="23"/>
      <c r="BR382" s="23"/>
      <c r="BS382" s="23"/>
    </row>
    <row r="383" spans="1:71" s="24" customFormat="1" ht="30" customHeight="1" x14ac:dyDescent="0.25">
      <c r="A383" s="21"/>
      <c r="B383" s="31"/>
      <c r="C383" s="25"/>
      <c r="D383" s="21"/>
      <c r="E383" s="21"/>
      <c r="F383" s="21"/>
      <c r="G383" s="21"/>
      <c r="H383" s="29"/>
      <c r="I383" s="22"/>
      <c r="J383" s="26"/>
      <c r="K383" s="29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6"/>
      <c r="AI383" s="29"/>
      <c r="AJ383" s="22"/>
      <c r="AK383" s="22"/>
      <c r="AL383" s="22"/>
      <c r="AM383" s="22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23"/>
      <c r="BP383" s="23"/>
      <c r="BQ383" s="23"/>
      <c r="BR383" s="23"/>
      <c r="BS383" s="23"/>
    </row>
    <row r="384" spans="1:71" s="24" customFormat="1" ht="30" customHeight="1" x14ac:dyDescent="0.25">
      <c r="A384" s="21"/>
      <c r="B384" s="25"/>
      <c r="C384" s="25"/>
      <c r="D384" s="21"/>
      <c r="E384" s="21"/>
      <c r="F384" s="21"/>
      <c r="G384" s="21"/>
      <c r="H384" s="29"/>
      <c r="I384" s="22"/>
      <c r="J384" s="26"/>
      <c r="K384" s="29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6"/>
      <c r="AI384" s="29"/>
      <c r="AJ384" s="22"/>
      <c r="AK384" s="22"/>
      <c r="AL384" s="22"/>
      <c r="AM384" s="22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23"/>
      <c r="BP384" s="23"/>
      <c r="BQ384" s="23"/>
      <c r="BR384" s="23"/>
      <c r="BS384" s="23"/>
    </row>
    <row r="385" spans="1:71" s="24" customFormat="1" ht="30" customHeight="1" x14ac:dyDescent="0.25">
      <c r="A385" s="21"/>
      <c r="B385" s="25"/>
      <c r="C385" s="25"/>
      <c r="D385" s="21"/>
      <c r="E385" s="21"/>
      <c r="F385" s="21"/>
      <c r="G385" s="21"/>
      <c r="H385" s="29"/>
      <c r="I385" s="22"/>
      <c r="J385" s="26"/>
      <c r="K385" s="29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6"/>
      <c r="AI385" s="29"/>
      <c r="AJ385" s="22"/>
      <c r="AK385" s="22"/>
      <c r="AL385" s="22"/>
      <c r="AM385" s="22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23"/>
      <c r="BP385" s="23"/>
      <c r="BQ385" s="23"/>
      <c r="BR385" s="23"/>
      <c r="BS385" s="23"/>
    </row>
    <row r="386" spans="1:71" s="24" customFormat="1" ht="30" customHeight="1" x14ac:dyDescent="0.25">
      <c r="A386" s="21"/>
      <c r="B386" s="25"/>
      <c r="C386" s="25"/>
      <c r="D386" s="21"/>
      <c r="E386" s="21"/>
      <c r="F386" s="21"/>
      <c r="G386" s="21"/>
      <c r="H386" s="29"/>
      <c r="I386" s="32"/>
      <c r="J386" s="33"/>
      <c r="K386" s="34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26"/>
      <c r="AI386" s="29"/>
      <c r="AJ386" s="22"/>
      <c r="AK386" s="22"/>
      <c r="AL386" s="22"/>
      <c r="AM386" s="22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23"/>
      <c r="BP386" s="23"/>
      <c r="BQ386" s="23"/>
      <c r="BR386" s="23"/>
      <c r="BS386" s="23"/>
    </row>
    <row r="387" spans="1:71" s="24" customFormat="1" ht="30" customHeight="1" x14ac:dyDescent="0.25">
      <c r="A387" s="21"/>
      <c r="B387" s="25"/>
      <c r="C387" s="25"/>
      <c r="D387" s="21"/>
      <c r="E387" s="21"/>
      <c r="F387" s="21"/>
      <c r="G387" s="21"/>
      <c r="H387" s="29"/>
      <c r="I387" s="32"/>
      <c r="J387" s="33"/>
      <c r="K387" s="29"/>
      <c r="L387" s="3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6"/>
      <c r="AI387" s="29"/>
      <c r="AJ387" s="22"/>
      <c r="AK387" s="22"/>
      <c r="AL387" s="22"/>
      <c r="AM387" s="22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23"/>
      <c r="BP387" s="23"/>
      <c r="BQ387" s="23"/>
      <c r="BR387" s="23"/>
      <c r="BS387" s="23"/>
    </row>
    <row r="388" spans="1:71" s="24" customFormat="1" ht="30" customHeight="1" x14ac:dyDescent="0.25">
      <c r="A388" s="21"/>
      <c r="B388" s="46"/>
      <c r="C388" s="25"/>
      <c r="D388" s="21"/>
      <c r="E388" s="21"/>
      <c r="F388" s="21"/>
      <c r="G388" s="21"/>
      <c r="H388" s="29"/>
      <c r="I388" s="22"/>
      <c r="J388" s="26"/>
      <c r="K388" s="29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6"/>
      <c r="AI388" s="29"/>
      <c r="AJ388" s="22"/>
      <c r="AK388" s="22"/>
      <c r="AL388" s="22"/>
      <c r="AM388" s="22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23"/>
      <c r="BP388" s="23"/>
      <c r="BQ388" s="23"/>
      <c r="BR388" s="23"/>
      <c r="BS388" s="23"/>
    </row>
    <row r="389" spans="1:71" s="24" customFormat="1" ht="30" customHeight="1" x14ac:dyDescent="0.25">
      <c r="A389" s="21"/>
      <c r="B389" s="25"/>
      <c r="C389" s="25"/>
      <c r="D389" s="21"/>
      <c r="E389" s="21"/>
      <c r="F389" s="21"/>
      <c r="G389" s="21"/>
      <c r="H389" s="29"/>
      <c r="I389" s="22"/>
      <c r="J389" s="26"/>
      <c r="K389" s="29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6"/>
      <c r="AI389" s="29"/>
      <c r="AJ389" s="22"/>
      <c r="AK389" s="22"/>
      <c r="AL389" s="22"/>
      <c r="AM389" s="22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23"/>
      <c r="BP389" s="23"/>
      <c r="BQ389" s="23"/>
      <c r="BR389" s="23"/>
      <c r="BS389" s="23"/>
    </row>
    <row r="390" spans="1:71" s="24" customFormat="1" ht="30" customHeight="1" x14ac:dyDescent="0.25">
      <c r="A390" s="21"/>
      <c r="B390" s="25"/>
      <c r="C390" s="25"/>
      <c r="D390" s="21"/>
      <c r="E390" s="21"/>
      <c r="F390" s="21"/>
      <c r="G390" s="21"/>
      <c r="H390" s="29"/>
      <c r="I390" s="32"/>
      <c r="J390" s="33"/>
      <c r="K390" s="29"/>
      <c r="L390" s="32"/>
      <c r="M390" s="22"/>
      <c r="N390" s="22"/>
      <c r="O390" s="22"/>
      <c r="P390" s="3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6"/>
      <c r="AI390" s="29"/>
      <c r="AJ390" s="22"/>
      <c r="AK390" s="22"/>
      <c r="AL390" s="22"/>
      <c r="AM390" s="22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23"/>
      <c r="BP390" s="23"/>
      <c r="BQ390" s="23"/>
      <c r="BR390" s="23"/>
      <c r="BS390" s="23"/>
    </row>
    <row r="391" spans="1:71" s="24" customFormat="1" ht="30" customHeight="1" x14ac:dyDescent="0.25">
      <c r="A391" s="21"/>
      <c r="B391" s="45"/>
      <c r="C391" s="25"/>
      <c r="D391" s="21"/>
      <c r="E391" s="21"/>
      <c r="F391" s="21"/>
      <c r="G391" s="21"/>
      <c r="H391" s="29"/>
      <c r="I391" s="22"/>
      <c r="J391" s="26"/>
      <c r="K391" s="29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6"/>
      <c r="AI391" s="29"/>
      <c r="AJ391" s="22"/>
      <c r="AK391" s="22"/>
      <c r="AL391" s="22"/>
      <c r="AM391" s="22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23"/>
      <c r="BP391" s="23"/>
      <c r="BQ391" s="23"/>
      <c r="BR391" s="23"/>
      <c r="BS391" s="23"/>
    </row>
    <row r="392" spans="1:71" s="24" customFormat="1" ht="30" customHeight="1" x14ac:dyDescent="0.25">
      <c r="A392" s="21"/>
      <c r="B392" s="25"/>
      <c r="C392" s="25"/>
      <c r="D392" s="21"/>
      <c r="E392" s="21"/>
      <c r="F392" s="21"/>
      <c r="G392" s="21"/>
      <c r="H392" s="29"/>
      <c r="I392" s="32"/>
      <c r="J392" s="33"/>
      <c r="K392" s="34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8"/>
      <c r="AI392" s="29"/>
      <c r="AJ392" s="22"/>
      <c r="AK392" s="22"/>
      <c r="AL392" s="22"/>
      <c r="AM392" s="22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23"/>
      <c r="BP392" s="23"/>
      <c r="BQ392" s="23"/>
      <c r="BR392" s="23"/>
      <c r="BS392" s="23"/>
    </row>
    <row r="393" spans="1:71" s="24" customFormat="1" ht="30" customHeight="1" x14ac:dyDescent="0.25">
      <c r="A393" s="21"/>
      <c r="B393" s="45"/>
      <c r="C393" s="25"/>
      <c r="D393" s="21"/>
      <c r="E393" s="21"/>
      <c r="F393" s="21"/>
      <c r="G393" s="21"/>
      <c r="H393" s="34"/>
      <c r="I393" s="22"/>
      <c r="J393" s="26"/>
      <c r="K393" s="29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6"/>
      <c r="AI393" s="29"/>
      <c r="AJ393" s="22"/>
      <c r="AK393" s="22"/>
      <c r="AL393" s="22"/>
      <c r="AM393" s="22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23"/>
      <c r="BP393" s="23"/>
      <c r="BQ393" s="23"/>
      <c r="BR393" s="23"/>
      <c r="BS393" s="23"/>
    </row>
    <row r="394" spans="1:71" s="24" customFormat="1" ht="30" customHeight="1" x14ac:dyDescent="0.25">
      <c r="A394" s="21"/>
      <c r="B394" s="25"/>
      <c r="C394" s="25"/>
      <c r="D394" s="21"/>
      <c r="E394" s="21"/>
      <c r="F394" s="21"/>
      <c r="G394" s="21"/>
      <c r="H394" s="29"/>
      <c r="I394" s="22"/>
      <c r="J394" s="26"/>
      <c r="K394" s="29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6"/>
      <c r="AI394" s="29"/>
      <c r="AJ394" s="22"/>
      <c r="AK394" s="22"/>
      <c r="AL394" s="22"/>
      <c r="AM394" s="22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23"/>
      <c r="BP394" s="23"/>
      <c r="BQ394" s="23"/>
      <c r="BR394" s="23"/>
      <c r="BS394" s="23"/>
    </row>
    <row r="395" spans="1:71" s="24" customFormat="1" ht="30" customHeight="1" x14ac:dyDescent="0.25">
      <c r="A395" s="21"/>
      <c r="B395" s="45"/>
      <c r="C395" s="25"/>
      <c r="D395" s="21"/>
      <c r="E395" s="21"/>
      <c r="F395" s="21"/>
      <c r="G395" s="21"/>
      <c r="H395" s="29"/>
      <c r="I395" s="22"/>
      <c r="J395" s="26"/>
      <c r="K395" s="29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6"/>
      <c r="AI395" s="29"/>
      <c r="AJ395" s="22"/>
      <c r="AK395" s="22"/>
      <c r="AL395" s="22"/>
      <c r="AM395" s="22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23"/>
      <c r="BP395" s="23"/>
      <c r="BQ395" s="23"/>
      <c r="BR395" s="23"/>
      <c r="BS395" s="23"/>
    </row>
    <row r="396" spans="1:71" s="24" customFormat="1" ht="29.25" customHeight="1" x14ac:dyDescent="0.25">
      <c r="A396" s="21"/>
      <c r="B396" s="25"/>
      <c r="C396" s="25"/>
      <c r="D396" s="21"/>
      <c r="E396" s="21"/>
      <c r="F396" s="21"/>
      <c r="G396" s="21"/>
      <c r="H396" s="29"/>
      <c r="I396" s="22"/>
      <c r="J396" s="26"/>
      <c r="K396" s="29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6"/>
      <c r="AI396" s="29"/>
      <c r="AJ396" s="22"/>
      <c r="AK396" s="22"/>
      <c r="AL396" s="22"/>
      <c r="AM396" s="22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</row>
    <row r="397" spans="1:71" s="24" customFormat="1" ht="29.25" customHeight="1" x14ac:dyDescent="0.25">
      <c r="A397" s="21"/>
      <c r="B397" s="25"/>
      <c r="C397" s="25"/>
      <c r="D397" s="21"/>
      <c r="E397" s="21"/>
      <c r="F397" s="21"/>
      <c r="G397" s="21"/>
      <c r="H397" s="29"/>
      <c r="I397" s="22"/>
      <c r="J397" s="26"/>
      <c r="K397" s="29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6"/>
      <c r="AI397" s="29"/>
      <c r="AJ397" s="22"/>
      <c r="AK397" s="22"/>
      <c r="AL397" s="22"/>
      <c r="AM397" s="22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</row>
    <row r="398" spans="1:71" s="24" customFormat="1" ht="29.25" customHeight="1" x14ac:dyDescent="0.25">
      <c r="A398" s="21"/>
      <c r="B398" s="25"/>
      <c r="C398" s="25"/>
      <c r="D398" s="21"/>
      <c r="E398" s="21"/>
      <c r="F398" s="21"/>
      <c r="G398" s="21"/>
      <c r="H398" s="29"/>
      <c r="I398" s="22"/>
      <c r="J398" s="26"/>
      <c r="K398" s="29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6"/>
      <c r="AI398" s="29"/>
      <c r="AJ398" s="22"/>
      <c r="AK398" s="22"/>
      <c r="AL398" s="22"/>
      <c r="AM398" s="22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</row>
    <row r="399" spans="1:71" s="24" customFormat="1" ht="30" customHeight="1" x14ac:dyDescent="0.25">
      <c r="A399" s="21"/>
      <c r="B399" s="25"/>
      <c r="C399" s="25"/>
      <c r="D399" s="21"/>
      <c r="E399" s="21"/>
      <c r="F399" s="21"/>
      <c r="G399" s="21"/>
      <c r="H399" s="29"/>
      <c r="I399" s="22"/>
      <c r="J399" s="26"/>
      <c r="K399" s="29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6"/>
      <c r="AI399" s="29"/>
      <c r="AJ399" s="22"/>
      <c r="AK399" s="22"/>
      <c r="AL399" s="22"/>
      <c r="AM399" s="22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</row>
    <row r="400" spans="1:71" s="24" customFormat="1" ht="30" customHeight="1" x14ac:dyDescent="0.25">
      <c r="A400" s="21"/>
      <c r="B400" s="25"/>
      <c r="C400" s="25"/>
      <c r="D400" s="21"/>
      <c r="E400" s="21"/>
      <c r="F400" s="21"/>
      <c r="G400" s="21"/>
      <c r="H400" s="29"/>
      <c r="I400" s="22"/>
      <c r="J400" s="26"/>
      <c r="K400" s="29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6"/>
      <c r="AI400" s="29"/>
      <c r="AJ400" s="22"/>
      <c r="AK400" s="22"/>
      <c r="AL400" s="22"/>
      <c r="AM400" s="22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</row>
    <row r="401" spans="1:71" s="24" customFormat="1" ht="30" customHeight="1" x14ac:dyDescent="0.25">
      <c r="A401" s="21"/>
      <c r="B401" s="39"/>
      <c r="C401" s="25"/>
      <c r="D401" s="21"/>
      <c r="E401" s="21"/>
      <c r="F401" s="21"/>
      <c r="G401" s="21"/>
      <c r="H401" s="29"/>
      <c r="I401" s="22"/>
      <c r="J401" s="26"/>
      <c r="K401" s="29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6"/>
      <c r="AI401" s="29"/>
      <c r="AJ401" s="22"/>
      <c r="AK401" s="22"/>
      <c r="AL401" s="22"/>
      <c r="AM401" s="22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</row>
    <row r="402" spans="1:71" s="24" customFormat="1" ht="30" customHeight="1" x14ac:dyDescent="0.25">
      <c r="A402" s="21"/>
      <c r="B402" s="25"/>
      <c r="C402" s="25"/>
      <c r="D402" s="21"/>
      <c r="E402" s="21"/>
      <c r="F402" s="21"/>
      <c r="G402" s="21"/>
      <c r="H402" s="29"/>
      <c r="I402" s="22"/>
      <c r="J402" s="26"/>
      <c r="K402" s="29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6"/>
      <c r="AI402" s="29"/>
      <c r="AJ402" s="22"/>
      <c r="AK402" s="22"/>
      <c r="AL402" s="22"/>
      <c r="AM402" s="22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</row>
    <row r="403" spans="1:71" s="24" customFormat="1" ht="30" customHeight="1" x14ac:dyDescent="0.25">
      <c r="A403" s="21"/>
      <c r="B403" s="48"/>
      <c r="C403" s="25"/>
      <c r="D403" s="21"/>
      <c r="E403" s="21"/>
      <c r="F403" s="21"/>
      <c r="G403" s="21"/>
      <c r="H403" s="29"/>
      <c r="I403" s="22"/>
      <c r="J403" s="26"/>
      <c r="K403" s="29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6"/>
      <c r="AI403" s="29"/>
      <c r="AJ403" s="22"/>
      <c r="AK403" s="22"/>
      <c r="AL403" s="22"/>
      <c r="AM403" s="22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</row>
    <row r="404" spans="1:71" s="24" customFormat="1" ht="30" customHeight="1" x14ac:dyDescent="0.25">
      <c r="A404" s="21"/>
      <c r="B404" s="39"/>
      <c r="C404" s="25"/>
      <c r="D404" s="21"/>
      <c r="E404" s="21"/>
      <c r="F404" s="21"/>
      <c r="G404" s="21"/>
      <c r="H404" s="29"/>
      <c r="I404" s="22"/>
      <c r="J404" s="26"/>
      <c r="K404" s="29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6"/>
      <c r="AI404" s="29"/>
      <c r="AJ404" s="22"/>
      <c r="AK404" s="22"/>
      <c r="AL404" s="22"/>
      <c r="AM404" s="22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</row>
    <row r="405" spans="1:71" s="24" customFormat="1" ht="30" customHeight="1" x14ac:dyDescent="0.25">
      <c r="A405" s="21"/>
      <c r="B405" s="25"/>
      <c r="C405" s="25"/>
      <c r="D405" s="21"/>
      <c r="E405" s="21"/>
      <c r="F405" s="21"/>
      <c r="G405" s="21"/>
      <c r="H405" s="29"/>
      <c r="I405" s="22"/>
      <c r="J405" s="26"/>
      <c r="K405" s="29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6"/>
      <c r="AI405" s="29"/>
      <c r="AJ405" s="22"/>
      <c r="AK405" s="22"/>
      <c r="AL405" s="22"/>
      <c r="AM405" s="22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</row>
    <row r="406" spans="1:71" s="24" customFormat="1" ht="30" customHeight="1" x14ac:dyDescent="0.25">
      <c r="A406" s="21"/>
      <c r="B406" s="25"/>
      <c r="C406" s="21"/>
      <c r="D406" s="21"/>
      <c r="E406" s="21"/>
      <c r="F406" s="21"/>
      <c r="G406" s="21"/>
      <c r="H406" s="29"/>
      <c r="I406" s="22"/>
      <c r="J406" s="26"/>
      <c r="K406" s="29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6"/>
      <c r="AI406" s="29"/>
      <c r="AJ406" s="22"/>
      <c r="AK406" s="22"/>
      <c r="AL406" s="22"/>
      <c r="AM406" s="22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</row>
    <row r="407" spans="1:71" s="24" customFormat="1" ht="30" customHeight="1" x14ac:dyDescent="0.25">
      <c r="A407" s="21"/>
      <c r="B407" s="25"/>
      <c r="C407" s="21"/>
      <c r="D407" s="21"/>
      <c r="E407" s="21"/>
      <c r="F407" s="21"/>
      <c r="G407" s="21"/>
      <c r="H407" s="29"/>
      <c r="I407" s="22"/>
      <c r="J407" s="26"/>
      <c r="K407" s="29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6"/>
      <c r="AI407" s="29"/>
      <c r="AJ407" s="22"/>
      <c r="AK407" s="22"/>
      <c r="AL407" s="22"/>
      <c r="AM407" s="22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</row>
    <row r="408" spans="1:71" s="24" customFormat="1" ht="30" customHeight="1" x14ac:dyDescent="0.25">
      <c r="A408" s="21"/>
      <c r="B408" s="25"/>
      <c r="C408" s="21"/>
      <c r="D408" s="21"/>
      <c r="E408" s="21"/>
      <c r="F408" s="21"/>
      <c r="G408" s="21"/>
      <c r="H408" s="29"/>
      <c r="I408" s="22"/>
      <c r="J408" s="26"/>
      <c r="K408" s="29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6"/>
      <c r="AI408" s="29"/>
      <c r="AJ408" s="22"/>
      <c r="AK408" s="22"/>
      <c r="AL408" s="22"/>
      <c r="AM408" s="22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</row>
    <row r="409" spans="1:71" s="24" customFormat="1" ht="30" customHeight="1" x14ac:dyDescent="0.25">
      <c r="A409" s="21"/>
      <c r="B409" s="25"/>
      <c r="C409" s="21"/>
      <c r="D409" s="21"/>
      <c r="E409" s="21"/>
      <c r="F409" s="21"/>
      <c r="G409" s="21"/>
      <c r="H409" s="29"/>
      <c r="I409" s="22"/>
      <c r="J409" s="26"/>
      <c r="K409" s="29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49"/>
      <c r="Y409" s="22"/>
      <c r="Z409" s="22"/>
      <c r="AA409" s="22"/>
      <c r="AB409" s="22"/>
      <c r="AC409" s="22"/>
      <c r="AD409" s="22"/>
      <c r="AE409" s="22"/>
      <c r="AF409" s="22"/>
      <c r="AG409" s="22"/>
      <c r="AH409" s="26"/>
      <c r="AI409" s="29"/>
      <c r="AJ409" s="22"/>
      <c r="AK409" s="22"/>
      <c r="AL409" s="22"/>
      <c r="AM409" s="22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</row>
    <row r="410" spans="1:71" s="24" customFormat="1" ht="30" customHeight="1" x14ac:dyDescent="0.25">
      <c r="A410" s="21"/>
      <c r="B410" s="25"/>
      <c r="C410" s="21"/>
      <c r="D410" s="21"/>
      <c r="E410" s="21"/>
      <c r="F410" s="21"/>
      <c r="G410" s="21"/>
      <c r="H410" s="29"/>
      <c r="I410" s="22"/>
      <c r="J410" s="26"/>
      <c r="K410" s="29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6"/>
      <c r="AI410" s="29"/>
      <c r="AJ410" s="22"/>
      <c r="AK410" s="22"/>
      <c r="AL410" s="22"/>
      <c r="AM410" s="22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</row>
    <row r="411" spans="1:71" s="24" customFormat="1" ht="30" customHeight="1" x14ac:dyDescent="0.25">
      <c r="A411" s="21"/>
      <c r="B411" s="25"/>
      <c r="C411" s="21"/>
      <c r="D411" s="21"/>
      <c r="E411" s="21"/>
      <c r="F411" s="21"/>
      <c r="G411" s="21"/>
      <c r="H411" s="29"/>
      <c r="I411" s="22"/>
      <c r="J411" s="26"/>
      <c r="K411" s="29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6"/>
      <c r="AI411" s="29"/>
      <c r="AJ411" s="22"/>
      <c r="AK411" s="22"/>
      <c r="AL411" s="22"/>
      <c r="AM411" s="22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</row>
    <row r="412" spans="1:71" s="24" customFormat="1" ht="30" customHeight="1" x14ac:dyDescent="0.25">
      <c r="A412" s="21"/>
      <c r="B412" s="25"/>
      <c r="C412" s="21"/>
      <c r="D412" s="21"/>
      <c r="E412" s="21"/>
      <c r="F412" s="21"/>
      <c r="G412" s="21"/>
      <c r="H412" s="29"/>
      <c r="I412" s="22"/>
      <c r="J412" s="26"/>
      <c r="K412" s="29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6"/>
      <c r="AI412" s="29"/>
      <c r="AJ412" s="22"/>
      <c r="AK412" s="22"/>
      <c r="AL412" s="22"/>
      <c r="AM412" s="22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</row>
    <row r="413" spans="1:71" s="24" customFormat="1" ht="30" customHeight="1" x14ac:dyDescent="0.25">
      <c r="A413" s="21"/>
      <c r="B413" s="25"/>
      <c r="C413" s="21"/>
      <c r="D413" s="21"/>
      <c r="E413" s="21"/>
      <c r="F413" s="21"/>
      <c r="G413" s="21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</row>
    <row r="414" spans="1:71" s="24" customFormat="1" x14ac:dyDescent="0.25">
      <c r="A414" s="21"/>
      <c r="B414" s="25"/>
      <c r="C414" s="21"/>
      <c r="D414" s="21"/>
      <c r="E414" s="21"/>
      <c r="F414" s="21"/>
      <c r="G414" s="21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</row>
  </sheetData>
  <autoFilter ref="A2:BS2" xr:uid="{607871BA-5C8B-4399-866D-A1EDE34A2C29}"/>
  <mergeCells count="3">
    <mergeCell ref="A1:G1"/>
    <mergeCell ref="H1:AM1"/>
    <mergeCell ref="AN1:BS1"/>
  </mergeCells>
  <conditionalFormatting sqref="AI60:AJ61">
    <cfRule type="containsBlanks" dxfId="33" priority="54">
      <formula>LEN(TRIM(AI60))=0</formula>
    </cfRule>
  </conditionalFormatting>
  <conditionalFormatting sqref="AI3:AM3">
    <cfRule type="containsBlanks" dxfId="32" priority="55">
      <formula>LEN(TRIM(AI3))=0</formula>
    </cfRule>
  </conditionalFormatting>
  <conditionalFormatting sqref="AK4:AL6">
    <cfRule type="containsBlanks" dxfId="31" priority="51">
      <formula>LEN(TRIM(AK4))=0</formula>
    </cfRule>
  </conditionalFormatting>
  <conditionalFormatting sqref="AK60:AL63">
    <cfRule type="containsBlanks" dxfId="30" priority="53">
      <formula>LEN(TRIM(AK60))=0</formula>
    </cfRule>
  </conditionalFormatting>
  <conditionalFormatting sqref="AM60:AM61 AI363:AM364">
    <cfRule type="containsBlanks" dxfId="28" priority="52">
      <formula>LEN(TRIM(AI60))=0</formula>
    </cfRule>
  </conditionalFormatting>
  <conditionalFormatting sqref="J110:L115">
    <cfRule type="containsBlanks" dxfId="27" priority="8">
      <formula>LEN(TRIM(J110))=0</formula>
    </cfRule>
  </conditionalFormatting>
  <conditionalFormatting sqref="J120:L120">
    <cfRule type="containsBlanks" dxfId="26" priority="28">
      <formula>LEN(TRIM(J120))=0</formula>
    </cfRule>
  </conditionalFormatting>
  <conditionalFormatting sqref="J144:L145">
    <cfRule type="containsBlanks" dxfId="25" priority="27">
      <formula>LEN(TRIM(J144))=0</formula>
    </cfRule>
  </conditionalFormatting>
  <conditionalFormatting sqref="J150:L152">
    <cfRule type="containsBlanks" dxfId="24" priority="26">
      <formula>LEN(TRIM(J150))=0</formula>
    </cfRule>
  </conditionalFormatting>
  <conditionalFormatting sqref="J176:L180">
    <cfRule type="containsBlanks" dxfId="23" priority="2">
      <formula>LEN(TRIM(J176))=0</formula>
    </cfRule>
  </conditionalFormatting>
  <conditionalFormatting sqref="M176:N177 R176:R177 V176:V177 AJ176:AJ177">
    <cfRule type="containsBlanks" dxfId="22" priority="1">
      <formula>LEN(TRIM(M176))=0</formula>
    </cfRule>
  </conditionalFormatting>
  <conditionalFormatting sqref="N110:N115 R110:S115 U110:U115 AC110:AD115 AF110:AF115 AH110:AH115 AJ110:AJ115">
    <cfRule type="containsBlanks" dxfId="21" priority="7">
      <formula>LEN(TRIM(N110))=0</formula>
    </cfRule>
  </conditionalFormatting>
  <conditionalFormatting sqref="N144:N145">
    <cfRule type="containsBlanks" dxfId="20" priority="19">
      <formula>LEN(TRIM(N144))=0</formula>
    </cfRule>
  </conditionalFormatting>
  <conditionalFormatting sqref="N149:N152">
    <cfRule type="containsBlanks" dxfId="19" priority="16">
      <formula>LEN(TRIM(N149))=0</formula>
    </cfRule>
  </conditionalFormatting>
  <conditionalFormatting sqref="N161:N166">
    <cfRule type="containsBlanks" dxfId="18" priority="6">
      <formula>LEN(TRIM(N161))=0</formula>
    </cfRule>
  </conditionalFormatting>
  <conditionalFormatting sqref="N168:N169">
    <cfRule type="containsBlanks" dxfId="17" priority="9">
      <formula>LEN(TRIM(N168))=0</formula>
    </cfRule>
  </conditionalFormatting>
  <conditionalFormatting sqref="N178:N180">
    <cfRule type="containsBlanks" dxfId="16" priority="22">
      <formula>LEN(TRIM(N178))=0</formula>
    </cfRule>
  </conditionalFormatting>
  <conditionalFormatting sqref="R111:R112 AC111:AC112 N120 P120 R120 V120 T150 W150:X150 P161 V161 AJ161">
    <cfRule type="containsBlanks" dxfId="15" priority="25">
      <formula>LEN(TRIM(N111))=0</formula>
    </cfRule>
  </conditionalFormatting>
  <conditionalFormatting sqref="R145">
    <cfRule type="containsBlanks" dxfId="14" priority="18">
      <formula>LEN(TRIM(R145))=0</formula>
    </cfRule>
  </conditionalFormatting>
  <conditionalFormatting sqref="R150:R152">
    <cfRule type="containsBlanks" dxfId="13" priority="15">
      <formula>LEN(TRIM(R150))=0</formula>
    </cfRule>
  </conditionalFormatting>
  <conditionalFormatting sqref="R161:R166">
    <cfRule type="containsBlanks" dxfId="12" priority="3">
      <formula>LEN(TRIM(R161))=0</formula>
    </cfRule>
  </conditionalFormatting>
  <conditionalFormatting sqref="R168">
    <cfRule type="containsBlanks" dxfId="11" priority="12">
      <formula>LEN(TRIM(R168))=0</formula>
    </cfRule>
  </conditionalFormatting>
  <conditionalFormatting sqref="R180">
    <cfRule type="containsBlanks" dxfId="10" priority="24">
      <formula>LEN(TRIM(R180))=0</formula>
    </cfRule>
  </conditionalFormatting>
  <conditionalFormatting sqref="U145">
    <cfRule type="containsBlanks" dxfId="9" priority="17">
      <formula>LEN(TRIM(U145))=0</formula>
    </cfRule>
  </conditionalFormatting>
  <conditionalFormatting sqref="U164:U166">
    <cfRule type="containsBlanks" dxfId="8" priority="5">
      <formula>LEN(TRIM(U164))=0</formula>
    </cfRule>
  </conditionalFormatting>
  <conditionalFormatting sqref="X144">
    <cfRule type="containsBlanks" dxfId="7" priority="20">
      <formula>LEN(TRIM(X144))=0</formula>
    </cfRule>
  </conditionalFormatting>
  <conditionalFormatting sqref="X151:X152">
    <cfRule type="containsBlanks" dxfId="6" priority="14">
      <formula>LEN(TRIM(X151))=0</formula>
    </cfRule>
  </conditionalFormatting>
  <conditionalFormatting sqref="X168">
    <cfRule type="containsBlanks" dxfId="5" priority="11">
      <formula>LEN(TRIM(X168))=0</formula>
    </cfRule>
  </conditionalFormatting>
  <conditionalFormatting sqref="X180">
    <cfRule type="containsBlanks" dxfId="4" priority="23">
      <formula>LEN(TRIM(X180))=0</formula>
    </cfRule>
  </conditionalFormatting>
  <conditionalFormatting sqref="AC168">
    <cfRule type="containsBlanks" dxfId="3" priority="10">
      <formula>LEN(TRIM(AC168))=0</formula>
    </cfRule>
  </conditionalFormatting>
  <conditionalFormatting sqref="AH164:AH166">
    <cfRule type="containsBlanks" dxfId="2" priority="4">
      <formula>LEN(TRIM(AH164))=0</formula>
    </cfRule>
  </conditionalFormatting>
  <conditionalFormatting sqref="AJ120">
    <cfRule type="containsBlanks" dxfId="1" priority="21">
      <formula>LEN(TRIM(AJ120))=0</formula>
    </cfRule>
  </conditionalFormatting>
  <conditionalFormatting sqref="AJ150:AJ152">
    <cfRule type="containsBlanks" dxfId="0" priority="13">
      <formula>LEN(TRIM(AJ150))=0</formula>
    </cfRule>
  </conditionalFormatting>
  <dataValidations disablePrompts="1" count="1">
    <dataValidation allowBlank="1" showInputMessage="1" showErrorMessage="1" sqref="B1:B2" xr:uid="{07DF514B-2FF2-4770-A0EA-54345D13B94B}"/>
  </dataValidations>
  <printOptions horizontalCentered="1"/>
  <pageMargins left="0.11811023622047245" right="0.11811023622047245" top="0.35433070866141736" bottom="0.15748031496062992" header="0.31496062992125984" footer="0.31496062992125984"/>
  <pageSetup paperSize="14" scale="55" orientation="landscape" horizontalDpi="0" verticalDpi="0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HRD Training</dc:creator>
  <cp:lastModifiedBy>Nia01</cp:lastModifiedBy>
  <cp:lastPrinted>2026-01-31T03:07:03Z</cp:lastPrinted>
  <dcterms:created xsi:type="dcterms:W3CDTF">2023-11-13T00:57:01Z</dcterms:created>
  <dcterms:modified xsi:type="dcterms:W3CDTF">2026-02-05T05:26:00Z</dcterms:modified>
</cp:coreProperties>
</file>