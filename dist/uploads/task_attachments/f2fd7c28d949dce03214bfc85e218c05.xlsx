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9.xml" ContentType="application/vnd.openxmlformats-officedocument.drawing+xml"/>
  <Override PartName="/xl/comments12.xml" ContentType="application/vnd.openxmlformats-officedocument.spreadsheetml.comments+xml"/>
  <Override PartName="/xl/drawings/drawing10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NIA\Downloads\"/>
    </mc:Choice>
  </mc:AlternateContent>
  <xr:revisionPtr revIDLastSave="0" documentId="13_ncr:1_{D1A651F4-5210-43F4-9F28-6272C9468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Y 16-31, 2026" sheetId="26" r:id="rId1"/>
    <sheet name="SUMMARY (1-15)-D&amp;6 (2)" sheetId="17" r:id="rId2"/>
    <sheet name="BURS (2)" sheetId="18" r:id="rId3"/>
    <sheet name="DISBURSEMENT VOUCHER (2)" sheetId="19" r:id="rId4"/>
    <sheet name="BUR - Gross-D&amp;6" sheetId="4" r:id="rId5"/>
    <sheet name="DV - BIR-D&amp;6" sheetId="5" r:id="rId6"/>
    <sheet name=" Jan 16-31, 2025 (jlb-dzm)" sheetId="13" r:id="rId7"/>
    <sheet name="SUMMARY (1-15)-D&amp;6" sheetId="3" r:id="rId8"/>
    <sheet name="DV - SSS-D&amp;6" sheetId="7" r:id="rId9"/>
    <sheet name="TIMEBOOK (1-15)-E" sheetId="8" r:id="rId10"/>
    <sheet name="SUMMARY (1-15)-E" sheetId="9" r:id="rId11"/>
    <sheet name="BUR - Gross-D&amp;6 (2)" sheetId="10" r:id="rId12"/>
    <sheet name="DV - BIR-E" sheetId="11" r:id="rId13"/>
    <sheet name="Reminders" sheetId="1" r:id="rId14"/>
    <sheet name="Accounts" sheetId="6" r:id="rId15"/>
  </sheets>
  <externalReferences>
    <externalReference r:id="rId16"/>
  </externalReferences>
  <definedNames>
    <definedName name="_xlnm.Print_Area" localSheetId="7">'SUMMARY (1-15)-D&amp;6'!$A$1:$F$56</definedName>
    <definedName name="_xlnm.Print_Area" localSheetId="1">'SUMMARY (1-15)-D&amp;6 (2)'!$A$1:$F$56</definedName>
    <definedName name="_xlnm.Print_Titles" localSheetId="6">' Jan 16-31, 2025 (jlb-dzm)'!$1:$15</definedName>
    <definedName name="_xlnm.Print_Titles" localSheetId="0">'JULY 16-31, 2026'!$1:$15</definedName>
    <definedName name="_xlnm.Print_Titles" localSheetId="9">'TIMEBOOK (1-15)-E'!$1:$15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3" i="26" l="1"/>
  <c r="X41" i="26"/>
  <c r="X44" i="26" s="1"/>
  <c r="X22" i="26"/>
  <c r="T34" i="26" l="1"/>
  <c r="T31" i="26"/>
  <c r="T28" i="26"/>
  <c r="T25" i="26"/>
  <c r="T22" i="26"/>
  <c r="T19" i="26"/>
  <c r="T16" i="26"/>
  <c r="T37" i="26"/>
  <c r="Z44" i="26"/>
  <c r="X26" i="26"/>
  <c r="X32" i="26"/>
  <c r="U31" i="26"/>
  <c r="W31" i="26" l="1"/>
  <c r="AA29" i="26"/>
  <c r="U16" i="26"/>
  <c r="W16" i="26" s="1"/>
  <c r="AB41" i="26" l="1"/>
  <c r="AA21" i="26"/>
  <c r="AA24" i="26"/>
  <c r="AA30" i="26"/>
  <c r="AA33" i="26"/>
  <c r="AA36" i="26"/>
  <c r="AA39" i="26"/>
  <c r="X35" i="26"/>
  <c r="X20" i="26"/>
  <c r="U25" i="26" l="1"/>
  <c r="W25" i="26" s="1"/>
  <c r="AA42" i="26" l="1"/>
  <c r="X17" i="26"/>
  <c r="X38" i="26"/>
  <c r="X29" i="26"/>
  <c r="Y25" i="26"/>
  <c r="AA25" i="26" l="1"/>
  <c r="U37" i="26"/>
  <c r="U34" i="26"/>
  <c r="Y31" i="26"/>
  <c r="U28" i="26"/>
  <c r="W28" i="26" s="1"/>
  <c r="Y28" i="26" s="1"/>
  <c r="U22" i="26"/>
  <c r="W22" i="26" s="1"/>
  <c r="Y22" i="26" s="1"/>
  <c r="AA22" i="26" s="1"/>
  <c r="U19" i="26"/>
  <c r="AB44" i="26"/>
  <c r="AA18" i="26"/>
  <c r="AA28" i="26" l="1"/>
  <c r="AA31" i="26"/>
  <c r="AC31" i="26"/>
  <c r="AD31" i="26" s="1"/>
  <c r="W34" i="26"/>
  <c r="Y34" i="26" s="1"/>
  <c r="W19" i="26"/>
  <c r="Y19" i="26" s="1"/>
  <c r="W37" i="26"/>
  <c r="Y16" i="26"/>
  <c r="AA16" i="26" l="1"/>
  <c r="AA19" i="26"/>
  <c r="AA34" i="26"/>
  <c r="AC34" i="26" s="1"/>
  <c r="AD34" i="26" s="1"/>
  <c r="AC22" i="26"/>
  <c r="AD22" i="26" s="1"/>
  <c r="Y37" i="26"/>
  <c r="W44" i="26"/>
  <c r="AC25" i="26"/>
  <c r="AD25" i="26" s="1"/>
  <c r="AC28" i="26"/>
  <c r="AD28" i="26" s="1"/>
  <c r="AA37" i="26" l="1"/>
  <c r="AA41" i="26"/>
  <c r="AC37" i="26"/>
  <c r="AD37" i="26" s="1"/>
  <c r="Y44" i="26"/>
  <c r="AC19" i="26"/>
  <c r="AD19" i="26" s="1"/>
  <c r="AC16" i="26"/>
  <c r="AD16" i="26" s="1"/>
  <c r="AD44" i="26" l="1"/>
  <c r="AA44" i="26"/>
  <c r="AC44" i="26"/>
  <c r="Q21" i="19"/>
  <c r="Q22" i="19" s="1"/>
  <c r="AB16" i="19" s="1"/>
  <c r="AB24" i="19" s="1"/>
  <c r="S47" i="19" s="1"/>
  <c r="S66" i="19"/>
  <c r="B46" i="18"/>
  <c r="F11" i="17" l="1"/>
  <c r="E38" i="17"/>
  <c r="E37" i="17"/>
  <c r="F15" i="17"/>
  <c r="E15" i="17"/>
  <c r="F14" i="17"/>
  <c r="E14" i="17"/>
  <c r="F13" i="17"/>
  <c r="E13" i="17"/>
  <c r="F12" i="17"/>
  <c r="E12" i="17"/>
  <c r="E11" i="17"/>
  <c r="E10" i="17"/>
  <c r="L15" i="18" l="1"/>
  <c r="C10" i="17"/>
  <c r="C21" i="17" s="1"/>
  <c r="Z41" i="13"/>
  <c r="Z45" i="13" s="1"/>
  <c r="AA45" i="13" s="1"/>
  <c r="W39" i="13"/>
  <c r="T37" i="13"/>
  <c r="V37" i="13" s="1"/>
  <c r="W36" i="13"/>
  <c r="T34" i="13"/>
  <c r="V34" i="13" s="1"/>
  <c r="X34" i="13" s="1"/>
  <c r="W33" i="13"/>
  <c r="T31" i="13"/>
  <c r="V31" i="13" s="1"/>
  <c r="X31" i="13" s="1"/>
  <c r="Y31" i="13" s="1"/>
  <c r="AA31" i="13" s="1"/>
  <c r="W30" i="13"/>
  <c r="T28" i="13"/>
  <c r="V28" i="13" s="1"/>
  <c r="X28" i="13" s="1"/>
  <c r="W27" i="13"/>
  <c r="T25" i="13"/>
  <c r="V25" i="13" s="1"/>
  <c r="X25" i="13" s="1"/>
  <c r="W24" i="13"/>
  <c r="T22" i="13"/>
  <c r="V22" i="13" s="1"/>
  <c r="X22" i="13" s="1"/>
  <c r="W21" i="13"/>
  <c r="T19" i="13"/>
  <c r="V19" i="13" s="1"/>
  <c r="W18" i="13"/>
  <c r="W16" i="13"/>
  <c r="T16" i="13"/>
  <c r="V16" i="13" s="1"/>
  <c r="X19" i="13" l="1"/>
  <c r="Y19" i="13" s="1"/>
  <c r="AA19" i="13" s="1"/>
  <c r="X16" i="13"/>
  <c r="Y16" i="13" s="1"/>
  <c r="AA16" i="13" s="1"/>
  <c r="F10" i="17"/>
  <c r="F21" i="17" s="1"/>
  <c r="L24" i="18"/>
  <c r="H46" i="18"/>
  <c r="W43" i="13"/>
  <c r="W45" i="13" s="1"/>
  <c r="X37" i="13"/>
  <c r="Y37" i="13" s="1"/>
  <c r="AA37" i="13" s="1"/>
  <c r="Y28" i="13"/>
  <c r="AA28" i="13" s="1"/>
  <c r="AB28" i="13" s="1"/>
  <c r="Y34" i="13"/>
  <c r="AA34" i="13" s="1"/>
  <c r="AB34" i="13" s="1"/>
  <c r="AB31" i="13"/>
  <c r="Y25" i="13"/>
  <c r="AA25" i="13" s="1"/>
  <c r="AB25" i="13" s="1"/>
  <c r="Y22" i="13"/>
  <c r="AA22" i="13" s="1"/>
  <c r="AB22" i="13" s="1"/>
  <c r="D10" i="17" l="1"/>
  <c r="D21" i="17" s="1"/>
  <c r="Y41" i="13"/>
  <c r="F30" i="17" l="1"/>
  <c r="E31" i="17"/>
  <c r="A44" i="17"/>
  <c r="W18" i="8"/>
  <c r="W22" i="8" s="1"/>
  <c r="D21" i="11"/>
  <c r="D7" i="10"/>
  <c r="F14" i="9"/>
  <c r="F13" i="9"/>
  <c r="F12" i="9"/>
  <c r="F11" i="9"/>
  <c r="Z22" i="8"/>
  <c r="Z20" i="8"/>
  <c r="Y22" i="8"/>
  <c r="Y21" i="8"/>
  <c r="W21" i="8"/>
  <c r="T72" i="11"/>
  <c r="X64" i="11"/>
  <c r="E64" i="11"/>
  <c r="X62" i="11"/>
  <c r="E62" i="11"/>
  <c r="B43" i="10"/>
  <c r="C34" i="10"/>
  <c r="C33" i="10"/>
  <c r="E38" i="9"/>
  <c r="E37" i="9"/>
  <c r="E15" i="9"/>
  <c r="E14" i="9"/>
  <c r="E13" i="9"/>
  <c r="E12" i="9"/>
  <c r="E11" i="9"/>
  <c r="E10" i="9"/>
  <c r="C5" i="9"/>
  <c r="W16" i="8"/>
  <c r="W20" i="8" s="1"/>
  <c r="T16" i="8"/>
  <c r="V16" i="8" s="1"/>
  <c r="K23" i="7"/>
  <c r="K22" i="7"/>
  <c r="K21" i="7"/>
  <c r="T72" i="7"/>
  <c r="X64" i="7"/>
  <c r="E64" i="7"/>
  <c r="X62" i="7"/>
  <c r="E62" i="7"/>
  <c r="D23" i="7"/>
  <c r="D22" i="7"/>
  <c r="D21" i="7"/>
  <c r="F15" i="9"/>
  <c r="X16" i="8" l="1"/>
  <c r="Z24" i="8"/>
  <c r="W24" i="8"/>
  <c r="V24" i="8"/>
  <c r="X24" i="8" l="1"/>
  <c r="C10" i="9" s="1"/>
  <c r="C21" i="9" s="1"/>
  <c r="L16" i="10" s="1"/>
  <c r="L24" i="10" s="1"/>
  <c r="H43" i="10" s="1"/>
  <c r="Y16" i="8"/>
  <c r="AA16" i="8" l="1"/>
  <c r="AB16" i="8" s="1"/>
  <c r="AB24" i="8" s="1"/>
  <c r="D10" i="9" s="1"/>
  <c r="D21" i="9" s="1"/>
  <c r="Y20" i="8"/>
  <c r="K28" i="11" s="1"/>
  <c r="AC17" i="11" s="1"/>
  <c r="AC31" i="11" s="1"/>
  <c r="T53" i="11" s="1"/>
  <c r="K21" i="11"/>
  <c r="F10" i="9"/>
  <c r="F21" i="9" s="1"/>
  <c r="F30" i="9" l="1"/>
  <c r="E31" i="9"/>
  <c r="A44" i="9"/>
  <c r="Y24" i="8"/>
  <c r="AA24" i="8" s="1"/>
  <c r="E64" i="5" l="1"/>
  <c r="E62" i="5"/>
  <c r="E15" i="3"/>
  <c r="E14" i="3"/>
  <c r="F12" i="3"/>
  <c r="E13" i="3"/>
  <c r="E12" i="3"/>
  <c r="E11" i="3"/>
  <c r="E10" i="3"/>
  <c r="F15" i="3"/>
  <c r="F14" i="3"/>
  <c r="F13" i="3"/>
  <c r="F11" i="3"/>
  <c r="D27" i="5" l="1"/>
  <c r="D26" i="5"/>
  <c r="D25" i="5"/>
  <c r="D24" i="5"/>
  <c r="D23" i="5"/>
  <c r="D21" i="5"/>
  <c r="K23" i="5" l="1"/>
  <c r="K22" i="5" l="1"/>
  <c r="T72" i="5"/>
  <c r="X64" i="5"/>
  <c r="X62" i="5"/>
  <c r="D22" i="5"/>
  <c r="B43" i="4"/>
  <c r="C34" i="4"/>
  <c r="C36" i="11" s="1"/>
  <c r="C33" i="4"/>
  <c r="C35" i="11" s="1"/>
  <c r="D7" i="4"/>
  <c r="E38" i="3"/>
  <c r="E37" i="3"/>
  <c r="C5" i="3"/>
  <c r="F17" i="4" l="1"/>
  <c r="B44" i="4" s="1"/>
  <c r="F17" i="10"/>
  <c r="B44" i="10" s="1"/>
  <c r="C35" i="5"/>
  <c r="C35" i="7"/>
  <c r="C36" i="5"/>
  <c r="C36" i="7"/>
  <c r="K26" i="5" l="1"/>
  <c r="K27" i="5"/>
  <c r="K25" i="5" l="1"/>
  <c r="K24" i="5"/>
  <c r="C10" i="3" l="1"/>
  <c r="C21" i="3" s="1"/>
  <c r="L16" i="4" s="1"/>
  <c r="L24" i="4" s="1"/>
  <c r="H43" i="4" s="1"/>
  <c r="K21" i="5" l="1"/>
  <c r="D10" i="3" l="1"/>
  <c r="D21" i="3" s="1"/>
  <c r="F10" i="3"/>
  <c r="F21" i="3" s="1"/>
  <c r="K24" i="7"/>
  <c r="AC17" i="7" s="1"/>
  <c r="AC31" i="7" s="1"/>
  <c r="T53" i="7" s="1"/>
  <c r="K28" i="5"/>
  <c r="AC17" i="5" s="1"/>
  <c r="AC31" i="5" s="1"/>
  <c r="T53" i="5" s="1"/>
  <c r="E31" i="3" l="1"/>
  <c r="F30" i="3"/>
  <c r="A4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J5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" authorId="0" shapeId="0" xr:uid="{00000000-0006-0000-0300-000001000000}">
      <text>
        <r>
          <rPr>
            <b/>
            <sz val="9"/>
            <rFont val="Tahoma"/>
            <family val="2"/>
          </rPr>
          <t>Total Earnings 
for the Period</t>
        </r>
      </text>
    </comment>
    <comment ref="D10" authorId="0" shapeId="0" xr:uid="{00000000-0006-0000-0300-000002000000}">
      <text>
        <r>
          <rPr>
            <b/>
            <sz val="9"/>
            <rFont val="Tahoma"/>
            <family val="2"/>
          </rPr>
          <t>Net Amount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DIRECT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2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DIRECT SUPERVISOR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ALCAT</author>
  </authors>
  <commentList>
    <comment ref="L16" authorId="0" shapeId="0" xr:uid="{00000000-0006-0000-0600-000001000000}">
      <text>
        <r>
          <rPr>
            <b/>
            <sz val="9"/>
            <rFont val="Tahoma"/>
            <family val="2"/>
          </rPr>
          <t>TOTAL EARNINGS 
FOR THE PERIOD</t>
        </r>
        <r>
          <rPr>
            <sz val="9"/>
            <rFont val="Tahoma"/>
            <family val="2"/>
          </rPr>
          <t xml:space="preserve">
</t>
        </r>
      </text>
    </comment>
    <comment ref="C33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C3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J5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" authorId="0" shapeId="0" xr:uid="{00000000-0006-0000-0900-000001000000}">
      <text>
        <r>
          <rPr>
            <b/>
            <sz val="9"/>
            <rFont val="Tahoma"/>
            <family val="2"/>
          </rPr>
          <t>Total Earnings 
for the Period</t>
        </r>
      </text>
    </comment>
    <comment ref="D10" authorId="0" shapeId="0" xr:uid="{00000000-0006-0000-0900-000002000000}">
      <text>
        <r>
          <rPr>
            <b/>
            <sz val="9"/>
            <rFont val="Tahoma"/>
            <family val="2"/>
          </rPr>
          <t>Net Amount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C3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J3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" authorId="0" shapeId="0" xr:uid="{00000000-0006-0000-0C00-000001000000}">
      <text>
        <r>
          <rPr>
            <b/>
            <sz val="9"/>
            <rFont val="Tahoma"/>
            <family val="2"/>
          </rPr>
          <t>Total Earnings 
for the Period</t>
        </r>
      </text>
    </comment>
    <comment ref="D10" authorId="0" shapeId="0" xr:uid="{00000000-0006-0000-0C00-000002000000}">
      <text>
        <r>
          <rPr>
            <b/>
            <sz val="9"/>
            <rFont val="Tahoma"/>
            <family val="2"/>
          </rPr>
          <t>Net Amount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ALCAT</author>
  </authors>
  <commentList>
    <comment ref="L16" authorId="0" shapeId="0" xr:uid="{00000000-0006-0000-0D00-000001000000}">
      <text>
        <r>
          <rPr>
            <b/>
            <sz val="9"/>
            <rFont val="Tahoma"/>
            <family val="2"/>
          </rPr>
          <t>TOTAL EARNINGS 
FOR THE PERIOD</t>
        </r>
        <r>
          <rPr>
            <sz val="9"/>
            <rFont val="Tahoma"/>
            <family val="2"/>
          </rPr>
          <t xml:space="preserve">
</t>
        </r>
      </text>
    </comment>
    <comment ref="C33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ALCAT</author>
  </authors>
  <commentList>
    <comment ref="C3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ALCAT:</t>
        </r>
        <r>
          <rPr>
            <sz val="9"/>
            <color indexed="81"/>
            <rFont val="Tahoma"/>
            <family val="2"/>
          </rPr>
          <t xml:space="preserve">
Section Head</t>
        </r>
      </text>
    </comment>
  </commentList>
</comments>
</file>

<file path=xl/sharedStrings.xml><?xml version="1.0" encoding="utf-8"?>
<sst xmlns="http://schemas.openxmlformats.org/spreadsheetml/2006/main" count="1958" uniqueCount="1152">
  <si>
    <t>TO CHECK</t>
  </si>
  <si>
    <t>Timebook</t>
  </si>
  <si>
    <t>Summary of Payroll</t>
  </si>
  <si>
    <t>Equal to Timebook</t>
  </si>
  <si>
    <t>ARRANGEMENT</t>
  </si>
  <si>
    <t>Period</t>
  </si>
  <si>
    <t>Amount of Rolls</t>
  </si>
  <si>
    <t xml:space="preserve">Total Earnings </t>
  </si>
  <si>
    <t>BUR</t>
  </si>
  <si>
    <t xml:space="preserve">Time Roll </t>
  </si>
  <si>
    <t>Amount Paid of Rolls</t>
  </si>
  <si>
    <t>Net Amount</t>
  </si>
  <si>
    <t>x</t>
  </si>
  <si>
    <t>present</t>
  </si>
  <si>
    <t>Transferred to</t>
  </si>
  <si>
    <t>A</t>
  </si>
  <si>
    <t>absent</t>
  </si>
  <si>
    <t>BIR</t>
  </si>
  <si>
    <t>Total BIR</t>
  </si>
  <si>
    <t>DV - BIR</t>
  </si>
  <si>
    <t>/</t>
  </si>
  <si>
    <t>half day</t>
  </si>
  <si>
    <t>HDMF</t>
  </si>
  <si>
    <t>Total HDMF</t>
  </si>
  <si>
    <t>DTRs</t>
  </si>
  <si>
    <t>OB</t>
  </si>
  <si>
    <t>on field</t>
  </si>
  <si>
    <t>Alphabetical</t>
  </si>
  <si>
    <t>H</t>
  </si>
  <si>
    <t>regular holiday</t>
  </si>
  <si>
    <t>* Leave enough space for obligation</t>
  </si>
  <si>
    <t>SPH</t>
  </si>
  <si>
    <t>special holiday</t>
  </si>
  <si>
    <t>S , S</t>
  </si>
  <si>
    <t>sat, sun</t>
  </si>
  <si>
    <t>Number of days worked</t>
  </si>
  <si>
    <t>Check DTR properly</t>
  </si>
  <si>
    <t>Amount</t>
  </si>
  <si>
    <t>Look out for UT, OT</t>
  </si>
  <si>
    <t>Status of Utilization</t>
  </si>
  <si>
    <t>If N/A, input "0" so it would appear "-"</t>
  </si>
  <si>
    <t>Particulars</t>
  </si>
  <si>
    <t>Wages - mm/dd/yy</t>
  </si>
  <si>
    <t>Utilization</t>
  </si>
  <si>
    <t>= to Total Earnings</t>
  </si>
  <si>
    <t>* Review totals, per row and per column</t>
  </si>
  <si>
    <t>DV - BIR/HDMF</t>
  </si>
  <si>
    <t>* Rows and columns must be equal</t>
  </si>
  <si>
    <t>Month indicated</t>
  </si>
  <si>
    <t xml:space="preserve">For the MONTH of </t>
  </si>
  <si>
    <t>Breakdown</t>
  </si>
  <si>
    <t>= to Timebook, per employee</t>
  </si>
  <si>
    <t>UNDERTIME</t>
  </si>
  <si>
    <t>Date</t>
  </si>
  <si>
    <t>AMOUNT</t>
  </si>
  <si>
    <t>OVERTIME</t>
  </si>
  <si>
    <t>REPUBLIC OF THE PHILIPPINES</t>
  </si>
  <si>
    <t>National Irrigation Administration</t>
  </si>
  <si>
    <t>T I M E   B O O K</t>
  </si>
  <si>
    <t>AFD - JOB ORDER</t>
  </si>
  <si>
    <t>For Labor on</t>
  </si>
  <si>
    <t>(State Project which was performed)</t>
  </si>
  <si>
    <t>N A M E</t>
  </si>
  <si>
    <t>DESIGNATION</t>
  </si>
  <si>
    <t>T I M E   R O L L</t>
  </si>
  <si>
    <t>No. of
days
worked</t>
  </si>
  <si>
    <t>Rate per
Day</t>
  </si>
  <si>
    <t>GROSS 
AMOUNT</t>
  </si>
  <si>
    <t xml:space="preserve">TOTAL </t>
  </si>
  <si>
    <t>TOTAL DEDUCTIONS</t>
  </si>
  <si>
    <t>NET</t>
  </si>
  <si>
    <t>EARNINGS FOR</t>
  </si>
  <si>
    <t>HDMF-MPL</t>
  </si>
  <si>
    <t>ATM NUMBER</t>
  </si>
  <si>
    <t>THE PERIOD</t>
  </si>
  <si>
    <t>SSS</t>
  </si>
  <si>
    <t>NIAMPCO-ML</t>
  </si>
  <si>
    <t>DUE</t>
  </si>
  <si>
    <t>X</t>
  </si>
  <si>
    <t>S</t>
  </si>
  <si>
    <t>T O T A L S</t>
  </si>
  <si>
    <t>1) I HEREBY CERTIFY that each person whose name appears on this roll rendered services as indicated and for the time stated.</t>
  </si>
  <si>
    <t>2) I CERTIFY that this roll is correct, every person whose name appears hereon rendered services for the time and at the rates stated under my general supervision, and I approved payment of this roll.</t>
  </si>
  <si>
    <t>3) I CERTIFY on my official that I have this ____ day of _____________, 20____ paid in cash to each person whose name appears having presented him self established his/her identity and affix his/her signature or thumbmark on the space provided.</t>
  </si>
  <si>
    <t xml:space="preserve">S U M M A R Y   O F   P A Y R O L L </t>
  </si>
  <si>
    <t>Bureau/Province/Municipal</t>
  </si>
  <si>
    <t>For the Period</t>
  </si>
  <si>
    <t>P R O J E C T</t>
  </si>
  <si>
    <t>S h e e t</t>
  </si>
  <si>
    <t>N u m b e r</t>
  </si>
  <si>
    <t>A m o u n t</t>
  </si>
  <si>
    <t>Amount Paid</t>
  </si>
  <si>
    <t>T r a n s f e r r e d    T o</t>
  </si>
  <si>
    <t>N o .</t>
  </si>
  <si>
    <t>o f  R o l l s</t>
  </si>
  <si>
    <t xml:space="preserve"> 1)    I HEREBY CERTIFY that the attached</t>
  </si>
  <si>
    <t xml:space="preserve"> 3)   I HEREBY CERTIFY on my official</t>
  </si>
  <si>
    <t xml:space="preserve">   payroll/s and summary of which appears here-</t>
  </si>
  <si>
    <t xml:space="preserve">   oath that the payroll/s and summary of</t>
  </si>
  <si>
    <t xml:space="preserve">   on is/are correct and just and that the ser-</t>
  </si>
  <si>
    <t xml:space="preserve">   which appears hereon, are the best of my</t>
  </si>
  <si>
    <t xml:space="preserve">   vices were rendered under my direction and</t>
  </si>
  <si>
    <t xml:space="preserve">   knowledge and belief proper and correct</t>
  </si>
  <si>
    <t xml:space="preserve">   I approved payment thereof this ___ day of</t>
  </si>
  <si>
    <t xml:space="preserve">   the same being chargeable to the appro-</t>
  </si>
  <si>
    <t xml:space="preserve">   ______________________________________.</t>
  </si>
  <si>
    <t xml:space="preserve">   priation set aside. THEREOF, I FURTHER</t>
  </si>
  <si>
    <t xml:space="preserve">   CERTIFY that the payment thereon have</t>
  </si>
  <si>
    <t>APPROVED:</t>
  </si>
  <si>
    <t xml:space="preserve"> 2)    I HEREBY CERTIFY that this Voucher</t>
  </si>
  <si>
    <t xml:space="preserve"> 4)     To be accomplished when payment</t>
  </si>
  <si>
    <t xml:space="preserve">   has been pre-audited and this same may be</t>
  </si>
  <si>
    <t xml:space="preserve">   of labor payrolls was made without pre-</t>
  </si>
  <si>
    <t xml:space="preserve">   audit. Passed in post audit in the amount of</t>
  </si>
  <si>
    <t>________________________________.</t>
  </si>
  <si>
    <t xml:space="preserve">   Entry was made in cash book for this</t>
  </si>
  <si>
    <t xml:space="preserve">   amount.</t>
  </si>
  <si>
    <t>NATIONAL IRRIGATION ADMINISTRATION</t>
  </si>
  <si>
    <t xml:space="preserve">Serial No. : ___________________ </t>
  </si>
  <si>
    <t>Date : _______________________</t>
  </si>
  <si>
    <t>BUDGET UTILIZATION REQUEST AND STATUS</t>
  </si>
  <si>
    <t>Fund : _______________________</t>
  </si>
  <si>
    <t>Payee</t>
  </si>
  <si>
    <t>Office</t>
  </si>
  <si>
    <t>Address</t>
  </si>
  <si>
    <t>Responsibility Center</t>
  </si>
  <si>
    <t>Project</t>
  </si>
  <si>
    <t>Account Code/ Expenditures</t>
  </si>
  <si>
    <r>
      <rPr>
        <b/>
        <sz val="11"/>
        <rFont val="Times New Roman"/>
        <family val="1"/>
      </rPr>
      <t>WAGES</t>
    </r>
    <r>
      <rPr>
        <sz val="11"/>
        <rFont val="Times New Roman"/>
        <family val="1"/>
      </rPr>
      <t xml:space="preserve"> -</t>
    </r>
  </si>
  <si>
    <t xml:space="preserve"> </t>
  </si>
  <si>
    <t>TOTAL</t>
  </si>
  <si>
    <t>A.</t>
  </si>
  <si>
    <t>B.</t>
  </si>
  <si>
    <t>Certified:</t>
  </si>
  <si>
    <t>Charges to appropriation/budget necessary,</t>
  </si>
  <si>
    <r>
      <rPr>
        <b/>
        <sz val="11"/>
        <rFont val="Times New Roman"/>
        <family val="1"/>
      </rPr>
      <t>Certified:</t>
    </r>
    <r>
      <rPr>
        <sz val="11"/>
        <rFont val="Times New Roman"/>
        <family val="1"/>
      </rPr>
      <t xml:space="preserve">  Budget available and utilized for the</t>
    </r>
  </si>
  <si>
    <t>lawful and under my direct supervision; and supporting</t>
  </si>
  <si>
    <t xml:space="preserve"> purpose/adjustment necessary as indicated above</t>
  </si>
  <si>
    <t xml:space="preserve"> documents valid, proper and legal</t>
  </si>
  <si>
    <t>Signature:</t>
  </si>
  <si>
    <t>Printed Name:</t>
  </si>
  <si>
    <t>Position:</t>
  </si>
  <si>
    <t>Head, Requesting Office/Authorized Representative</t>
  </si>
  <si>
    <t>Head, Budget Division/Unit/Authorized Representative</t>
  </si>
  <si>
    <t>Date:</t>
  </si>
  <si>
    <t>C.</t>
  </si>
  <si>
    <t>STATUS OF UTILIZATION</t>
  </si>
  <si>
    <t>Reference</t>
  </si>
  <si>
    <t xml:space="preserve">BURS/
JEV/RCI No.        </t>
  </si>
  <si>
    <t>Payable</t>
  </si>
  <si>
    <t>Payment</t>
  </si>
  <si>
    <t>Balance</t>
  </si>
  <si>
    <t>(a)</t>
  </si>
  <si>
    <t>(b)</t>
  </si>
  <si>
    <t>(c)</t>
  </si>
  <si>
    <t>(a-b)</t>
  </si>
  <si>
    <t>(b-c)</t>
  </si>
  <si>
    <t xml:space="preserve">Fund : </t>
  </si>
  <si>
    <t>DISBURSEMENT  VOUCHER</t>
  </si>
  <si>
    <t>Date :</t>
  </si>
  <si>
    <t>DV No. :</t>
  </si>
  <si>
    <t>Mode of Payment</t>
  </si>
  <si>
    <t>MDS Check</t>
  </si>
  <si>
    <t>LCCA</t>
  </si>
  <si>
    <t>ADA</t>
  </si>
  <si>
    <t>Others (Please specify)</t>
  </si>
  <si>
    <t>_________________</t>
  </si>
  <si>
    <t>TIN/Employee No.:</t>
  </si>
  <si>
    <t xml:space="preserve">ORS/BURS No.: </t>
  </si>
  <si>
    <t>MFO/PAP</t>
  </si>
  <si>
    <t>T O T A L</t>
  </si>
  <si>
    <t>Amount Due</t>
  </si>
  <si>
    <t xml:space="preserve"> Certified:  Expenses/Cash Advance necessary,  lawful and  incurred under my direct supervision.</t>
  </si>
  <si>
    <t xml:space="preserve">  </t>
  </si>
  <si>
    <t xml:space="preserve"> Printed Name, Designation and Signature of Supervisor</t>
  </si>
  <si>
    <t xml:space="preserve"> Accounting Entry:</t>
  </si>
  <si>
    <t>Account Title</t>
  </si>
  <si>
    <t>UACS Code</t>
  </si>
  <si>
    <t>Debit</t>
  </si>
  <si>
    <t>Credit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</si>
  <si>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</si>
  <si>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</si>
  <si>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</si>
  <si>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</si>
  <si>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</si>
  <si>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</si>
  <si>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</si>
  <si>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</si>
  <si>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</si>
  <si>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Head, Accounting Unit/Authorized Representative</t>
  </si>
  <si>
    <t>Agency Head/Authorized Representative</t>
  </si>
  <si>
    <t xml:space="preserve">E. </t>
  </si>
  <si>
    <t xml:space="preserve">Receipt of Payment </t>
  </si>
  <si>
    <t>JEV  No.</t>
  </si>
  <si>
    <t>Check/   ADA No. :</t>
  </si>
  <si>
    <t>Bank Name &amp; Account Number:</t>
  </si>
  <si>
    <t>Signature :</t>
  </si>
  <si>
    <t>Official Receipt No. &amp; Date/Other Documents</t>
  </si>
  <si>
    <r>
      <t xml:space="preserve">REMITTANCE OF WITHHOLDING TAX FOR THE MONTH OF 
</t>
    </r>
    <r>
      <rPr>
        <b/>
        <sz val="12"/>
        <rFont val="Times New Roman"/>
        <family val="1"/>
      </rPr>
      <t>JULY 2024</t>
    </r>
    <r>
      <rPr>
        <sz val="12"/>
        <rFont val="Times New Roman"/>
        <family val="1"/>
      </rPr>
      <t xml:space="preserve"> IN THE AMOUNT OF..</t>
    </r>
  </si>
  <si>
    <t>LBP</t>
  </si>
  <si>
    <t>NO. OF MINUTES</t>
  </si>
  <si>
    <t>3% of the total earnings</t>
  </si>
  <si>
    <t xml:space="preserve">   paid in the amount of</t>
  </si>
  <si>
    <t xml:space="preserve">   been made in the amount of </t>
  </si>
  <si>
    <t>ALBAY-CATANDUANES IRRIGATION MANAGEMENT OFFICE</t>
  </si>
  <si>
    <t>VILMA M. MANLANGIT</t>
  </si>
  <si>
    <t>SCDO</t>
  </si>
  <si>
    <t>ALBAY-CATANDUANES IMO, LIGAO CITY</t>
  </si>
  <si>
    <t>Engr. MARK CLOYD G. SO</t>
  </si>
  <si>
    <t>Acting Manager, Albay-Cat IMO</t>
  </si>
  <si>
    <t>VIDA E. PITALLANO, CPA</t>
  </si>
  <si>
    <t>Sr. Accounting Processor A</t>
  </si>
  <si>
    <t>State Auditor III/Audit Team Leader</t>
  </si>
  <si>
    <t>MARIA PIA O. AGUILAR</t>
  </si>
  <si>
    <t>Account Code</t>
  </si>
  <si>
    <t>1-01-01-010</t>
  </si>
  <si>
    <t>Cash-Collecting Officers</t>
  </si>
  <si>
    <t>1-01-01-020</t>
  </si>
  <si>
    <t>Petty Cash</t>
  </si>
  <si>
    <t>1-01-02-020RO</t>
  </si>
  <si>
    <t>Cash in Bank - Local Currency,Current Account- RO</t>
  </si>
  <si>
    <t>1-01-02-020FO</t>
  </si>
  <si>
    <t>Cash in Bank - Local Currency,Current Account- FO</t>
  </si>
  <si>
    <t>1-03-01-010A</t>
  </si>
  <si>
    <t>Accounts Receivable (ISF)</t>
  </si>
  <si>
    <t>1-03-01-010B</t>
  </si>
  <si>
    <t>Accounts Receivable (ISF Back Account)</t>
  </si>
  <si>
    <t>1-03-01-010C</t>
  </si>
  <si>
    <t>Accounts Receivable (Pump/CIP/CIS)</t>
  </si>
  <si>
    <t>1-03-01-010D</t>
  </si>
  <si>
    <t>Accounts Receivable (Pump/CIP/CIS Back Account)</t>
  </si>
  <si>
    <t>1-03-01-010E</t>
  </si>
  <si>
    <t>Accounts Receivable - Others</t>
  </si>
  <si>
    <t>1-03-01-012</t>
  </si>
  <si>
    <t>Allowance for Impairment-Accounts Receivable</t>
  </si>
  <si>
    <t>1-03-01-990</t>
  </si>
  <si>
    <t>Loans Receivable</t>
  </si>
  <si>
    <t>1-03-03-010</t>
  </si>
  <si>
    <t>Due from National Government Agencies</t>
  </si>
  <si>
    <t>1-03-03-012</t>
  </si>
  <si>
    <t>Allowance for Impairment-Due from National Government Agencies</t>
  </si>
  <si>
    <t>1-03-03-030</t>
  </si>
  <si>
    <t>Due from Local Government Units</t>
  </si>
  <si>
    <t>1-03-03-032</t>
  </si>
  <si>
    <t>Allowance for Impairment-Due from Local Government Units</t>
  </si>
  <si>
    <t>1-03-03-050</t>
  </si>
  <si>
    <t>Due from Other Government Corporations</t>
  </si>
  <si>
    <t>1-03-03-052</t>
  </si>
  <si>
    <t>Allowance for Impairment-Due from Other Government Corporations</t>
  </si>
  <si>
    <t>1-03-04-040</t>
  </si>
  <si>
    <t>Due from Operating/Field Units</t>
  </si>
  <si>
    <t>1-03-04-050</t>
  </si>
  <si>
    <t>Due from Other Funds</t>
  </si>
  <si>
    <t>1-03-04-060</t>
  </si>
  <si>
    <t>Due from Central Office</t>
  </si>
  <si>
    <t>1-03-04-070</t>
  </si>
  <si>
    <t>Due from Regional Offices</t>
  </si>
  <si>
    <t>1-03-04-070A</t>
  </si>
  <si>
    <t>Due from Field Offices</t>
  </si>
  <si>
    <t>1-03-99-010</t>
  </si>
  <si>
    <t>Receivables - Disallowances/Charges</t>
  </si>
  <si>
    <t>1-03-99-020</t>
  </si>
  <si>
    <t>Due from Officers and Employees</t>
  </si>
  <si>
    <t>1-03-99-022</t>
  </si>
  <si>
    <t>Allowance for Impairment-Due from Officers and Employees</t>
  </si>
  <si>
    <t>1-03-99-990</t>
  </si>
  <si>
    <t>Other Receivables</t>
  </si>
  <si>
    <t>1-03-99-992</t>
  </si>
  <si>
    <t>Allowance for Impairment-Other Receivables</t>
  </si>
  <si>
    <t>1-04-02-090</t>
  </si>
  <si>
    <t>Property and Equipment for Distribution</t>
  </si>
  <si>
    <t>1-04-02-092</t>
  </si>
  <si>
    <t>Allowance for Impairment-Property and Equipment for Distribution</t>
  </si>
  <si>
    <t>1-04-04-010</t>
  </si>
  <si>
    <t>Office Supplies Inventory</t>
  </si>
  <si>
    <t>1-04-04-012</t>
  </si>
  <si>
    <t>Allowance for Impairment-Office Supplies Inventory</t>
  </si>
  <si>
    <t>1-04-04-020</t>
  </si>
  <si>
    <t>Accountable Forms, Plates and Stickers Inventory</t>
  </si>
  <si>
    <t>1-04-04-022</t>
  </si>
  <si>
    <t>Allowance for Impairment- Accountable Forms, Plates and Stickers Inventory</t>
  </si>
  <si>
    <t>1-04-04-030</t>
  </si>
  <si>
    <t>Non-Accountable Forms Inventory</t>
  </si>
  <si>
    <t>1-04-04-032</t>
  </si>
  <si>
    <t>Allowance for Impairment-Non-Accountable FormsInventory</t>
  </si>
  <si>
    <t>1-04-04-070</t>
  </si>
  <si>
    <t>Medical, Dental and Laboratory Supplies Inventory</t>
  </si>
  <si>
    <t>1-04-04-072</t>
  </si>
  <si>
    <t>Allowance for Impairment-Medical, Dental and Laboratory</t>
  </si>
  <si>
    <t>1-04-04-080</t>
  </si>
  <si>
    <t>Fuel, Oil and Lubricants Inventory</t>
  </si>
  <si>
    <t>1-04-04-082</t>
  </si>
  <si>
    <t>Allowance for Impairment-Fuel, Oil and Lubricants Inventory</t>
  </si>
  <si>
    <t>1-04-04-130</t>
  </si>
  <si>
    <t>Construction Materials Inventory</t>
  </si>
  <si>
    <t>1-04-04-132</t>
  </si>
  <si>
    <t>Allowance for Impairment-Construction Materials Inventory</t>
  </si>
  <si>
    <t>1-04-04-990</t>
  </si>
  <si>
    <t>Other Supplies and Materials Inventory</t>
  </si>
  <si>
    <t>1-04-04-990A</t>
  </si>
  <si>
    <t>1-04-04-990B</t>
  </si>
  <si>
    <t>1-04-04-992</t>
  </si>
  <si>
    <t>Allowance for Impairment-Other Supplies and Materials Inventory</t>
  </si>
  <si>
    <t>1-04-05-010</t>
  </si>
  <si>
    <t>Semi-Expendable Machinery</t>
  </si>
  <si>
    <t>1-04-05-012</t>
  </si>
  <si>
    <t>Allowance for Impairment-Semi-Expendable Machinery</t>
  </si>
  <si>
    <t>1-04-05-020</t>
  </si>
  <si>
    <t>Semi-Expendable Office Equipment</t>
  </si>
  <si>
    <t>1-04-05-022</t>
  </si>
  <si>
    <t>Allowance for Impairment-Semi-Expendable Office Equipment</t>
  </si>
  <si>
    <t>1-04-05-030</t>
  </si>
  <si>
    <t>Semi-Expendable Information and Communications Technology Equipment</t>
  </si>
  <si>
    <t>1-04-05-032</t>
  </si>
  <si>
    <t>Allowance for Impairment-Semi-Expendable Information</t>
  </si>
  <si>
    <t>1-04-05-070</t>
  </si>
  <si>
    <t>Semi-Expendable Communications Equipment</t>
  </si>
  <si>
    <t>1-04-05-072</t>
  </si>
  <si>
    <t>Allowance for Impairment-Semi-Expendable Communications Equipment</t>
  </si>
  <si>
    <t>1-04-05-080</t>
  </si>
  <si>
    <t>Semi-Expendable Disaster Response and Rescue Equipment</t>
  </si>
  <si>
    <t>1-04-05-082</t>
  </si>
  <si>
    <t>Allowance for Impairment-Semi-Expendable Disaster Response and Rescue Equipment</t>
  </si>
  <si>
    <t>1-04-05-090</t>
  </si>
  <si>
    <t>Semi-Expendable Military, Police and Security Equipment</t>
  </si>
  <si>
    <t>1-04-05-092</t>
  </si>
  <si>
    <t>Allowance for Impairment-Semi-Expendable Military, Police and Security Equipment</t>
  </si>
  <si>
    <t>1-04-05-100</t>
  </si>
  <si>
    <t>Semi-Expendable Medical Equipment</t>
  </si>
  <si>
    <t>1-04-05-102</t>
  </si>
  <si>
    <t>Allowance for Impairment-Semi-Expendable Medical</t>
  </si>
  <si>
    <t>1-04-05-110</t>
  </si>
  <si>
    <t>Semi-Expendable Printing Equipment</t>
  </si>
  <si>
    <t>1-04-05-112</t>
  </si>
  <si>
    <t>Allowance for Impairment-Semi-Expendable Printing Equipment</t>
  </si>
  <si>
    <t>1-04-05-130</t>
  </si>
  <si>
    <t>Semi-Expendable Technical and Scientific Equipment</t>
  </si>
  <si>
    <t>1-04-05-132</t>
  </si>
  <si>
    <t>Allowance for Impairment-Semi-Expendable Technical and Scientific Equipment</t>
  </si>
  <si>
    <t>1-04-05-140</t>
  </si>
  <si>
    <t>Semi-Expendable Construction Equipment</t>
  </si>
  <si>
    <t>1-04-05-142</t>
  </si>
  <si>
    <t>Allowance for Impairment-Semi-Expendable Construction Equipment</t>
  </si>
  <si>
    <t>1-04-05-990</t>
  </si>
  <si>
    <t>Semi-Expendable Other Equipment</t>
  </si>
  <si>
    <t>1-04-05-992</t>
  </si>
  <si>
    <t>Allowance for Impairment-Semi-Expendable Other Equipment</t>
  </si>
  <si>
    <t>1-04-06-010</t>
  </si>
  <si>
    <t>Semi-Expendable Furniture and Fixtures</t>
  </si>
  <si>
    <t>1-04-06-012</t>
  </si>
  <si>
    <t>Allowance for Impairment- Semi-Expendable Furniture and Fixtures</t>
  </si>
  <si>
    <t>1-05-98-010</t>
  </si>
  <si>
    <t>Construction in Progress-Investment Property, Buildings</t>
  </si>
  <si>
    <t>1-06-01-010</t>
  </si>
  <si>
    <t>Land</t>
  </si>
  <si>
    <t>1-06-01-012</t>
  </si>
  <si>
    <t>Accumulated Impairment Losses-Land</t>
  </si>
  <si>
    <t>1-06-02-990</t>
  </si>
  <si>
    <t>Other Land Improvements</t>
  </si>
  <si>
    <t>1-06-02-991</t>
  </si>
  <si>
    <t>Accumulated Depreciation-Other Land Improvements</t>
  </si>
  <si>
    <t>1-06-03-040</t>
  </si>
  <si>
    <t>Water Supply Systems</t>
  </si>
  <si>
    <t>1-06-03-041</t>
  </si>
  <si>
    <t>Accumulated Depreciation-Water Supply System</t>
  </si>
  <si>
    <t>1-06-03-990</t>
  </si>
  <si>
    <t>Other Infrastructure Assets</t>
  </si>
  <si>
    <t>1-06-03-991</t>
  </si>
  <si>
    <t>Accumulated Depreciation-Other Infrastructure Assets</t>
  </si>
  <si>
    <t>1-06-04-010</t>
  </si>
  <si>
    <t>Buildings</t>
  </si>
  <si>
    <t>1-06-04-011</t>
  </si>
  <si>
    <t>Accumulated Depreciation-Buildings</t>
  </si>
  <si>
    <t>1-06-04-060</t>
  </si>
  <si>
    <t>Hostels and Dormitories</t>
  </si>
  <si>
    <t>1-06-04-061</t>
  </si>
  <si>
    <t>Accumulated Depreciation-Hostels and Dormitories</t>
  </si>
  <si>
    <t>1-06-04-990</t>
  </si>
  <si>
    <t>Other Structures</t>
  </si>
  <si>
    <t>1-06-04-991</t>
  </si>
  <si>
    <t>Accumulated Depreciation-Other Structures</t>
  </si>
  <si>
    <t>1-06-05-010</t>
  </si>
  <si>
    <t>Machinery</t>
  </si>
  <si>
    <t>1-06-05-011</t>
  </si>
  <si>
    <t>Accumulated Depreciation-Machinery</t>
  </si>
  <si>
    <t>1-06-05-020</t>
  </si>
  <si>
    <t>Office Equipment</t>
  </si>
  <si>
    <t>1-06-05-021</t>
  </si>
  <si>
    <t>Accumulated Depreciation-Office Equipment</t>
  </si>
  <si>
    <t>1-06-05-022</t>
  </si>
  <si>
    <t>Accumulated Impairment Losses - Office Equipment</t>
  </si>
  <si>
    <t>1-06-05-030</t>
  </si>
  <si>
    <t>Information and Communications Technology Equipment</t>
  </si>
  <si>
    <t>1-06-05-031</t>
  </si>
  <si>
    <t>Accumulated Depreciation-Information and Communications Technology Equipment</t>
  </si>
  <si>
    <t>1-06-05-032</t>
  </si>
  <si>
    <t>Accumulated Impairment Losses - Information and Communications Technology Equipment</t>
  </si>
  <si>
    <t>1-06-05-070</t>
  </si>
  <si>
    <t>Communications Equipment</t>
  </si>
  <si>
    <t>1-06-05-071</t>
  </si>
  <si>
    <t>Accumulated Depreciation-Communications Equipment</t>
  </si>
  <si>
    <t>1-06-05-080</t>
  </si>
  <si>
    <t>Construction and Heavy Equipment</t>
  </si>
  <si>
    <t>1-06-05-081</t>
  </si>
  <si>
    <t>Accumulated Depreciation-Construction and Heavy Equipment</t>
  </si>
  <si>
    <t>1-06-05-090</t>
  </si>
  <si>
    <t>Disaster Response and Rescue Equipment</t>
  </si>
  <si>
    <t>1-06-05-091</t>
  </si>
  <si>
    <t>Accumulated Depreciation-Disaster Response and Rescue Equipment</t>
  </si>
  <si>
    <t>1-06-05-100</t>
  </si>
  <si>
    <t>Military, Police and Security Equipment</t>
  </si>
  <si>
    <t>1-06-05-101</t>
  </si>
  <si>
    <t>Accumulated Depreciation-Military, Police and Security Equipment</t>
  </si>
  <si>
    <t>1-06-05-110</t>
  </si>
  <si>
    <t>Medical Equipment</t>
  </si>
  <si>
    <t>1-06-05-111</t>
  </si>
  <si>
    <t>Accumulated Depreciation-Medical Equipment</t>
  </si>
  <si>
    <t>1-06-05-120</t>
  </si>
  <si>
    <t>Printing Equipment</t>
  </si>
  <si>
    <t>1-06-05-121</t>
  </si>
  <si>
    <t>Accumulated Depreciation-Printing Equipment</t>
  </si>
  <si>
    <t>1-06-05-130</t>
  </si>
  <si>
    <t>Sports Equipment</t>
  </si>
  <si>
    <t>1-06-05-131</t>
  </si>
  <si>
    <t>Accumulated Depreciation-Sports Equipment</t>
  </si>
  <si>
    <t>1-06-05-140</t>
  </si>
  <si>
    <t>Technical and Scientific Equipment</t>
  </si>
  <si>
    <t>1-06-05-141</t>
  </si>
  <si>
    <t>Accumulated Depreciation-Technical and Scientific Equipment</t>
  </si>
  <si>
    <t>1-06-05-990</t>
  </si>
  <si>
    <t>Other Equipment</t>
  </si>
  <si>
    <t>1-06-05-991</t>
  </si>
  <si>
    <t>Accumulated Depreciation - Other Equipment</t>
  </si>
  <si>
    <t>1-06-06-010</t>
  </si>
  <si>
    <t>Motor Vehicles</t>
  </si>
  <si>
    <t>1-06-06-011</t>
  </si>
  <si>
    <t>Accumulated Depreciation-Motor Vehicles</t>
  </si>
  <si>
    <t>1-06-06-990</t>
  </si>
  <si>
    <t>Other Transportation Equipment</t>
  </si>
  <si>
    <t>1-06-06-991</t>
  </si>
  <si>
    <t>Accumulated Depreciation-Other Transportation Equipment</t>
  </si>
  <si>
    <t>1-06-07-010</t>
  </si>
  <si>
    <t>Furniture and Fixtures</t>
  </si>
  <si>
    <t>1-06-07-011</t>
  </si>
  <si>
    <t>Accumulated Depreciation-Furniture and Fixtures</t>
  </si>
  <si>
    <t>1-06-98-010</t>
  </si>
  <si>
    <t>Construction in Progress-Land Improvements</t>
  </si>
  <si>
    <t>1-06-98-020</t>
  </si>
  <si>
    <t>Construction in Progress-Infrastructure Assets</t>
  </si>
  <si>
    <t>1-06-98-030</t>
  </si>
  <si>
    <t>Construction in Progress-Buildings and Other Structures</t>
  </si>
  <si>
    <t>1-06-98-040</t>
  </si>
  <si>
    <t>Construction in Progress-Leased Assets</t>
  </si>
  <si>
    <t>1-06-98-050</t>
  </si>
  <si>
    <t>Construction in Progress-Leased Assets Improvements</t>
  </si>
  <si>
    <t>1-06-98-060</t>
  </si>
  <si>
    <t>Construction in Progress-Furniture and Fixtures</t>
  </si>
  <si>
    <t>1-06-98-070</t>
  </si>
  <si>
    <t>Construction in Progress-Heritage Assets</t>
  </si>
  <si>
    <t>1-06-98-080</t>
  </si>
  <si>
    <t>Construction in Progress-Service Concession Assets</t>
  </si>
  <si>
    <t>1-06-99-990</t>
  </si>
  <si>
    <t>Other Property, Plant and Equipment</t>
  </si>
  <si>
    <t>1-06-99-991</t>
  </si>
  <si>
    <t>Accumulated Depreciation-Other Property, Plant and Equipment</t>
  </si>
  <si>
    <t>1-08-01-020</t>
  </si>
  <si>
    <t>Computer Software</t>
  </si>
  <si>
    <t>1-08-01-021</t>
  </si>
  <si>
    <t>Accumulated Amortization-Computer Software</t>
  </si>
  <si>
    <t>1-99-01-010</t>
  </si>
  <si>
    <t>Advances for Operating Expenses</t>
  </si>
  <si>
    <t>1-99-01-020</t>
  </si>
  <si>
    <t>Advances for Payroll</t>
  </si>
  <si>
    <t>1-99-01-030</t>
  </si>
  <si>
    <t>Advances to Special Disbursing Officer</t>
  </si>
  <si>
    <t>1-99-01-040</t>
  </si>
  <si>
    <t>Advances to Officers and Employees</t>
  </si>
  <si>
    <t>1-99-02-010</t>
  </si>
  <si>
    <t>Advances to Contractors</t>
  </si>
  <si>
    <t>1-99-02-020</t>
  </si>
  <si>
    <t>Prepaid Rent</t>
  </si>
  <si>
    <t>1-99-02-050</t>
  </si>
  <si>
    <t>Prepaid Insurance</t>
  </si>
  <si>
    <t>1-99-02-100</t>
  </si>
  <si>
    <t>Prepaid Subscription</t>
  </si>
  <si>
    <t>1-99-02-990</t>
  </si>
  <si>
    <t>Other Prepayments</t>
  </si>
  <si>
    <t>1-99-03-020</t>
  </si>
  <si>
    <t>Guaranty Deposits</t>
  </si>
  <si>
    <t>1-99-03-990</t>
  </si>
  <si>
    <t>Other Deposits</t>
  </si>
  <si>
    <t>1-99-99-990A</t>
  </si>
  <si>
    <t>Other Current Assets</t>
  </si>
  <si>
    <t>1-99-99-990B</t>
  </si>
  <si>
    <t>Other Assets-unserviceable assets</t>
  </si>
  <si>
    <t>1-99-99-992</t>
  </si>
  <si>
    <t>Accumulated Impairment Losses-Other Assets</t>
  </si>
  <si>
    <t>2-01-01-010</t>
  </si>
  <si>
    <t>Accounts Payable</t>
  </si>
  <si>
    <t>2-01-01-020</t>
  </si>
  <si>
    <t>Due to Officers and Employees</t>
  </si>
  <si>
    <t>2-02-01-010</t>
  </si>
  <si>
    <t>Due to BIR</t>
  </si>
  <si>
    <t>2-02-01-020</t>
  </si>
  <si>
    <t>Due to GSIS</t>
  </si>
  <si>
    <t>2-02-01-030</t>
  </si>
  <si>
    <t>Due to PAG-IBIG</t>
  </si>
  <si>
    <t>2-02-01-040</t>
  </si>
  <si>
    <t>Due to PHILHEALTH</t>
  </si>
  <si>
    <t>2-02-01-050</t>
  </si>
  <si>
    <t>Due to NGAs</t>
  </si>
  <si>
    <t>2-02-01-060</t>
  </si>
  <si>
    <t>Due to other Government Corporations</t>
  </si>
  <si>
    <t>2-02-01-070</t>
  </si>
  <si>
    <t>Due to LGUs</t>
  </si>
  <si>
    <t>2-02-01-090</t>
  </si>
  <si>
    <t>Due to Treasurer of the Philippines</t>
  </si>
  <si>
    <t>2-02-01-110</t>
  </si>
  <si>
    <t>Due to SSS</t>
  </si>
  <si>
    <t>2-03-01-040</t>
  </si>
  <si>
    <t>Due to Operating Units</t>
  </si>
  <si>
    <t>2-03-01-050</t>
  </si>
  <si>
    <t>Due to Other Funds</t>
  </si>
  <si>
    <t>2-03-01-060</t>
  </si>
  <si>
    <t>Due to Central Office</t>
  </si>
  <si>
    <t>2-03-01-070</t>
  </si>
  <si>
    <t>Due to Regional Office</t>
  </si>
  <si>
    <t>2-04-01-010</t>
  </si>
  <si>
    <t>Trust Liabilities</t>
  </si>
  <si>
    <t>2-04-01-040</t>
  </si>
  <si>
    <t>Guaranty/Security Deposits Payable</t>
  </si>
  <si>
    <t>2-04-01-080</t>
  </si>
  <si>
    <t>Trust Liabilities-Disallowances/Charges</t>
  </si>
  <si>
    <t>2-05-01-990A</t>
  </si>
  <si>
    <t>Deferred Credits (ISF)</t>
  </si>
  <si>
    <t>2-05-01-990B</t>
  </si>
  <si>
    <t>Deferred Credits (PA/CIS/CIP)</t>
  </si>
  <si>
    <t>2-05-01-990C</t>
  </si>
  <si>
    <t>Other Deferred Credits</t>
  </si>
  <si>
    <t>2-05-02-010</t>
  </si>
  <si>
    <t>Unearned Revenue-Investment Property</t>
  </si>
  <si>
    <t>2-05-02-990</t>
  </si>
  <si>
    <t>Other Unearned Revenue</t>
  </si>
  <si>
    <t>2-06-01-010</t>
  </si>
  <si>
    <t>Pension Benefits Payable</t>
  </si>
  <si>
    <t>2-06-01-020</t>
  </si>
  <si>
    <t>Leave Benefits Payable</t>
  </si>
  <si>
    <t>2-06-01-030</t>
  </si>
  <si>
    <t>Retirement Gratuity Payable</t>
  </si>
  <si>
    <t>2-06-01-990</t>
  </si>
  <si>
    <t>Other Provisions</t>
  </si>
  <si>
    <t>2-99-99-990</t>
  </si>
  <si>
    <t>Other Payables</t>
  </si>
  <si>
    <t>3-01-01-010</t>
  </si>
  <si>
    <t>Accumulated Surplus/(Deficit)</t>
  </si>
  <si>
    <t>4-02-01-010</t>
  </si>
  <si>
    <t>Permit Fees</t>
  </si>
  <si>
    <t>4-02-01-020</t>
  </si>
  <si>
    <t>Registration Fees</t>
  </si>
  <si>
    <t>4-02-01-030</t>
  </si>
  <si>
    <t>Registration Plates, Tags and Stickers Fees</t>
  </si>
  <si>
    <t>4-02-01-040</t>
  </si>
  <si>
    <t>Clearance and Certification Fees</t>
  </si>
  <si>
    <t>4-02-01-090</t>
  </si>
  <si>
    <t>Legal Fees</t>
  </si>
  <si>
    <t>4-02-01-100</t>
  </si>
  <si>
    <t>Inspection Fees</t>
  </si>
  <si>
    <t>4-02-01-110</t>
  </si>
  <si>
    <t>Verification and Authentication Fees</t>
  </si>
  <si>
    <t>4-02-01-130</t>
  </si>
  <si>
    <t>Processing Fees</t>
  </si>
  <si>
    <t>4-02-01-140A</t>
  </si>
  <si>
    <t>ISF - Back Account - Penalty</t>
  </si>
  <si>
    <t>4-02-01-140B</t>
  </si>
  <si>
    <t>Pump Amortization - Interest and Penalty</t>
  </si>
  <si>
    <t>4-02-01-140C</t>
  </si>
  <si>
    <t>CIS Amortization - Interest and Penalty</t>
  </si>
  <si>
    <t>4-02-01-140D</t>
  </si>
  <si>
    <t>Other fines and penalties</t>
  </si>
  <si>
    <t>4-02-01-170</t>
  </si>
  <si>
    <t>Fees and Commissions Income</t>
  </si>
  <si>
    <t>4-02-01-990</t>
  </si>
  <si>
    <t>Other Service Income</t>
  </si>
  <si>
    <t>4-02-02-050A</t>
  </si>
  <si>
    <t>Equipment Rental - Internal (CA)</t>
  </si>
  <si>
    <t>4-02-02-050B</t>
  </si>
  <si>
    <t>Equipment Rental - External (CA)</t>
  </si>
  <si>
    <t>4-02-02-050C</t>
  </si>
  <si>
    <t>Equipment Rental - Internal (BA)</t>
  </si>
  <si>
    <t>4-02-02-050D</t>
  </si>
  <si>
    <t>Equipment Rental - External (BA)</t>
  </si>
  <si>
    <t>4-02-02-050E</t>
  </si>
  <si>
    <t>Income from NIA Facilities/Dormitory Operation</t>
  </si>
  <si>
    <t>4-02-02-050F</t>
  </si>
  <si>
    <t>Use of DCIEC Facilities/Equipments</t>
  </si>
  <si>
    <t>4-02-02-050G</t>
  </si>
  <si>
    <t>Rental of Motor Vehicles</t>
  </si>
  <si>
    <t>4-02-02-050H</t>
  </si>
  <si>
    <t>Other Rental/Lease Income</t>
  </si>
  <si>
    <t>4-02-02-090A</t>
  </si>
  <si>
    <t>Irrigation Service Fee-Principal (Current Account)</t>
  </si>
  <si>
    <t>4-02-02-090B</t>
  </si>
  <si>
    <t>Irrigation Service Fee-Principal (Back Account)</t>
  </si>
  <si>
    <t>4-02-02-090C</t>
  </si>
  <si>
    <t>Irrigation Service Fee-Principal (Back Account) - CAP</t>
  </si>
  <si>
    <t>4-02-02-090D</t>
  </si>
  <si>
    <t>ISF-Principal (BA) - Incentive Policy (MC#79 s. 2007)</t>
  </si>
  <si>
    <t>4-02-02-090E</t>
  </si>
  <si>
    <t>CIS Amortization - Principal (Current Account</t>
  </si>
  <si>
    <t>4-02-02-090F</t>
  </si>
  <si>
    <t>CIS Amortization - Principal (Back Account)</t>
  </si>
  <si>
    <t>4-02-02-090G</t>
  </si>
  <si>
    <t>CIP/CIS Equity</t>
  </si>
  <si>
    <t>4-02-02-090H</t>
  </si>
  <si>
    <t>Pump Amortization - Principal (Current Account)</t>
  </si>
  <si>
    <t>4-02-02-090I</t>
  </si>
  <si>
    <t>Pump Amortization - Principal (Back Account)</t>
  </si>
  <si>
    <t>4-02-02-090J</t>
  </si>
  <si>
    <t>Pump Equity - (Current Account)</t>
  </si>
  <si>
    <t>4-02-02-090K</t>
  </si>
  <si>
    <t>Pump Equity - (Back Account)</t>
  </si>
  <si>
    <t>4-02-02-130</t>
  </si>
  <si>
    <t>Income from Hostels/Dormitories and Other Like Facilities</t>
  </si>
  <si>
    <t>4-02-02-150</t>
  </si>
  <si>
    <t>Income from Printing and Publication</t>
  </si>
  <si>
    <t>4-02-02-160</t>
  </si>
  <si>
    <t>Sales Revenue</t>
  </si>
  <si>
    <t>4-02-02-180</t>
  </si>
  <si>
    <t>Guarantee Income</t>
  </si>
  <si>
    <t>4-02-02-190</t>
  </si>
  <si>
    <t>Fidelity Insurance Income</t>
  </si>
  <si>
    <t>4-02-02-210</t>
  </si>
  <si>
    <t>Interest Income</t>
  </si>
  <si>
    <t>4-02-02-230</t>
  </si>
  <si>
    <t>Fines and Penalties-Business Income</t>
  </si>
  <si>
    <t>4-02-02-340</t>
  </si>
  <si>
    <t>Management Fee</t>
  </si>
  <si>
    <t>4-02-02-990</t>
  </si>
  <si>
    <t>Other Business Income</t>
  </si>
  <si>
    <t>4-03-01-060</t>
  </si>
  <si>
    <t>Subsidy from Central Office</t>
  </si>
  <si>
    <t>4-03-01-070</t>
  </si>
  <si>
    <t>Subsidy from Regional Office</t>
  </si>
  <si>
    <t>4-04-02-010</t>
  </si>
  <si>
    <t>Donations in Cash</t>
  </si>
  <si>
    <t>4-04-02-020</t>
  </si>
  <si>
    <t>Donations in Kind</t>
  </si>
  <si>
    <t>4-04-03-010</t>
  </si>
  <si>
    <t>Grants in Cash</t>
  </si>
  <si>
    <t>4-04-03-020</t>
  </si>
  <si>
    <t>Grants in Kind</t>
  </si>
  <si>
    <t>4-05-01-010</t>
  </si>
  <si>
    <t>Gain on Foreign Exchange (FOREX)</t>
  </si>
  <si>
    <t>4-05-01-020</t>
  </si>
  <si>
    <t>Gain on Sale of Investments</t>
  </si>
  <si>
    <t>4-05-01-030</t>
  </si>
  <si>
    <t>Gain on Sale of Investment Property</t>
  </si>
  <si>
    <t>4-05-01-040</t>
  </si>
  <si>
    <t>Gain on Sale of Property, Plant and Equipment</t>
  </si>
  <si>
    <t>4-05-01-100</t>
  </si>
  <si>
    <t>Gain on Sale of Intangible Assets</t>
  </si>
  <si>
    <t>4-05-01-170</t>
  </si>
  <si>
    <t>Gain on Sale of Unserviceable Property</t>
  </si>
  <si>
    <t>4-05-01-990</t>
  </si>
  <si>
    <t>Other Gains</t>
  </si>
  <si>
    <t>4-06-01-010</t>
  </si>
  <si>
    <t>Sale of Garnished/Confiscated/Abandoned/Seized Goods and Property</t>
  </si>
  <si>
    <t>4-06-02-010</t>
  </si>
  <si>
    <t>Reversal of Impairment Loss</t>
  </si>
  <si>
    <t>4-06-99-010</t>
  </si>
  <si>
    <t>Proceeds from Insurance/Indemnities</t>
  </si>
  <si>
    <t>4-06-99-990A</t>
  </si>
  <si>
    <t>Miscellaneous Income - Bid Documents</t>
  </si>
  <si>
    <t>4-06-99-990B</t>
  </si>
  <si>
    <t>Miscellaneous Income - Sale of Goods and Materials</t>
  </si>
  <si>
    <t>4-06-99-990C</t>
  </si>
  <si>
    <t>Miscellaneous Income - Hauling/Milling/Drying</t>
  </si>
  <si>
    <t>4-06-99-990D</t>
  </si>
  <si>
    <t>Miscellaneous Income - Disallowance</t>
  </si>
  <si>
    <t>4-06-99-990E</t>
  </si>
  <si>
    <t>Miscellaneous Income - Payment for Lost Items</t>
  </si>
  <si>
    <t>4-06-99-990H</t>
  </si>
  <si>
    <t>Miscellaneous Income - Income from NIA Housing</t>
  </si>
  <si>
    <t>4-06-99-990I</t>
  </si>
  <si>
    <t>Miscellaneous Income - Laboratory Analysis - Soil and Water Sample/ Material Testing</t>
  </si>
  <si>
    <t>4-06-99-990J</t>
  </si>
  <si>
    <t>Miscellaneous Income - NHFMC</t>
  </si>
  <si>
    <t>4-06-99-990K</t>
  </si>
  <si>
    <t>Miscellaneous Income - Contract Price Adjustment / Liquidated Damages</t>
  </si>
  <si>
    <t>4-06-99-990L</t>
  </si>
  <si>
    <t>Miscellaneous Income - Scrap of Fixed Assets</t>
  </si>
  <si>
    <t>4-06-99-990M</t>
  </si>
  <si>
    <t>Miscellaneous Income - Land Development/Irrigation Development Cost</t>
  </si>
  <si>
    <t>4-06-99-990N</t>
  </si>
  <si>
    <t>Miscellaneous Income - BHEP</t>
  </si>
  <si>
    <t>4-06-99-990O</t>
  </si>
  <si>
    <t>Miscellaneous Income - SNAP</t>
  </si>
  <si>
    <t>4-06-99-990P</t>
  </si>
  <si>
    <t>Miscellaneous Income - MHEPP</t>
  </si>
  <si>
    <t>4-06-99-990Q</t>
  </si>
  <si>
    <t>Miscellaneous Income - FGHP</t>
  </si>
  <si>
    <t>4-06-99-990R</t>
  </si>
  <si>
    <t>Miscellaneous Income - NPC</t>
  </si>
  <si>
    <t>4-06-99-990S</t>
  </si>
  <si>
    <t>Miscellaneous Income - Drainage Fee</t>
  </si>
  <si>
    <t>4-06-99-990T</t>
  </si>
  <si>
    <t>Miscellaneous Income - Recovery Cost</t>
  </si>
  <si>
    <t>4-06-99-990U</t>
  </si>
  <si>
    <t>Miscellaneous Income - Filing Fee/Certification</t>
  </si>
  <si>
    <t>4-06-99-990V</t>
  </si>
  <si>
    <t>Other Miscellaneous Income</t>
  </si>
  <si>
    <t>5-01-01-010</t>
  </si>
  <si>
    <t>Salaries &amp; Wages - Regular</t>
  </si>
  <si>
    <t>5-01-01-020A</t>
  </si>
  <si>
    <t>Salaries and Wages- Casual</t>
  </si>
  <si>
    <t>5-01-01-020B</t>
  </si>
  <si>
    <t>Salaries and Wages- Contractual</t>
  </si>
  <si>
    <t>5-01-02-010</t>
  </si>
  <si>
    <t>Personal Economic Relief Allowance (PERA)</t>
  </si>
  <si>
    <t>5-01-02-020</t>
  </si>
  <si>
    <t>Representation Allowance (RA)</t>
  </si>
  <si>
    <t>5-01-02-030</t>
  </si>
  <si>
    <t>Transportation Allowance (TA)</t>
  </si>
  <si>
    <t>5-01-02-040</t>
  </si>
  <si>
    <t>Clothing/Uniform Allowance</t>
  </si>
  <si>
    <t>5-01-02-080</t>
  </si>
  <si>
    <t>Productivity Incentive Allowance</t>
  </si>
  <si>
    <t>5-01-02-100</t>
  </si>
  <si>
    <t>Honoraria</t>
  </si>
  <si>
    <t>5-01-02-110</t>
  </si>
  <si>
    <t>Hazard Pay</t>
  </si>
  <si>
    <t>5-01-02-120</t>
  </si>
  <si>
    <t>Longevity Pay</t>
  </si>
  <si>
    <t>5-01-02-130</t>
  </si>
  <si>
    <t>Overtime and Night Pay</t>
  </si>
  <si>
    <t>5-01-02-140</t>
  </si>
  <si>
    <t>Year-End Bonus</t>
  </si>
  <si>
    <t>5-01-02-150</t>
  </si>
  <si>
    <t>Cash Gift</t>
  </si>
  <si>
    <t>5-01-02-160</t>
  </si>
  <si>
    <t>Mid-Year Bonus</t>
  </si>
  <si>
    <t>5-01-02-990A</t>
  </si>
  <si>
    <t>Other Bonuses and Allowances - Medical Allowance</t>
  </si>
  <si>
    <t>5-01-02-990B</t>
  </si>
  <si>
    <t>Other Bonuses and Allowances - Meal Allowance</t>
  </si>
  <si>
    <t>5-01-02-990C</t>
  </si>
  <si>
    <t>Other Bonuses and Allowances - Children Allowance</t>
  </si>
  <si>
    <t>5-01-02-990D</t>
  </si>
  <si>
    <t>Other Bonuses and Allowances - C N A Incentive Allowance</t>
  </si>
  <si>
    <t>5-01-02-990E</t>
  </si>
  <si>
    <t>Other Bonuses and Allowances - Commutable Allowance/Fringe Benefits</t>
  </si>
  <si>
    <t>5-01-02-990F</t>
  </si>
  <si>
    <t>Other Bonuses and Allowances - Fiscals Assistance</t>
  </si>
  <si>
    <t>5-01-02-990G</t>
  </si>
  <si>
    <t>Other Bonuses and Allowances - Anniversary Bonus</t>
  </si>
  <si>
    <t>5-01-02-990H</t>
  </si>
  <si>
    <t>Other Bonuses and Allowances - Grocery Allowance</t>
  </si>
  <si>
    <t>5-01-02-990I</t>
  </si>
  <si>
    <t>Other Bonuses and Allowances - Rice Subsidy Allowance</t>
  </si>
  <si>
    <t>5-01-02-990J</t>
  </si>
  <si>
    <t>Other Bonuses and Allowances - Educational Assistance</t>
  </si>
  <si>
    <t>5-01-02-990K</t>
  </si>
  <si>
    <t>Other Bonuses and Allowances - Performance Based Bonus (PBB)</t>
  </si>
  <si>
    <t>5-01-02-990L</t>
  </si>
  <si>
    <t>Other Bonuses and Allowances - Personnel Enhancement Incentive (PEI)</t>
  </si>
  <si>
    <t>5-01-02-990M</t>
  </si>
  <si>
    <t>Other Bonuses and Allowances - Service Recognition Incentive (SRI)</t>
  </si>
  <si>
    <t>5-01-02-990N</t>
  </si>
  <si>
    <t>Other Bonuses and Allowances</t>
  </si>
  <si>
    <t>5-01-03-010</t>
  </si>
  <si>
    <t>Retirement and Life Insurance Premiums</t>
  </si>
  <si>
    <t>5-01-03-020</t>
  </si>
  <si>
    <t>Pag-IBIG Contributions</t>
  </si>
  <si>
    <t>5-01-03-030</t>
  </si>
  <si>
    <t>PhilHealth Contributions</t>
  </si>
  <si>
    <t>5-01-03-040</t>
  </si>
  <si>
    <t>Employees Compensation Insurance Premiums</t>
  </si>
  <si>
    <t>5-01-04-010</t>
  </si>
  <si>
    <t>Pension Benefits</t>
  </si>
  <si>
    <t>5-01-04-020</t>
  </si>
  <si>
    <t>Retirement Gratuity</t>
  </si>
  <si>
    <t>5-01-04-030</t>
  </si>
  <si>
    <t>Terminal Leave Benefits</t>
  </si>
  <si>
    <t>5-01-04-990</t>
  </si>
  <si>
    <t>Other Personnel Benefits</t>
  </si>
  <si>
    <t>5-02-01-010</t>
  </si>
  <si>
    <t>Travelling Expenses-Local</t>
  </si>
  <si>
    <t>5-02-01-020</t>
  </si>
  <si>
    <t>Travelling Expenses-Foreign</t>
  </si>
  <si>
    <t>5-02-02-010</t>
  </si>
  <si>
    <t>Training Expenses</t>
  </si>
  <si>
    <t>5-02-02-020</t>
  </si>
  <si>
    <t>Scholarship Grants/Expenses</t>
  </si>
  <si>
    <t>5-02-03-010</t>
  </si>
  <si>
    <t>Office Supplies Expenses</t>
  </si>
  <si>
    <t>5-02-03-020</t>
  </si>
  <si>
    <t>Accountable Forms Expenses</t>
  </si>
  <si>
    <t>5-02-03-070</t>
  </si>
  <si>
    <t>Drugs and Medicines Expenses</t>
  </si>
  <si>
    <t>5-02-03-080</t>
  </si>
  <si>
    <t>Medical, Dental and Laboratory Supplies Expenses</t>
  </si>
  <si>
    <t>5-02-03-090</t>
  </si>
  <si>
    <t>Fuel, Oil and Lubricants Expenses</t>
  </si>
  <si>
    <t>5-02-03-210</t>
  </si>
  <si>
    <t>Semi-Expendable Machinery and Equipment Expense</t>
  </si>
  <si>
    <t>5-02-03-220</t>
  </si>
  <si>
    <t>Semi-Expendable Furniture, Fixtures and Books Expense</t>
  </si>
  <si>
    <t>5-02-03-990</t>
  </si>
  <si>
    <t>Other Supplies and Materials Expenses</t>
  </si>
  <si>
    <t>5-02-04-010</t>
  </si>
  <si>
    <t>Water Expense</t>
  </si>
  <si>
    <t>5-02-04-020</t>
  </si>
  <si>
    <t>Electricity Expenses</t>
  </si>
  <si>
    <t>5-02-04-990</t>
  </si>
  <si>
    <t>Other Utility Expenses</t>
  </si>
  <si>
    <t>5-02-05-010</t>
  </si>
  <si>
    <t>Postage and Courier Expenses</t>
  </si>
  <si>
    <t>5-02-05-020A</t>
  </si>
  <si>
    <t>Communications Expenses - Mobile</t>
  </si>
  <si>
    <t>5-02-05-020B</t>
  </si>
  <si>
    <t>Communications Expenses - Landline</t>
  </si>
  <si>
    <t>5-02-05-030</t>
  </si>
  <si>
    <t>Internet Subscription Expenses</t>
  </si>
  <si>
    <t>5-02-06-010</t>
  </si>
  <si>
    <t>Awards/Rewards Expenses</t>
  </si>
  <si>
    <t>5-02-06-020</t>
  </si>
  <si>
    <t>Prizes</t>
  </si>
  <si>
    <t>5-02-06-030</t>
  </si>
  <si>
    <t>Indemnities</t>
  </si>
  <si>
    <t>5-02-07-010</t>
  </si>
  <si>
    <t>Survey Expenses</t>
  </si>
  <si>
    <t>5-02-07-020</t>
  </si>
  <si>
    <t>Research, Exploration and Development Expenses</t>
  </si>
  <si>
    <t>5-02-08-010</t>
  </si>
  <si>
    <t>Demolition and Relocation Expenses</t>
  </si>
  <si>
    <t>5-02-08-020</t>
  </si>
  <si>
    <t>Desilting, Drilling and Dredging Expenses</t>
  </si>
  <si>
    <t>5-02-09-010</t>
  </si>
  <si>
    <t>Generation, Transmission and Distribution Expenses</t>
  </si>
  <si>
    <t>5-02-10-010</t>
  </si>
  <si>
    <t>Confidential Expenses</t>
  </si>
  <si>
    <t>5-02-10-020</t>
  </si>
  <si>
    <t>Intelligence Expenses</t>
  </si>
  <si>
    <t>5-02-10-030</t>
  </si>
  <si>
    <t>Extraordinary and Miscellaneous Expenses</t>
  </si>
  <si>
    <t>5-02-11-010</t>
  </si>
  <si>
    <t>Legal Services</t>
  </si>
  <si>
    <t>5-02-11-020</t>
  </si>
  <si>
    <t>Auditing Services</t>
  </si>
  <si>
    <t>5-02-11-030</t>
  </si>
  <si>
    <t>Consultancy Services</t>
  </si>
  <si>
    <t>5-02-11-990</t>
  </si>
  <si>
    <t>Other Professional Services</t>
  </si>
  <si>
    <t>5-02-12-010</t>
  </si>
  <si>
    <t>Environment/Sanitary Services</t>
  </si>
  <si>
    <t>5-02-12-020</t>
  </si>
  <si>
    <t>Janitorial Services</t>
  </si>
  <si>
    <t>5-02-12-030</t>
  </si>
  <si>
    <t>Security Services</t>
  </si>
  <si>
    <t>5-02-12-990</t>
  </si>
  <si>
    <t>Other General Services</t>
  </si>
  <si>
    <t>5-02-13-020C</t>
  </si>
  <si>
    <t>Repairs and Maintenance - Other Land Improvements</t>
  </si>
  <si>
    <t>5-02-13-030B</t>
  </si>
  <si>
    <t>Repairs and Maintenance - Water Supply Systems</t>
  </si>
  <si>
    <t>5-02-13-030D</t>
  </si>
  <si>
    <t>Repairs and Maintenance - Communications Networks</t>
  </si>
  <si>
    <t>5-02-13-030F</t>
  </si>
  <si>
    <t>Repairs and Maintenance - Other Infrastructure Assets</t>
  </si>
  <si>
    <t>5-02-13-040A</t>
  </si>
  <si>
    <t>Repairs and Maintenance - Buildings</t>
  </si>
  <si>
    <t>5-02-13-040B</t>
  </si>
  <si>
    <t>Repairs and Maintenance - Hostels and Dormitories</t>
  </si>
  <si>
    <t>5-02-13-040C</t>
  </si>
  <si>
    <t>Repairs and Maintenance - Other Structures</t>
  </si>
  <si>
    <t>5-02-13-050A</t>
  </si>
  <si>
    <t>Repairs and Maintenance - Machinery</t>
  </si>
  <si>
    <t>5-02-13-050B</t>
  </si>
  <si>
    <t>Repairs and Maintenance - Office Equipment</t>
  </si>
  <si>
    <t>5-02-13-050C</t>
  </si>
  <si>
    <t>Repairs and Maintenance - ICT Equipment</t>
  </si>
  <si>
    <t>5-02-13-050F</t>
  </si>
  <si>
    <t>Repairs and Maintenance - Communications Equipment</t>
  </si>
  <si>
    <t>5-02-13-050G</t>
  </si>
  <si>
    <t>Repairs and Maintenance - Construction and Heavy Equipment</t>
  </si>
  <si>
    <t>5-02-13-050H</t>
  </si>
  <si>
    <t>Repairs and Maintenance - Disaster Response and Rescue Equipment</t>
  </si>
  <si>
    <t>5-02-13-050I</t>
  </si>
  <si>
    <t>Repairs and Maintenance - Military, Police and Security Equipment</t>
  </si>
  <si>
    <t>5-02-13-050J</t>
  </si>
  <si>
    <t>Repairs and Maintenance - Medical Equipment</t>
  </si>
  <si>
    <t>5-02-13-050K</t>
  </si>
  <si>
    <t>Repairs and Maintenance - Printing Equipment</t>
  </si>
  <si>
    <t>5-02-13-050L</t>
  </si>
  <si>
    <t>Repairs and Maintenance - Sports Equipment</t>
  </si>
  <si>
    <t>5-02-13-050M</t>
  </si>
  <si>
    <t>Repairs and Maintenance - Technical and Scientific Equipment</t>
  </si>
  <si>
    <t>5-02-13-050O</t>
  </si>
  <si>
    <t>Repairs and Maintenance - Other Equipment</t>
  </si>
  <si>
    <t>5-02-13-060A</t>
  </si>
  <si>
    <t>Repairs and Maintenance - Motor Vehicles</t>
  </si>
  <si>
    <t>5-02-13-060D</t>
  </si>
  <si>
    <t>Repairs and Maintenance - Other Transportation Equipment</t>
  </si>
  <si>
    <t>5-02-13-070</t>
  </si>
  <si>
    <t>Repairs and Maintenance - Furniture and Fixtures</t>
  </si>
  <si>
    <t>5-02-13-090A</t>
  </si>
  <si>
    <t>Repairs and Maintenance - Land</t>
  </si>
  <si>
    <t>5-02-13-090B</t>
  </si>
  <si>
    <t>5-02-13-090C</t>
  </si>
  <si>
    <t>Repairs and Maintenance - Other Leased Assets Improvements</t>
  </si>
  <si>
    <t>5-02-13-210</t>
  </si>
  <si>
    <t>Repairs and Maintenance-Semi-Expendable Machinery and Equipment</t>
  </si>
  <si>
    <t>5-02-13-220</t>
  </si>
  <si>
    <t>Repairs and Maintenance-Semi-Expendable Furniture, Fixtures and Books</t>
  </si>
  <si>
    <t>5-02-13-980</t>
  </si>
  <si>
    <t>Repairs and Maintenance-Others</t>
  </si>
  <si>
    <t>5-02-13-990</t>
  </si>
  <si>
    <t>Repairs and Maintenance-Other Property, Plant and Equipment</t>
  </si>
  <si>
    <t>5-02-14-070</t>
  </si>
  <si>
    <t>Subsidy to Regional Offices/Branch Offices</t>
  </si>
  <si>
    <t>5-02-14-080</t>
  </si>
  <si>
    <t>Subsidy to Operating Units</t>
  </si>
  <si>
    <t>5-02-14-090</t>
  </si>
  <si>
    <t>Subsidy to Other Funds</t>
  </si>
  <si>
    <t>5-02-14-120</t>
  </si>
  <si>
    <t>Charity Expenses</t>
  </si>
  <si>
    <t>5-02-15-010</t>
  </si>
  <si>
    <t>Taxes, Duties and Licenses</t>
  </si>
  <si>
    <t>5-02-15-020</t>
  </si>
  <si>
    <t>Fidelity Bond Premiums</t>
  </si>
  <si>
    <t>5-02-15-030</t>
  </si>
  <si>
    <t>Insurance Expenses</t>
  </si>
  <si>
    <t>5-02-16-010</t>
  </si>
  <si>
    <t>Labor and Wages</t>
  </si>
  <si>
    <t>5-02-99-010</t>
  </si>
  <si>
    <t>Advertising, Promotional and Marketing Expenses</t>
  </si>
  <si>
    <t>5-02-99-020</t>
  </si>
  <si>
    <t>Printing and Publication Expenses</t>
  </si>
  <si>
    <t>5-02-99-030</t>
  </si>
  <si>
    <t>Representation Expenses</t>
  </si>
  <si>
    <t>5-02-99-040</t>
  </si>
  <si>
    <t>Transportation and Delivery Expenses</t>
  </si>
  <si>
    <t>5-02-99-050</t>
  </si>
  <si>
    <t>Rent/Lease Expenses</t>
  </si>
  <si>
    <t>5-02-99-060</t>
  </si>
  <si>
    <t>Membership Dues and Contributions to Organizations</t>
  </si>
  <si>
    <t>5-02-99-070</t>
  </si>
  <si>
    <t>Subscription Expenses</t>
  </si>
  <si>
    <t>5-02-99-080</t>
  </si>
  <si>
    <t>Donations</t>
  </si>
  <si>
    <t>5-02-99-090</t>
  </si>
  <si>
    <t>Litigation/Acquired Assets Expenses</t>
  </si>
  <si>
    <t>5-02-99-140</t>
  </si>
  <si>
    <t>Documentary Stamp Tax Expense</t>
  </si>
  <si>
    <t>5-02-99-150</t>
  </si>
  <si>
    <t>Fees and Commission Expense</t>
  </si>
  <si>
    <t>5-02-99-210</t>
  </si>
  <si>
    <t>Legal Defense Expense</t>
  </si>
  <si>
    <t>5-02-99-990A</t>
  </si>
  <si>
    <t>Other MOOE - Meals and Snacks</t>
  </si>
  <si>
    <t>5-02-99-990B</t>
  </si>
  <si>
    <t>Other MOOE - Laboratory Analysis of Soil &amp; Water Sample</t>
  </si>
  <si>
    <t>5-02-99-990C</t>
  </si>
  <si>
    <t>Other MOOE - Contractual Services</t>
  </si>
  <si>
    <t>5-02-99-990D</t>
  </si>
  <si>
    <t>Other MOOE - Job Order</t>
  </si>
  <si>
    <t>5-02-99-990E</t>
  </si>
  <si>
    <t>Other MOOE - Collection/Viability Bonus</t>
  </si>
  <si>
    <t>5-02-99-990F</t>
  </si>
  <si>
    <t>Other MOOE - Collection Expenses</t>
  </si>
  <si>
    <t>5-02-99-990G</t>
  </si>
  <si>
    <t>Other MOOE - Motorcycle Allowance</t>
  </si>
  <si>
    <t>5-02-99-990H</t>
  </si>
  <si>
    <t>Other MOOE - Sports</t>
  </si>
  <si>
    <t>5-02-99-990I</t>
  </si>
  <si>
    <t>Other MOOE - Rice Subsidy Allowance</t>
  </si>
  <si>
    <t>5-02-99-990J</t>
  </si>
  <si>
    <t>Other MOOE - Gratuity Pay</t>
  </si>
  <si>
    <t>5-02-99-990K</t>
  </si>
  <si>
    <t>Other Misc. Expense- APE</t>
  </si>
  <si>
    <t>5-02-99-990L</t>
  </si>
  <si>
    <t>Other Misc. Expense- IA Remuneration for Maintenance</t>
  </si>
  <si>
    <t>5-02-99-990M</t>
  </si>
  <si>
    <t>Other Misc. Expense- IA Remuneration for Operations</t>
  </si>
  <si>
    <t>5-02-99-990N</t>
  </si>
  <si>
    <t>Other Misc. Expense- COVID 19 Expenses</t>
  </si>
  <si>
    <t>5-02-99-990O</t>
  </si>
  <si>
    <t>Other Misc. Expense- various expenses</t>
  </si>
  <si>
    <t>5-05-01-020B</t>
  </si>
  <si>
    <t>Depreciation - Other Land Improvements</t>
  </si>
  <si>
    <t>5-05-01-030B</t>
  </si>
  <si>
    <t>Depreciation - Flood Control System</t>
  </si>
  <si>
    <t>5-05-01-030C</t>
  </si>
  <si>
    <t>Depreciation - Water Supply Systems</t>
  </si>
  <si>
    <t>5-05-01-030E</t>
  </si>
  <si>
    <t>Depreciation - Communications Networks</t>
  </si>
  <si>
    <t>5-05-01-030F</t>
  </si>
  <si>
    <t>Depreciation - Other Infrastructure Assets</t>
  </si>
  <si>
    <t>5-05-01-040A</t>
  </si>
  <si>
    <t>Depreciation - Buildings</t>
  </si>
  <si>
    <t>5-05-01-040B</t>
  </si>
  <si>
    <t>Depreciation - Hostels and Dormitories</t>
  </si>
  <si>
    <t>5-05-01-040C</t>
  </si>
  <si>
    <t>Depreciation - Other Structures</t>
  </si>
  <si>
    <t>5-05-01-050A</t>
  </si>
  <si>
    <t>Depreciation - Machinery</t>
  </si>
  <si>
    <t>5-05-01-050B</t>
  </si>
  <si>
    <t>Depreciation - Office Equipment</t>
  </si>
  <si>
    <t>5-05-01-050C</t>
  </si>
  <si>
    <t>Depreciation - Information and Communications Technology Equipment</t>
  </si>
  <si>
    <t>5-05-01-050F</t>
  </si>
  <si>
    <t>Depreciation - Communications Equipment</t>
  </si>
  <si>
    <t>5-05-01-050G</t>
  </si>
  <si>
    <t>Depreciation - Construction and Heavy Equipment</t>
  </si>
  <si>
    <t>5-05-01-050H</t>
  </si>
  <si>
    <t>Depreciation - Disaster Response and Rescue Equipment</t>
  </si>
  <si>
    <t>5-05-01-050I</t>
  </si>
  <si>
    <t>Depreciation - Military, Police and Security Equipment</t>
  </si>
  <si>
    <t>5-05-01-050J</t>
  </si>
  <si>
    <t>Depreciation - Medical Equipment</t>
  </si>
  <si>
    <t>5-05-01-050K</t>
  </si>
  <si>
    <t>Depreciation - Printing Equipment</t>
  </si>
  <si>
    <t>5-05-01-050L</t>
  </si>
  <si>
    <t>Depreciation - Sports Equipment</t>
  </si>
  <si>
    <t>5-05-01-050M</t>
  </si>
  <si>
    <t>Depreciation - Technical and Scientific Equipment</t>
  </si>
  <si>
    <t>5-05-01-050N</t>
  </si>
  <si>
    <t>Depreciation - Kitchen Equipment</t>
  </si>
  <si>
    <t>5-05-01-050O</t>
  </si>
  <si>
    <t>Depreciation - Electrical Equipment</t>
  </si>
  <si>
    <t>5-05-01-050P</t>
  </si>
  <si>
    <t>Depreciation - Other Equipment</t>
  </si>
  <si>
    <t>5-05-01-060A</t>
  </si>
  <si>
    <t>Depreciation - Motor Vehicles</t>
  </si>
  <si>
    <t>5-05-01-060D</t>
  </si>
  <si>
    <t>Depreciation - Other Transportation Equipment</t>
  </si>
  <si>
    <t>5-05-01-070A</t>
  </si>
  <si>
    <t>Depreciation - Furniture and Fixtures</t>
  </si>
  <si>
    <t>5-05-01-070B</t>
  </si>
  <si>
    <t>Depreciation - Books</t>
  </si>
  <si>
    <t>5-05-01-110B</t>
  </si>
  <si>
    <t>Depreciation - Service Concession-Water Supply Systems</t>
  </si>
  <si>
    <t>5-05-01-110E</t>
  </si>
  <si>
    <t>Depreciation - Other Service Concession Assets</t>
  </si>
  <si>
    <t>5-05-01-990</t>
  </si>
  <si>
    <t>Depreciation - Other Property, Plant and Equipment</t>
  </si>
  <si>
    <t>5-05-02-010</t>
  </si>
  <si>
    <t>Amortization-Intangible Assets</t>
  </si>
  <si>
    <t>5-05-03-020</t>
  </si>
  <si>
    <t>Impairment Loss-Loans and Receivables</t>
  </si>
  <si>
    <t>5-05-03-060</t>
  </si>
  <si>
    <t>Impairment Loss-Other Receivables</t>
  </si>
  <si>
    <t>5-05-03-070</t>
  </si>
  <si>
    <t>Impairment Loss-Inventories</t>
  </si>
  <si>
    <t>5-05-03-090</t>
  </si>
  <si>
    <t>Impairment Loss-Property, Plant and Equipment</t>
  </si>
  <si>
    <t>5-05-03-990</t>
  </si>
  <si>
    <t>Impairment Loss-Other Assets</t>
  </si>
  <si>
    <t>5-05-04-040</t>
  </si>
  <si>
    <t>Loss on Sale of Property, Plant and Equipment</t>
  </si>
  <si>
    <t>5-05-04-070</t>
  </si>
  <si>
    <t>Loss on Sale of Intangible Assets</t>
  </si>
  <si>
    <t>5-05-04-080</t>
  </si>
  <si>
    <t>Loss on Sale of Assets</t>
  </si>
  <si>
    <t>5-05-04-090</t>
  </si>
  <si>
    <t>Loss of Assets</t>
  </si>
  <si>
    <t>5-05-04-250</t>
  </si>
  <si>
    <t>Loss on Sale of Unserviceable Propoerty</t>
  </si>
  <si>
    <t>5-05-04-990</t>
  </si>
  <si>
    <t>Other Losses</t>
  </si>
  <si>
    <t>MANLANGIT, DINDO Z.</t>
  </si>
  <si>
    <t>MELGAR, FREDERICK T.</t>
  </si>
  <si>
    <t>LUMBAO, JOSHUA A.</t>
  </si>
  <si>
    <t>TAPIA, KAYCEELYN M.</t>
  </si>
  <si>
    <t>TORIO, JOMEL M.</t>
  </si>
  <si>
    <t>BRIOSO, JOHN LEARRY A.</t>
  </si>
  <si>
    <t>Engineering Assistant B</t>
  </si>
  <si>
    <t>Utility Worker A</t>
  </si>
  <si>
    <t>LFP</t>
  </si>
  <si>
    <t>Virac, Catanduanes</t>
  </si>
  <si>
    <t>MARK ANJO T. ALNAS</t>
  </si>
  <si>
    <t>Engineering A</t>
  </si>
  <si>
    <t>ANGELO V. MARQUEZ</t>
  </si>
  <si>
    <t>Acting Head, NIA Catanduanes Sub-Office</t>
  </si>
  <si>
    <t>D.Z. MANLANGIT &amp; 6</t>
  </si>
  <si>
    <t>NIA, ALBAY-CATANDUANES IMO,</t>
  </si>
  <si>
    <t>Albay-Catanduanes Irrigation Management Office</t>
  </si>
  <si>
    <t>BEO, EDILBERTO R.</t>
  </si>
  <si>
    <t>Clerk Processor B</t>
  </si>
  <si>
    <t>Item 1-Utilized in various institutional works in Catanduanes</t>
  </si>
  <si>
    <t>0897067080</t>
  </si>
  <si>
    <t>0897059835</t>
  </si>
  <si>
    <t>0897091518</t>
  </si>
  <si>
    <t>E.R. BEO</t>
  </si>
  <si>
    <t>0897084236</t>
  </si>
  <si>
    <t>0897060523</t>
  </si>
  <si>
    <t>0897084228</t>
  </si>
  <si>
    <t>SEPTEMBER 16-30, 2024</t>
  </si>
  <si>
    <t>Item 1 - Utilized in various institutional works in Catanduanes; Item 2-Utilized in various institutional works in Catanduanes; Item 3 - Utilized in various institutional works in Catanduanes - Item 4 Utilized in gathering date and other survey related reports in Albay and Catandunaes projects; Item 5- Utilized in the monitoring, supervision, of LMC Works/FAW and preparation of related works; Item 6- Utilized in the survey works, monitoring, supervision, of LMC/FAW Works; Item 7 -Utilized in clerical and admin-related works in Catandunaes Sub-Office; Item 8 - Utilize in the janitorial and other office maintenance works and as a watchman/To assist in the monitoring and inspection of projects under FAW/LMC works.</t>
  </si>
  <si>
    <t>Irrigator's Development Officer A</t>
  </si>
  <si>
    <t>Research Assistant B</t>
  </si>
  <si>
    <t>BEO. JOMER L.</t>
  </si>
  <si>
    <t>3) I CERTIFY on my official that I have this ____ day of _____________, 2024 paid in cash to each person whose name appears having presented him self established his/her identity and affix his/her signature or thumbmark on the space provided.</t>
  </si>
  <si>
    <t>OFFICE OF THE PRESIDENT</t>
  </si>
  <si>
    <t>For the period:</t>
  </si>
  <si>
    <t>JANUARY 1-15, 2025</t>
  </si>
  <si>
    <t>Administrative Services Assistant B</t>
  </si>
  <si>
    <t>OT</t>
  </si>
  <si>
    <t>ARCILLA, MA. ELAINE E.</t>
  </si>
  <si>
    <t>Sr Irrigator's Development Officer A</t>
  </si>
  <si>
    <t>Engineer B</t>
  </si>
  <si>
    <t>Name</t>
  </si>
  <si>
    <t>CATANDUANES/SAN ANDRES</t>
  </si>
  <si>
    <t>Corporate Accounts Analyst</t>
  </si>
  <si>
    <t>MA. ELAINE E. ARCILLA</t>
  </si>
  <si>
    <t>JULY 1-15, 2025</t>
  </si>
  <si>
    <t xml:space="preserve">                      Serial No. ____________________</t>
  </si>
  <si>
    <t>Date : ________________________</t>
  </si>
  <si>
    <t xml:space="preserve">                                                                                 Total</t>
  </si>
  <si>
    <r>
      <t>Certified:</t>
    </r>
    <r>
      <rPr>
        <sz val="11"/>
        <rFont val="Calibri Light"/>
        <family val="1"/>
        <scheme val="major"/>
      </rPr>
      <t xml:space="preserve">  Budget available and utilized for</t>
    </r>
  </si>
  <si>
    <t xml:space="preserve"> the purpose/adjustment necessary as</t>
  </si>
  <si>
    <t xml:space="preserve"> indicated above</t>
  </si>
  <si>
    <t xml:space="preserve">Signature      : </t>
  </si>
  <si>
    <t>____________________________________</t>
  </si>
  <si>
    <t>Signature      :</t>
  </si>
  <si>
    <t>______________________________</t>
  </si>
  <si>
    <r>
      <t>___</t>
    </r>
    <r>
      <rPr>
        <b/>
        <u/>
        <sz val="11"/>
        <rFont val="Calibri Light"/>
        <family val="1"/>
        <scheme val="major"/>
      </rPr>
      <t>_ENGR. ANGELO V. MARQUEZ</t>
    </r>
    <r>
      <rPr>
        <b/>
        <sz val="11"/>
        <rFont val="Calibri Light"/>
        <family val="1"/>
        <scheme val="major"/>
      </rPr>
      <t>______</t>
    </r>
  </si>
  <si>
    <r>
      <t>____</t>
    </r>
    <r>
      <rPr>
        <b/>
        <u/>
        <sz val="11"/>
        <rFont val="Calibri Light"/>
        <family val="1"/>
        <scheme val="major"/>
      </rPr>
      <t>VIDA E. PITALLANO, CPA</t>
    </r>
    <r>
      <rPr>
        <b/>
        <sz val="11"/>
        <rFont val="Calibri Light"/>
        <family val="1"/>
        <scheme val="major"/>
      </rPr>
      <t>_____</t>
    </r>
  </si>
  <si>
    <t>Position        :</t>
  </si>
  <si>
    <r>
      <t>__</t>
    </r>
    <r>
      <rPr>
        <u/>
        <sz val="10"/>
        <rFont val="Calibri Light"/>
        <family val="1"/>
        <scheme val="major"/>
      </rPr>
      <t>_Acting Head, NIA Catanduanes Sub-Office__</t>
    </r>
    <r>
      <rPr>
        <sz val="10"/>
        <rFont val="Calibri Light"/>
        <family val="1"/>
        <scheme val="major"/>
      </rPr>
      <t>___</t>
    </r>
  </si>
  <si>
    <r>
      <t>____</t>
    </r>
    <r>
      <rPr>
        <u/>
        <sz val="11"/>
        <rFont val="Calibri Light"/>
        <family val="1"/>
        <scheme val="major"/>
      </rPr>
      <t>Corporate Accounts Analyst____</t>
    </r>
    <r>
      <rPr>
        <sz val="11"/>
        <rFont val="Calibri Light"/>
        <family val="1"/>
        <scheme val="major"/>
      </rPr>
      <t>_</t>
    </r>
  </si>
  <si>
    <t>Date             :</t>
  </si>
  <si>
    <t>_______________________________</t>
  </si>
  <si>
    <t>____________________________</t>
  </si>
  <si>
    <t xml:space="preserve">BURS/JEV/RCI No.        </t>
  </si>
  <si>
    <t>NIA-ACIMO-FIN-INT-Form06 Rev07</t>
  </si>
  <si>
    <r>
      <t>___</t>
    </r>
    <r>
      <rPr>
        <b/>
        <u/>
        <sz val="10"/>
        <rFont val="Calibri Light"/>
        <family val="1"/>
        <scheme val="major"/>
      </rPr>
      <t>_ENGR. ANGELO V. MARQUEZ</t>
    </r>
    <r>
      <rPr>
        <b/>
        <sz val="10"/>
        <rFont val="Calibri Light"/>
        <family val="1"/>
        <scheme val="major"/>
      </rPr>
      <t xml:space="preserve">_____ </t>
    </r>
  </si>
  <si>
    <t xml:space="preserve">D. Approved for Payment </t>
  </si>
  <si>
    <t>ENGR. MARK CLOYD G. SO</t>
  </si>
  <si>
    <t>Acting Division Manager</t>
  </si>
  <si>
    <t>NIA-ACIMO-FIN-INT-Form13 Rev07</t>
  </si>
  <si>
    <t>Wages for the period July 1-15, 2025.</t>
  </si>
  <si>
    <t>To Cash Advance for the wages for the period July 1-15, 2025.</t>
  </si>
  <si>
    <t>BIR 3%</t>
  </si>
  <si>
    <t>3) I CERTIFY on my official that I have this ____ day of _____________, 2026 paid in cash to each person whose name appears having presented him self established his/her identity and affix his/her signature or thumbmark on the space provided.</t>
  </si>
  <si>
    <t>No. of
Compressed days
worked</t>
  </si>
  <si>
    <t>BEO, EDILBERTO JR. R.</t>
  </si>
  <si>
    <t>Item 1 - To be utilized in the clerical works in Catanduanes Sub-Office; To perform other tasks as required; Item 2 -To be utilized in various institutional works in Catanduanes; Item 3- To be utilized in the janitorial and other office maintenance works; and as Watchman; To assist in the monitoring and inspection of projects under FAW/LMC works (Catanduanes Sub-Office); Item 4- To be utilized in the survey works, monitoring, supervision and preparation of related reports of CY 2026 projects of Alinawan CIS, Tinago-Villa Aurora CIS, and San Jose CIS; To be utilized in monitoring, supervision, and preparation of related reports/documents of CY 2025 carry over SPIP for Aroyao SPIP; To be utilized in preparation of POW and Plans of additional CY 2026 projects of Hicming CIS and Mambang CIS; To perform other related tasks required to be accomplished; Item 5- To monitor the ongoing implementation of the institutional development activities of all SRI projects;To check and assist in the program of work for institutional development activities; Assist in the conduct of geo-resistivity survey of proposed solar projects; To check and review the monthly activities and accomplishments of institutional development activities; To conduct periodic site inspection to ensure proper implementation of institutional development activities; To assist in the validation of Potential Irrigable Area for development and preparation of reports; To perform other related tasks required to be accomplished; Item 6- To assist in the continuous implementation and monitoring of institutional development; To assist in the preparation of budget, evaluation of POWs and reports; To consolidate IA performance; To provide provisions on technical assistance and support to the validation of IA awardees;To perform other related tasks required to be accomplished. Item 7- To be utilized in the survey works, monitoring, supervision and preparation of related reports of CY 2026 projects of San Roque CIS and SIAY proposed SPIP;To be utilized in monitoring, supervision, and preparation of related reports/documents of CY 2025 carry over SPIP for Pajo San Isidro SPIP;To be utilized in preparation of POW and Plans of additional CY 2026 projects of Tinago Villa Aurora CIS &amp; San Roque CIS; To perform other related tasks required to be accomplished; Item 8- Utilized in clerical and admin-related works in Catandunaes Sub-Office and other tasks as required.</t>
  </si>
  <si>
    <t>TOTAL EARNINGS FOR THE PERIOD OF JUNE 1-15</t>
  </si>
  <si>
    <t>July 16-31, 2026</t>
  </si>
  <si>
    <t>Clerk Processor A</t>
  </si>
  <si>
    <t>Watchman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</si>
</sst>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/dd/yy;@"/>
    <numFmt numFmtId="168" formatCode="0.00_)"/>
    <numFmt numFmtId="169" formatCode="0.0"/>
  </numFmts>
  <fonts count="1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3"/>
      <name val="Trajan Pro"/>
      <family val="1"/>
    </font>
    <font>
      <b/>
      <sz val="11"/>
      <name val="Trajan Pro"/>
      <family val="1"/>
    </font>
    <font>
      <b/>
      <sz val="14"/>
      <name val="Times New Roman"/>
      <family val="1"/>
    </font>
    <font>
      <b/>
      <sz val="14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8"/>
      <name val="Times New Roman"/>
      <family val="1"/>
    </font>
    <font>
      <b/>
      <u val="doubleAccounting"/>
      <sz val="12"/>
      <name val="Times New Roman"/>
      <family val="1"/>
    </font>
    <font>
      <sz val="10"/>
      <name val="Arial"/>
      <family val="2"/>
    </font>
    <font>
      <i/>
      <sz val="14"/>
      <name val="Times New Roman"/>
      <family val="1"/>
    </font>
    <font>
      <sz val="9"/>
      <name val="Arial"/>
      <family val="2"/>
    </font>
    <font>
      <b/>
      <sz val="12"/>
      <name val="Trajan Pro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.5"/>
      <name val="Times New Roman"/>
      <family val="1"/>
    </font>
    <font>
      <sz val="10.5"/>
      <name val="Times New Roman"/>
      <family val="1"/>
    </font>
    <font>
      <sz val="11"/>
      <color indexed="8"/>
      <name val="Times New Roman"/>
      <family val="1"/>
    </font>
    <font>
      <b/>
      <sz val="12"/>
      <name val="Verdana"/>
      <family val="2"/>
    </font>
    <font>
      <sz val="10"/>
      <color theme="1" tint="0.499984740745262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i/>
      <sz val="8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8"/>
      <color theme="1" tint="0.499984740745262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b/>
      <i/>
      <sz val="10"/>
      <name val="Verdana"/>
      <family val="2"/>
    </font>
    <font>
      <i/>
      <sz val="8"/>
      <name val="Tahoma"/>
      <family val="2"/>
    </font>
    <font>
      <sz val="8"/>
      <name val="Verdana"/>
      <family val="2"/>
    </font>
    <font>
      <sz val="10"/>
      <color theme="1" tint="0.34998626667073579"/>
      <name val="Verdana"/>
      <family val="2"/>
    </font>
    <font>
      <sz val="10.5"/>
      <name val="Verdana"/>
      <family val="2"/>
    </font>
    <font>
      <sz val="10"/>
      <color theme="1"/>
      <name val="Verdana"/>
      <family val="2"/>
    </font>
    <font>
      <sz val="10"/>
      <name val="Trajan Pro"/>
      <family val="1"/>
    </font>
    <font>
      <b/>
      <sz val="12"/>
      <color theme="1" tint="0.34998626667073579"/>
      <name val="Verdana"/>
      <family val="2"/>
    </font>
    <font>
      <b/>
      <sz val="8"/>
      <color theme="1" tint="0.34998626667073579"/>
      <name val="Verdana"/>
      <family val="2"/>
    </font>
    <font>
      <b/>
      <sz val="10"/>
      <color theme="1" tint="0.34998626667073579"/>
      <name val="Verdana"/>
      <family val="2"/>
    </font>
    <font>
      <b/>
      <sz val="9"/>
      <name val="Verdana"/>
      <family val="2"/>
    </font>
    <font>
      <b/>
      <sz val="10.5"/>
      <name val="Verdana"/>
      <family val="2"/>
    </font>
    <font>
      <b/>
      <sz val="9"/>
      <color rgb="FF0070C0"/>
      <name val="Verdana"/>
      <family val="2"/>
    </font>
    <font>
      <b/>
      <i/>
      <sz val="10"/>
      <color rgb="FF002060"/>
      <name val="Verdana"/>
      <family val="2"/>
    </font>
    <font>
      <sz val="9"/>
      <name val="Verdana"/>
      <family val="2"/>
    </font>
    <font>
      <b/>
      <sz val="7"/>
      <color theme="1" tint="0.34998626667073579"/>
      <name val="Verdana"/>
      <family val="2"/>
    </font>
    <font>
      <b/>
      <i/>
      <sz val="9"/>
      <color theme="1" tint="0.34998626667073579"/>
      <name val="Verdana"/>
      <family val="2"/>
    </font>
    <font>
      <b/>
      <sz val="9"/>
      <color theme="1" tint="0.34998626667073579"/>
      <name val="Verdana"/>
      <family val="2"/>
    </font>
    <font>
      <b/>
      <i/>
      <sz val="9"/>
      <color rgb="FF002060"/>
      <name val="Verdana"/>
      <family val="2"/>
    </font>
    <font>
      <b/>
      <sz val="10"/>
      <color theme="1" tint="0.499984740745262"/>
      <name val="Verdana"/>
      <family val="2"/>
    </font>
    <font>
      <b/>
      <sz val="12"/>
      <color theme="1"/>
      <name val="Verdana"/>
      <family val="2"/>
    </font>
    <font>
      <b/>
      <sz val="12"/>
      <color rgb="FF002060"/>
      <name val="Verdana"/>
      <family val="2"/>
    </font>
    <font>
      <sz val="8"/>
      <color theme="1"/>
      <name val="Verdana"/>
      <family val="2"/>
    </font>
    <font>
      <sz val="10"/>
      <name val="Century Gothic"/>
      <family val="2"/>
    </font>
    <font>
      <sz val="9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1"/>
      <color rgb="FF002060"/>
      <name val="Cambria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.5"/>
      <name val="Verdana"/>
      <family val="2"/>
    </font>
    <font>
      <b/>
      <i/>
      <sz val="10"/>
      <color rgb="FF002060"/>
      <name val="Verdana"/>
      <family val="2"/>
    </font>
    <font>
      <sz val="10.5"/>
      <name val="Verdana"/>
      <family val="2"/>
    </font>
    <font>
      <b/>
      <i/>
      <sz val="9"/>
      <color theme="4" tint="-0.499984740745262"/>
      <name val="Verdana"/>
      <family val="2"/>
    </font>
    <font>
      <b/>
      <i/>
      <sz val="9"/>
      <color rgb="FF0070C0"/>
      <name val="Verdana"/>
      <family val="2"/>
    </font>
    <font>
      <b/>
      <i/>
      <sz val="9"/>
      <color rgb="FFC00000"/>
      <name val="Verdana"/>
      <family val="2"/>
    </font>
    <font>
      <i/>
      <u/>
      <sz val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.5"/>
      <name val="Trajan Pro"/>
      <family val="1"/>
    </font>
    <font>
      <sz val="11"/>
      <name val="Cambria"/>
      <family val="1"/>
    </font>
    <font>
      <b/>
      <sz val="10"/>
      <name val="Cambria"/>
      <family val="1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1" tint="0.34998626667073579"/>
      <name val="Verdana"/>
      <family val="2"/>
    </font>
    <font>
      <sz val="11"/>
      <color theme="1" tint="0.34998626667073579"/>
      <name val="Verdana"/>
      <family val="2"/>
    </font>
    <font>
      <b/>
      <sz val="14"/>
      <color theme="1"/>
      <name val="Verdana"/>
      <family val="2"/>
    </font>
    <font>
      <b/>
      <sz val="11"/>
      <name val="Cambria"/>
      <family val="1"/>
    </font>
    <font>
      <b/>
      <sz val="10"/>
      <name val="Calibri Light"/>
      <family val="1"/>
      <scheme val="major"/>
    </font>
    <font>
      <sz val="11"/>
      <name val="Calibri Light"/>
      <family val="1"/>
      <scheme val="major"/>
    </font>
    <font>
      <sz val="10"/>
      <name val="Calibri Light"/>
      <family val="1"/>
      <scheme val="major"/>
    </font>
    <font>
      <b/>
      <sz val="10.5"/>
      <name val="Trajan Pro"/>
      <family val="1"/>
    </font>
    <font>
      <sz val="9"/>
      <name val="Trajan Pro"/>
      <family val="1"/>
    </font>
    <font>
      <b/>
      <sz val="18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color indexed="8"/>
      <name val="Calibri Light"/>
      <family val="1"/>
      <scheme val="major"/>
    </font>
    <font>
      <b/>
      <sz val="12"/>
      <name val="Calibri Light"/>
      <family val="1"/>
      <scheme val="major"/>
    </font>
    <font>
      <b/>
      <u/>
      <sz val="11"/>
      <name val="Calibri Light"/>
      <family val="1"/>
      <scheme val="major"/>
    </font>
    <font>
      <u/>
      <sz val="10"/>
      <name val="Calibri Light"/>
      <family val="1"/>
      <scheme val="major"/>
    </font>
    <font>
      <u/>
      <sz val="11"/>
      <name val="Calibri Light"/>
      <family val="1"/>
      <scheme val="maj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b/>
      <i/>
      <sz val="16"/>
      <name val="Helv"/>
    </font>
    <font>
      <sz val="8"/>
      <name val="Trajan Pro"/>
      <family val="1"/>
    </font>
    <font>
      <b/>
      <sz val="9"/>
      <color theme="3" tint="-0.499984740745262"/>
      <name val="Cambria"/>
      <family val="1"/>
    </font>
    <font>
      <i/>
      <sz val="9"/>
      <color theme="3" tint="-0.499984740745262"/>
      <name val="Cambria"/>
      <family val="1"/>
    </font>
    <font>
      <b/>
      <u/>
      <sz val="10"/>
      <name val="Calibri Light"/>
      <family val="1"/>
      <scheme val="major"/>
    </font>
    <font>
      <sz val="10"/>
      <color theme="3" tint="-0.499984740745262"/>
      <name val="Calibri Light"/>
      <family val="1"/>
      <scheme val="major"/>
    </font>
    <font>
      <b/>
      <sz val="10"/>
      <color rgb="FF000066"/>
      <name val="Calibri Light"/>
      <family val="1"/>
      <scheme val="maj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0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95B3D7"/>
      </left>
      <right style="medium">
        <color rgb="FFCCCCCC"/>
      </right>
      <top style="medium">
        <color rgb="FF95B3D7"/>
      </top>
      <bottom style="medium">
        <color rgb="FF95B3D7"/>
      </bottom>
      <diagonal/>
    </border>
    <border>
      <left style="medium">
        <color rgb="FFCCCCCC"/>
      </left>
      <right style="medium">
        <color rgb="FFCCCCCC"/>
      </right>
      <top style="medium">
        <color rgb="FF95B3D7"/>
      </top>
      <bottom style="medium">
        <color rgb="FF95B3D7"/>
      </bottom>
      <diagonal/>
    </border>
    <border>
      <left style="medium">
        <color rgb="FF95B3D7"/>
      </left>
      <right style="medium">
        <color rgb="FFCCCCCC"/>
      </right>
      <top style="medium">
        <color rgb="FFCCCCCC"/>
      </top>
      <bottom style="medium">
        <color rgb="FF95B3D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5B3D7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34">
    <xf numFmtId="0" fontId="0" fillId="0" borderId="0"/>
    <xf numFmtId="166" fontId="69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0" fontId="3" fillId="0" borderId="0"/>
    <xf numFmtId="0" fontId="1" fillId="0" borderId="0"/>
    <xf numFmtId="166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0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4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38" fontId="105" fillId="6" borderId="0" applyNumberFormat="0" applyBorder="0" applyAlignment="0" applyProtection="0"/>
    <xf numFmtId="10" fontId="105" fillId="7" borderId="10" applyNumberFormat="0" applyBorder="0" applyAlignment="0" applyProtection="0"/>
    <xf numFmtId="168" fontId="106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18" fillId="0" borderId="0" applyFont="0" applyFill="0" applyBorder="0" applyAlignment="0" applyProtection="0"/>
  </cellStyleXfs>
  <cellXfs count="1423">
    <xf numFmtId="0" fontId="0" fillId="0" borderId="0" xfId="0"/>
    <xf numFmtId="0" fontId="4" fillId="0" borderId="0" xfId="3" applyFont="1" applyProtection="1">
      <protection locked="0"/>
    </xf>
    <xf numFmtId="49" fontId="4" fillId="0" borderId="0" xfId="3" applyNumberFormat="1" applyFont="1" applyProtection="1">
      <protection locked="0"/>
    </xf>
    <xf numFmtId="0" fontId="4" fillId="0" borderId="0" xfId="3" applyFont="1" applyAlignment="1" applyProtection="1">
      <alignment vertical="center"/>
      <protection locked="0"/>
    </xf>
    <xf numFmtId="0" fontId="5" fillId="0" borderId="0" xfId="3" applyFont="1" applyProtection="1">
      <protection locked="0"/>
    </xf>
    <xf numFmtId="0" fontId="5" fillId="0" borderId="9" xfId="3" applyFont="1" applyBorder="1" applyAlignment="1" applyProtection="1">
      <alignment wrapText="1"/>
      <protection locked="0"/>
    </xf>
    <xf numFmtId="0" fontId="5" fillId="0" borderId="0" xfId="3" applyFont="1" applyAlignment="1" applyProtection="1">
      <alignment wrapText="1"/>
      <protection locked="0"/>
    </xf>
    <xf numFmtId="0" fontId="5" fillId="0" borderId="10" xfId="3" applyFont="1" applyBorder="1" applyProtection="1">
      <protection locked="0"/>
    </xf>
    <xf numFmtId="0" fontId="5" fillId="0" borderId="12" xfId="3" applyFont="1" applyBorder="1" applyAlignment="1" applyProtection="1">
      <alignment wrapText="1"/>
      <protection locked="0"/>
    </xf>
    <xf numFmtId="0" fontId="5" fillId="0" borderId="5" xfId="3" applyFont="1" applyBorder="1" applyAlignment="1" applyProtection="1">
      <alignment wrapText="1"/>
      <protection locked="0"/>
    </xf>
    <xf numFmtId="0" fontId="5" fillId="0" borderId="13" xfId="3" applyFont="1" applyBorder="1" applyAlignment="1" applyProtection="1">
      <alignment wrapText="1"/>
      <protection locked="0"/>
    </xf>
    <xf numFmtId="0" fontId="5" fillId="0" borderId="14" xfId="3" applyFont="1" applyBorder="1" applyAlignment="1" applyProtection="1">
      <alignment wrapText="1"/>
      <protection locked="0"/>
    </xf>
    <xf numFmtId="0" fontId="5" fillId="0" borderId="3" xfId="3" applyFont="1" applyBorder="1" applyAlignment="1" applyProtection="1">
      <alignment wrapText="1"/>
      <protection locked="0"/>
    </xf>
    <xf numFmtId="0" fontId="12" fillId="0" borderId="3" xfId="3" applyFont="1" applyBorder="1" applyAlignment="1" applyProtection="1">
      <alignment wrapText="1"/>
      <protection locked="0"/>
    </xf>
    <xf numFmtId="0" fontId="12" fillId="0" borderId="0" xfId="3" applyFont="1" applyAlignment="1" applyProtection="1">
      <alignment wrapText="1"/>
      <protection locked="0"/>
    </xf>
    <xf numFmtId="0" fontId="12" fillId="0" borderId="3" xfId="3" applyFont="1" applyBorder="1" applyAlignment="1" applyProtection="1">
      <alignment vertical="center" wrapText="1"/>
      <protection locked="0"/>
    </xf>
    <xf numFmtId="0" fontId="12" fillId="0" borderId="0" xfId="3" applyFont="1" applyAlignment="1" applyProtection="1">
      <alignment horizontal="center" vertical="center" wrapText="1"/>
      <protection locked="0"/>
    </xf>
    <xf numFmtId="0" fontId="13" fillId="0" borderId="3" xfId="3" applyFont="1" applyBorder="1" applyAlignment="1" applyProtection="1">
      <alignment vertical="center" wrapText="1"/>
      <protection locked="0"/>
    </xf>
    <xf numFmtId="0" fontId="4" fillId="0" borderId="0" xfId="3" applyFont="1" applyAlignment="1" applyProtection="1">
      <alignment vertical="center" wrapText="1"/>
      <protection locked="0"/>
    </xf>
    <xf numFmtId="0" fontId="14" fillId="0" borderId="0" xfId="3" applyFont="1" applyAlignment="1" applyProtection="1">
      <alignment horizontal="center" vertical="center" wrapText="1"/>
      <protection locked="0"/>
    </xf>
    <xf numFmtId="0" fontId="4" fillId="0" borderId="0" xfId="3" applyFont="1" applyAlignment="1" applyProtection="1">
      <alignment horizontal="left" vertical="center" wrapText="1"/>
      <protection locked="0"/>
    </xf>
    <xf numFmtId="0" fontId="10" fillId="0" borderId="19" xfId="3" applyFont="1" applyBorder="1" applyAlignment="1" applyProtection="1">
      <alignment vertical="center"/>
      <protection locked="0"/>
    </xf>
    <xf numFmtId="0" fontId="10" fillId="0" borderId="0" xfId="3" applyFont="1" applyAlignment="1" applyProtection="1">
      <alignment vertical="center"/>
      <protection locked="0"/>
    </xf>
    <xf numFmtId="0" fontId="5" fillId="0" borderId="0" xfId="3" applyFont="1" applyAlignment="1" applyProtection="1">
      <alignment horizontal="left" vertical="center"/>
      <protection locked="0"/>
    </xf>
    <xf numFmtId="0" fontId="10" fillId="0" borderId="3" xfId="3" applyFont="1" applyBorder="1" applyAlignment="1" applyProtection="1">
      <alignment vertical="center"/>
      <protection locked="0"/>
    </xf>
    <xf numFmtId="0" fontId="5" fillId="0" borderId="3" xfId="3" applyFont="1" applyBorder="1" applyAlignment="1" applyProtection="1">
      <alignment horizontal="center" wrapText="1"/>
      <protection locked="0"/>
    </xf>
    <xf numFmtId="0" fontId="5" fillId="0" borderId="0" xfId="3" applyFont="1" applyAlignment="1" applyProtection="1">
      <alignment horizontal="center" wrapText="1"/>
      <protection locked="0"/>
    </xf>
    <xf numFmtId="0" fontId="5" fillId="0" borderId="3" xfId="3" applyFont="1" applyBorder="1" applyAlignment="1" applyProtection="1">
      <alignment horizontal="center" vertical="center" wrapText="1"/>
      <protection locked="0"/>
    </xf>
    <xf numFmtId="0" fontId="5" fillId="0" borderId="0" xfId="3" applyFont="1" applyAlignment="1" applyProtection="1">
      <alignment horizontal="center" vertical="center" wrapText="1"/>
      <protection locked="0"/>
    </xf>
    <xf numFmtId="0" fontId="5" fillId="0" borderId="3" xfId="3" applyFont="1" applyBorder="1" applyProtection="1">
      <protection locked="0"/>
    </xf>
    <xf numFmtId="0" fontId="10" fillId="0" borderId="20" xfId="3" applyFont="1" applyBorder="1" applyAlignment="1" applyProtection="1">
      <alignment vertical="center"/>
      <protection locked="0"/>
    </xf>
    <xf numFmtId="0" fontId="10" fillId="0" borderId="18" xfId="3" applyFont="1" applyBorder="1" applyAlignment="1" applyProtection="1">
      <alignment vertical="center"/>
      <protection locked="0"/>
    </xf>
    <xf numFmtId="0" fontId="5" fillId="0" borderId="18" xfId="3" applyFont="1" applyBorder="1" applyAlignment="1" applyProtection="1">
      <alignment vertical="center"/>
      <protection locked="0"/>
    </xf>
    <xf numFmtId="0" fontId="5" fillId="0" borderId="3" xfId="3" applyFont="1" applyBorder="1" applyAlignment="1" applyProtection="1">
      <alignment vertical="center" wrapText="1"/>
      <protection locked="0"/>
    </xf>
    <xf numFmtId="0" fontId="5" fillId="0" borderId="0" xfId="3" applyFont="1" applyAlignment="1" applyProtection="1">
      <alignment vertical="center" wrapText="1"/>
      <protection locked="0"/>
    </xf>
    <xf numFmtId="0" fontId="5" fillId="0" borderId="0" xfId="3" applyFont="1" applyAlignment="1" applyProtection="1">
      <alignment horizontal="left" wrapText="1"/>
      <protection locked="0"/>
    </xf>
    <xf numFmtId="0" fontId="5" fillId="0" borderId="3" xfId="3" applyFont="1" applyBorder="1" applyAlignment="1" applyProtection="1">
      <alignment horizontal="left" vertical="center" wrapText="1"/>
      <protection locked="0"/>
    </xf>
    <xf numFmtId="0" fontId="5" fillId="0" borderId="0" xfId="3" applyFont="1" applyAlignment="1" applyProtection="1">
      <alignment horizontal="left" vertical="center" wrapText="1"/>
      <protection locked="0"/>
    </xf>
    <xf numFmtId="0" fontId="10" fillId="0" borderId="20" xfId="3" applyFont="1" applyBorder="1" applyProtection="1">
      <protection locked="0"/>
    </xf>
    <xf numFmtId="0" fontId="10" fillId="0" borderId="18" xfId="3" applyFont="1" applyBorder="1" applyProtection="1">
      <protection locked="0"/>
    </xf>
    <xf numFmtId="0" fontId="5" fillId="0" borderId="18" xfId="3" applyFont="1" applyBorder="1" applyProtection="1">
      <protection locked="0"/>
    </xf>
    <xf numFmtId="0" fontId="5" fillId="0" borderId="23" xfId="3" applyFont="1" applyBorder="1" applyProtection="1">
      <protection locked="0"/>
    </xf>
    <xf numFmtId="0" fontId="5" fillId="0" borderId="10" xfId="3" applyFont="1" applyBorder="1" applyAlignment="1" applyProtection="1">
      <alignment horizontal="center"/>
      <protection locked="0"/>
    </xf>
    <xf numFmtId="0" fontId="5" fillId="0" borderId="0" xfId="3" applyFont="1" applyAlignment="1" applyProtection="1">
      <alignment horizontal="center"/>
      <protection locked="0"/>
    </xf>
    <xf numFmtId="0" fontId="5" fillId="0" borderId="5" xfId="3" applyFont="1" applyBorder="1" applyProtection="1">
      <protection locked="0"/>
    </xf>
    <xf numFmtId="0" fontId="11" fillId="0" borderId="0" xfId="3" applyFont="1" applyAlignment="1" applyProtection="1">
      <alignment wrapText="1"/>
      <protection locked="0"/>
    </xf>
    <xf numFmtId="166" fontId="12" fillId="0" borderId="0" xfId="1" applyFont="1" applyBorder="1" applyAlignment="1" applyProtection="1">
      <alignment vertical="center" wrapText="1"/>
      <protection locked="0"/>
    </xf>
    <xf numFmtId="166" fontId="12" fillId="0" borderId="0" xfId="3" applyNumberFormat="1" applyFont="1" applyAlignment="1" applyProtection="1">
      <alignment horizontal="center" vertical="center" wrapText="1"/>
      <protection locked="0"/>
    </xf>
    <xf numFmtId="166" fontId="14" fillId="0" borderId="0" xfId="3" applyNumberFormat="1" applyFont="1" applyAlignment="1" applyProtection="1">
      <alignment horizontal="center" vertical="center" wrapText="1"/>
      <protection locked="0"/>
    </xf>
    <xf numFmtId="166" fontId="17" fillId="0" borderId="0" xfId="1" applyFont="1" applyBorder="1" applyAlignment="1" applyProtection="1">
      <alignment vertical="center" wrapText="1"/>
      <protection locked="0"/>
    </xf>
    <xf numFmtId="0" fontId="5" fillId="0" borderId="15" xfId="3" applyFont="1" applyBorder="1" applyAlignment="1" applyProtection="1">
      <alignment wrapText="1"/>
      <protection locked="0"/>
    </xf>
    <xf numFmtId="0" fontId="5" fillId="0" borderId="8" xfId="3" applyFont="1" applyBorder="1" applyAlignment="1" applyProtection="1">
      <alignment wrapText="1"/>
      <protection locked="0"/>
    </xf>
    <xf numFmtId="0" fontId="12" fillId="0" borderId="8" xfId="3" applyFont="1" applyBorder="1" applyAlignment="1" applyProtection="1">
      <alignment wrapText="1"/>
      <protection locked="0"/>
    </xf>
    <xf numFmtId="0" fontId="12" fillId="0" borderId="8" xfId="3" applyFont="1" applyBorder="1" applyAlignment="1" applyProtection="1">
      <alignment vertical="center" wrapText="1"/>
      <protection locked="0"/>
    </xf>
    <xf numFmtId="0" fontId="5" fillId="0" borderId="8" xfId="3" applyFont="1" applyBorder="1" applyAlignment="1" applyProtection="1">
      <alignment vertical="center" wrapText="1"/>
      <protection locked="0"/>
    </xf>
    <xf numFmtId="0" fontId="18" fillId="0" borderId="12" xfId="3" applyBorder="1" applyProtection="1">
      <protection locked="0"/>
    </xf>
    <xf numFmtId="0" fontId="18" fillId="0" borderId="5" xfId="3" applyBorder="1" applyProtection="1">
      <protection locked="0"/>
    </xf>
    <xf numFmtId="0" fontId="18" fillId="0" borderId="11" xfId="3" applyBorder="1" applyProtection="1">
      <protection locked="0"/>
    </xf>
    <xf numFmtId="0" fontId="5" fillId="0" borderId="9" xfId="3" applyFont="1" applyBorder="1" applyAlignment="1" applyProtection="1">
      <alignment horizontal="left" vertical="center" wrapText="1"/>
      <protection locked="0"/>
    </xf>
    <xf numFmtId="0" fontId="5" fillId="0" borderId="8" xfId="3" applyFont="1" applyBorder="1" applyAlignment="1" applyProtection="1">
      <alignment horizontal="left" vertical="center" wrapText="1"/>
      <protection locked="0"/>
    </xf>
    <xf numFmtId="0" fontId="5" fillId="0" borderId="26" xfId="3" applyFont="1" applyBorder="1" applyProtection="1">
      <protection locked="0"/>
    </xf>
    <xf numFmtId="0" fontId="5" fillId="0" borderId="27" xfId="3" applyFont="1" applyBorder="1" applyProtection="1">
      <protection locked="0"/>
    </xf>
    <xf numFmtId="0" fontId="5" fillId="0" borderId="27" xfId="3" applyFont="1" applyBorder="1" applyAlignment="1" applyProtection="1">
      <alignment wrapText="1"/>
      <protection locked="0"/>
    </xf>
    <xf numFmtId="0" fontId="5" fillId="0" borderId="5" xfId="3" applyFont="1" applyBorder="1" applyAlignment="1" applyProtection="1">
      <alignment vertical="top"/>
      <protection locked="0"/>
    </xf>
    <xf numFmtId="0" fontId="5" fillId="0" borderId="16" xfId="3" applyFont="1" applyBorder="1" applyAlignment="1" applyProtection="1">
      <alignment wrapText="1"/>
      <protection locked="0"/>
    </xf>
    <xf numFmtId="0" fontId="12" fillId="0" borderId="9" xfId="3" applyFont="1" applyBorder="1" applyAlignment="1" applyProtection="1">
      <alignment wrapText="1"/>
      <protection locked="0"/>
    </xf>
    <xf numFmtId="0" fontId="12" fillId="0" borderId="9" xfId="3" applyFont="1" applyBorder="1" applyAlignment="1" applyProtection="1">
      <alignment vertical="center" wrapText="1"/>
      <protection locked="0"/>
    </xf>
    <xf numFmtId="0" fontId="12" fillId="0" borderId="0" xfId="3" applyFont="1" applyAlignment="1" applyProtection="1">
      <alignment vertical="center" wrapText="1"/>
      <protection locked="0"/>
    </xf>
    <xf numFmtId="166" fontId="10" fillId="0" borderId="0" xfId="3" applyNumberFormat="1" applyFont="1" applyAlignment="1" applyProtection="1">
      <alignment horizontal="center" wrapText="1"/>
      <protection locked="0"/>
    </xf>
    <xf numFmtId="0" fontId="10" fillId="0" borderId="0" xfId="3" applyFont="1" applyAlignment="1" applyProtection="1">
      <alignment horizontal="center" wrapText="1"/>
      <protection locked="0"/>
    </xf>
    <xf numFmtId="0" fontId="5" fillId="0" borderId="11" xfId="3" applyFont="1" applyBorder="1" applyAlignment="1" applyProtection="1">
      <alignment wrapText="1"/>
      <protection locked="0"/>
    </xf>
    <xf numFmtId="0" fontId="5" fillId="0" borderId="18" xfId="3" applyFont="1" applyBorder="1" applyAlignment="1" applyProtection="1">
      <alignment vertical="justify"/>
      <protection locked="0"/>
    </xf>
    <xf numFmtId="0" fontId="4" fillId="0" borderId="27" xfId="3" applyFont="1" applyBorder="1" applyProtection="1">
      <protection locked="0"/>
    </xf>
    <xf numFmtId="0" fontId="5" fillId="0" borderId="34" xfId="3" applyFont="1" applyBorder="1" applyAlignment="1" applyProtection="1">
      <alignment wrapText="1"/>
      <protection locked="0"/>
    </xf>
    <xf numFmtId="0" fontId="4" fillId="0" borderId="32" xfId="3" applyFont="1" applyBorder="1" applyProtection="1">
      <protection locked="0"/>
    </xf>
    <xf numFmtId="0" fontId="4" fillId="0" borderId="34" xfId="3" applyFont="1" applyBorder="1" applyProtection="1">
      <protection locked="0"/>
    </xf>
    <xf numFmtId="49" fontId="4" fillId="0" borderId="33" xfId="3" applyNumberFormat="1" applyFont="1" applyBorder="1" applyProtection="1">
      <protection locked="0"/>
    </xf>
    <xf numFmtId="0" fontId="5" fillId="0" borderId="35" xfId="3" applyFont="1" applyBorder="1" applyAlignment="1" applyProtection="1">
      <alignment wrapText="1"/>
      <protection locked="0"/>
    </xf>
    <xf numFmtId="0" fontId="12" fillId="0" borderId="27" xfId="3" applyFont="1" applyBorder="1" applyAlignment="1" applyProtection="1">
      <alignment wrapText="1"/>
      <protection locked="0"/>
    </xf>
    <xf numFmtId="0" fontId="12" fillId="0" borderId="27" xfId="3" applyFont="1" applyBorder="1" applyAlignment="1" applyProtection="1">
      <alignment vertical="center" wrapText="1"/>
      <protection locked="0"/>
    </xf>
    <xf numFmtId="0" fontId="4" fillId="0" borderId="27" xfId="3" applyFont="1" applyBorder="1" applyAlignment="1" applyProtection="1">
      <alignment vertical="center"/>
      <protection locked="0"/>
    </xf>
    <xf numFmtId="0" fontId="5" fillId="0" borderId="27" xfId="3" applyFont="1" applyBorder="1" applyAlignment="1" applyProtection="1">
      <alignment horizontal="left" vertical="center"/>
      <protection locked="0"/>
    </xf>
    <xf numFmtId="0" fontId="10" fillId="0" borderId="27" xfId="3" applyFont="1" applyBorder="1" applyAlignment="1" applyProtection="1">
      <alignment horizontal="center" wrapText="1"/>
      <protection locked="0"/>
    </xf>
    <xf numFmtId="0" fontId="10" fillId="0" borderId="27" xfId="3" applyFont="1" applyBorder="1" applyAlignment="1" applyProtection="1">
      <alignment horizontal="center" vertical="center" wrapText="1"/>
      <protection locked="0"/>
    </xf>
    <xf numFmtId="0" fontId="10" fillId="0" borderId="26" xfId="3" applyFont="1" applyBorder="1" applyAlignment="1" applyProtection="1">
      <alignment vertical="center"/>
      <protection locked="0"/>
    </xf>
    <xf numFmtId="0" fontId="5" fillId="0" borderId="27" xfId="3" applyFont="1" applyBorder="1" applyAlignment="1" applyProtection="1">
      <alignment horizontal="center"/>
      <protection locked="0"/>
    </xf>
    <xf numFmtId="0" fontId="5" fillId="0" borderId="27" xfId="3" applyFont="1" applyBorder="1" applyAlignment="1" applyProtection="1">
      <alignment horizontal="left" vertical="center" wrapText="1"/>
      <protection locked="0"/>
    </xf>
    <xf numFmtId="0" fontId="5" fillId="0" borderId="26" xfId="3" applyFont="1" applyBorder="1" applyAlignment="1" applyProtection="1">
      <alignment vertical="justify"/>
      <protection locked="0"/>
    </xf>
    <xf numFmtId="0" fontId="5" fillId="0" borderId="0" xfId="3" applyFont="1" applyAlignment="1" applyProtection="1">
      <alignment horizontal="left" indent="1"/>
      <protection locked="0"/>
    </xf>
    <xf numFmtId="0" fontId="5" fillId="0" borderId="38" xfId="3" applyFont="1" applyBorder="1" applyProtection="1">
      <protection locked="0"/>
    </xf>
    <xf numFmtId="0" fontId="5" fillId="0" borderId="29" xfId="3" applyFont="1" applyBorder="1" applyProtection="1">
      <protection locked="0"/>
    </xf>
    <xf numFmtId="0" fontId="5" fillId="0" borderId="29" xfId="3" applyFont="1" applyBorder="1" applyAlignment="1" applyProtection="1">
      <alignment wrapText="1"/>
      <protection locked="0"/>
    </xf>
    <xf numFmtId="0" fontId="5" fillId="0" borderId="33" xfId="3" applyFont="1" applyBorder="1" applyProtection="1">
      <protection locked="0"/>
    </xf>
    <xf numFmtId="0" fontId="5" fillId="0" borderId="33" xfId="3" applyFont="1" applyBorder="1" applyAlignment="1" applyProtection="1">
      <alignment wrapText="1"/>
      <protection locked="0"/>
    </xf>
    <xf numFmtId="0" fontId="10" fillId="0" borderId="24" xfId="3" applyFont="1" applyBorder="1" applyProtection="1">
      <protection locked="0"/>
    </xf>
    <xf numFmtId="0" fontId="5" fillId="0" borderId="2" xfId="3" applyFont="1" applyBorder="1" applyProtection="1">
      <protection locked="0"/>
    </xf>
    <xf numFmtId="0" fontId="5" fillId="0" borderId="14" xfId="3" applyFont="1" applyBorder="1" applyProtection="1">
      <protection locked="0"/>
    </xf>
    <xf numFmtId="0" fontId="4" fillId="0" borderId="29" xfId="3" applyFont="1" applyBorder="1" applyAlignment="1" applyProtection="1">
      <alignment vertical="center"/>
      <protection locked="0"/>
    </xf>
    <xf numFmtId="0" fontId="4" fillId="0" borderId="14" xfId="3" applyFont="1" applyBorder="1" applyAlignment="1" applyProtection="1">
      <alignment horizontal="left"/>
      <protection locked="0"/>
    </xf>
    <xf numFmtId="0" fontId="4" fillId="0" borderId="0" xfId="3" applyFont="1" applyAlignment="1" applyProtection="1">
      <alignment horizontal="left"/>
      <protection locked="0"/>
    </xf>
    <xf numFmtId="0" fontId="20" fillId="0" borderId="0" xfId="3" applyFont="1"/>
    <xf numFmtId="0" fontId="18" fillId="0" borderId="0" xfId="3"/>
    <xf numFmtId="0" fontId="21" fillId="0" borderId="3" xfId="3" applyFont="1" applyBorder="1" applyAlignment="1">
      <alignment vertical="center" wrapText="1"/>
    </xf>
    <xf numFmtId="0" fontId="11" fillId="0" borderId="3" xfId="3" applyFont="1" applyBorder="1" applyAlignment="1">
      <alignment vertical="center" wrapText="1"/>
    </xf>
    <xf numFmtId="0" fontId="11" fillId="0" borderId="4" xfId="3" applyFont="1" applyBorder="1" applyAlignment="1">
      <alignment vertical="center" wrapText="1"/>
    </xf>
    <xf numFmtId="0" fontId="4" fillId="0" borderId="12" xfId="3" applyFont="1" applyBorder="1" applyAlignment="1">
      <alignment vertical="center" wrapText="1"/>
    </xf>
    <xf numFmtId="0" fontId="4" fillId="0" borderId="5" xfId="3" applyFont="1" applyBorder="1" applyAlignment="1">
      <alignment vertical="center" wrapText="1"/>
    </xf>
    <xf numFmtId="0" fontId="4" fillId="0" borderId="2" xfId="3" applyFont="1" applyBorder="1" applyAlignment="1">
      <alignment wrapText="1"/>
    </xf>
    <xf numFmtId="0" fontId="4" fillId="0" borderId="13" xfId="3" applyFont="1" applyBorder="1"/>
    <xf numFmtId="0" fontId="4" fillId="0" borderId="14" xfId="3" applyFont="1" applyBorder="1"/>
    <xf numFmtId="0" fontId="4" fillId="0" borderId="15" xfId="3" applyFont="1" applyBorder="1"/>
    <xf numFmtId="0" fontId="4" fillId="0" borderId="16" xfId="3" applyFont="1" applyBorder="1"/>
    <xf numFmtId="0" fontId="4" fillId="0" borderId="3" xfId="3" applyFont="1" applyBorder="1" applyAlignment="1">
      <alignment horizontal="center"/>
    </xf>
    <xf numFmtId="0" fontId="4" fillId="0" borderId="0" xfId="3" applyFont="1" applyAlignment="1">
      <alignment horizontal="center"/>
    </xf>
    <xf numFmtId="0" fontId="4" fillId="0" borderId="8" xfId="3" applyFont="1" applyBorder="1" applyAlignment="1">
      <alignment horizontal="center"/>
    </xf>
    <xf numFmtId="0" fontId="4" fillId="0" borderId="9" xfId="3" applyFont="1" applyBorder="1"/>
    <xf numFmtId="0" fontId="4" fillId="0" borderId="0" xfId="3" applyFont="1"/>
    <xf numFmtId="0" fontId="4" fillId="0" borderId="3" xfId="3" applyFont="1" applyBorder="1"/>
    <xf numFmtId="0" fontId="4" fillId="0" borderId="8" xfId="3" applyFont="1" applyBorder="1"/>
    <xf numFmtId="0" fontId="4" fillId="0" borderId="9" xfId="3" applyFont="1" applyBorder="1" applyAlignment="1">
      <alignment vertical="center" wrapText="1"/>
    </xf>
    <xf numFmtId="0" fontId="4" fillId="0" borderId="0" xfId="3" applyFont="1" applyAlignment="1">
      <alignment vertical="center" wrapText="1"/>
    </xf>
    <xf numFmtId="0" fontId="4" fillId="0" borderId="8" xfId="3" applyFont="1" applyBorder="1" applyAlignment="1">
      <alignment vertical="center" wrapText="1"/>
    </xf>
    <xf numFmtId="0" fontId="4" fillId="0" borderId="0" xfId="3" applyFont="1" applyAlignment="1">
      <alignment horizontal="left" indent="1"/>
    </xf>
    <xf numFmtId="0" fontId="4" fillId="0" borderId="4" xfId="3" applyFont="1" applyBorder="1"/>
    <xf numFmtId="0" fontId="4" fillId="0" borderId="5" xfId="3" applyFont="1" applyBorder="1" applyAlignment="1">
      <alignment wrapText="1"/>
    </xf>
    <xf numFmtId="0" fontId="4" fillId="0" borderId="11" xfId="3" applyFont="1" applyBorder="1" applyAlignment="1">
      <alignment wrapText="1"/>
    </xf>
    <xf numFmtId="0" fontId="14" fillId="0" borderId="2" xfId="3" applyFont="1" applyBorder="1" applyAlignment="1">
      <alignment vertical="center"/>
    </xf>
    <xf numFmtId="0" fontId="4" fillId="0" borderId="2" xfId="3" applyFont="1" applyBorder="1"/>
    <xf numFmtId="0" fontId="14" fillId="0" borderId="2" xfId="3" applyFont="1" applyBorder="1" applyAlignment="1">
      <alignment wrapText="1"/>
    </xf>
    <xf numFmtId="0" fontId="14" fillId="0" borderId="32" xfId="3" applyFont="1" applyBorder="1" applyAlignment="1">
      <alignment wrapText="1"/>
    </xf>
    <xf numFmtId="0" fontId="14" fillId="0" borderId="3" xfId="3" applyFont="1" applyBorder="1"/>
    <xf numFmtId="0" fontId="4" fillId="0" borderId="27" xfId="3" applyFont="1" applyBorder="1"/>
    <xf numFmtId="0" fontId="4" fillId="0" borderId="3" xfId="3" applyFont="1" applyBorder="1" applyAlignment="1">
      <alignment wrapText="1"/>
    </xf>
    <xf numFmtId="0" fontId="4" fillId="0" borderId="0" xfId="3" applyFont="1" applyAlignment="1">
      <alignment wrapText="1"/>
    </xf>
    <xf numFmtId="0" fontId="13" fillId="0" borderId="3" xfId="3" applyFont="1" applyBorder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0" fontId="4" fillId="0" borderId="4" xfId="3" applyFont="1" applyBorder="1" applyAlignment="1">
      <alignment vertical="center" wrapText="1"/>
    </xf>
    <xf numFmtId="0" fontId="4" fillId="0" borderId="34" xfId="3" applyFont="1" applyBorder="1" applyAlignment="1">
      <alignment vertical="center" wrapText="1"/>
    </xf>
    <xf numFmtId="0" fontId="14" fillId="0" borderId="47" xfId="3" applyFont="1" applyBorder="1"/>
    <xf numFmtId="0" fontId="4" fillId="0" borderId="53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top"/>
    </xf>
    <xf numFmtId="167" fontId="4" fillId="0" borderId="52" xfId="3" applyNumberFormat="1" applyFont="1" applyBorder="1"/>
    <xf numFmtId="166" fontId="14" fillId="0" borderId="53" xfId="1" applyFont="1" applyBorder="1"/>
    <xf numFmtId="0" fontId="4" fillId="0" borderId="53" xfId="3" applyFont="1" applyBorder="1"/>
    <xf numFmtId="167" fontId="24" fillId="0" borderId="9" xfId="3" applyNumberFormat="1" applyFont="1" applyBorder="1" applyAlignment="1">
      <alignment horizontal="center"/>
    </xf>
    <xf numFmtId="167" fontId="24" fillId="0" borderId="0" xfId="3" applyNumberFormat="1" applyFont="1" applyAlignment="1">
      <alignment horizontal="center"/>
    </xf>
    <xf numFmtId="167" fontId="24" fillId="0" borderId="8" xfId="3" applyNumberFormat="1" applyFont="1" applyBorder="1" applyAlignment="1">
      <alignment horizontal="center"/>
    </xf>
    <xf numFmtId="0" fontId="25" fillId="0" borderId="9" xfId="3" applyFont="1" applyBorder="1" applyAlignment="1">
      <alignment horizontal="center"/>
    </xf>
    <xf numFmtId="0" fontId="25" fillId="0" borderId="0" xfId="3" applyFont="1" applyAlignment="1">
      <alignment horizontal="center"/>
    </xf>
    <xf numFmtId="0" fontId="25" fillId="0" borderId="8" xfId="3" applyFont="1" applyBorder="1" applyAlignment="1">
      <alignment horizontal="center"/>
    </xf>
    <xf numFmtId="0" fontId="25" fillId="0" borderId="53" xfId="3" applyFont="1" applyBorder="1"/>
    <xf numFmtId="167" fontId="4" fillId="0" borderId="9" xfId="3" applyNumberFormat="1" applyFont="1" applyBorder="1"/>
    <xf numFmtId="167" fontId="4" fillId="0" borderId="54" xfId="3" applyNumberFormat="1" applyFont="1" applyBorder="1"/>
    <xf numFmtId="167" fontId="4" fillId="0" borderId="12" xfId="3" applyNumberFormat="1" applyFont="1" applyBorder="1"/>
    <xf numFmtId="0" fontId="4" fillId="0" borderId="5" xfId="3" applyFont="1" applyBorder="1"/>
    <xf numFmtId="0" fontId="4" fillId="0" borderId="11" xfId="3" applyFont="1" applyBorder="1"/>
    <xf numFmtId="0" fontId="4" fillId="0" borderId="12" xfId="3" applyFont="1" applyBorder="1"/>
    <xf numFmtId="0" fontId="4" fillId="0" borderId="55" xfId="3" applyFont="1" applyBorder="1"/>
    <xf numFmtId="0" fontId="4" fillId="0" borderId="57" xfId="3" applyFont="1" applyBorder="1"/>
    <xf numFmtId="0" fontId="4" fillId="0" borderId="53" xfId="3" applyFont="1" applyBorder="1" applyAlignment="1">
      <alignment horizontal="center"/>
    </xf>
    <xf numFmtId="0" fontId="4" fillId="0" borderId="11" xfId="3" applyFont="1" applyBorder="1" applyAlignment="1">
      <alignment vertical="center" wrapText="1"/>
    </xf>
    <xf numFmtId="0" fontId="14" fillId="0" borderId="2" xfId="3" applyFont="1" applyBorder="1" applyAlignment="1">
      <alignment horizontal="left" vertical="center" wrapText="1"/>
    </xf>
    <xf numFmtId="0" fontId="14" fillId="0" borderId="0" xfId="3" applyFont="1"/>
    <xf numFmtId="0" fontId="4" fillId="0" borderId="34" xfId="3" applyFont="1" applyBorder="1" applyAlignment="1">
      <alignment wrapText="1"/>
    </xf>
    <xf numFmtId="0" fontId="4" fillId="0" borderId="58" xfId="3" applyFont="1" applyBorder="1" applyAlignment="1">
      <alignment horizontal="center" vertical="center" wrapText="1"/>
    </xf>
    <xf numFmtId="0" fontId="4" fillId="0" borderId="59" xfId="3" applyFont="1" applyBorder="1" applyAlignment="1">
      <alignment horizontal="center" vertical="top" wrapText="1"/>
    </xf>
    <xf numFmtId="166" fontId="25" fillId="0" borderId="53" xfId="1" applyFont="1" applyBorder="1"/>
    <xf numFmtId="166" fontId="25" fillId="0" borderId="57" xfId="1" applyFont="1" applyBorder="1"/>
    <xf numFmtId="166" fontId="25" fillId="0" borderId="27" xfId="1" applyFont="1" applyBorder="1"/>
    <xf numFmtId="164" fontId="4" fillId="0" borderId="9" xfId="2" applyNumberFormat="1" applyFont="1" applyBorder="1"/>
    <xf numFmtId="164" fontId="25" fillId="0" borderId="8" xfId="2" applyNumberFormat="1" applyFont="1" applyBorder="1"/>
    <xf numFmtId="164" fontId="25" fillId="0" borderId="53" xfId="2" applyNumberFormat="1" applyFont="1" applyBorder="1"/>
    <xf numFmtId="164" fontId="25" fillId="0" borderId="27" xfId="3" applyNumberFormat="1" applyFont="1" applyBorder="1"/>
    <xf numFmtId="164" fontId="25" fillId="0" borderId="9" xfId="2" applyNumberFormat="1" applyFont="1" applyBorder="1"/>
    <xf numFmtId="164" fontId="4" fillId="0" borderId="8" xfId="2" applyNumberFormat="1" applyFont="1" applyBorder="1"/>
    <xf numFmtId="164" fontId="4" fillId="0" borderId="53" xfId="2" applyNumberFormat="1" applyFont="1" applyBorder="1"/>
    <xf numFmtId="164" fontId="4" fillId="0" borderId="27" xfId="3" applyNumberFormat="1" applyFont="1" applyBorder="1"/>
    <xf numFmtId="166" fontId="4" fillId="0" borderId="53" xfId="2" applyFont="1" applyBorder="1"/>
    <xf numFmtId="0" fontId="4" fillId="0" borderId="34" xfId="3" applyFont="1" applyBorder="1"/>
    <xf numFmtId="0" fontId="27" fillId="0" borderId="0" xfId="3" applyFont="1" applyAlignment="1">
      <alignment vertical="center"/>
    </xf>
    <xf numFmtId="0" fontId="28" fillId="0" borderId="0" xfId="3" applyFont="1" applyAlignment="1">
      <alignment horizontal="center" vertical="center"/>
    </xf>
    <xf numFmtId="0" fontId="29" fillId="0" borderId="0" xfId="3" applyFont="1" applyAlignment="1">
      <alignment vertical="center"/>
    </xf>
    <xf numFmtId="0" fontId="30" fillId="0" borderId="0" xfId="3" applyFont="1" applyAlignment="1">
      <alignment vertical="center"/>
    </xf>
    <xf numFmtId="0" fontId="31" fillId="0" borderId="0" xfId="3" applyFont="1" applyAlignment="1">
      <alignment vertical="center"/>
    </xf>
    <xf numFmtId="0" fontId="32" fillId="0" borderId="0" xfId="3" applyFont="1" applyAlignment="1">
      <alignment vertical="center"/>
    </xf>
    <xf numFmtId="166" fontId="32" fillId="0" borderId="0" xfId="2" applyFont="1" applyAlignment="1">
      <alignment vertical="center"/>
    </xf>
    <xf numFmtId="166" fontId="27" fillId="0" borderId="0" xfId="2" applyFont="1" applyAlignment="1">
      <alignment vertical="center"/>
    </xf>
    <xf numFmtId="0" fontId="34" fillId="0" borderId="60" xfId="3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/>
    </xf>
    <xf numFmtId="166" fontId="28" fillId="0" borderId="0" xfId="2" applyFont="1" applyAlignment="1">
      <alignment horizontal="center" vertical="center"/>
    </xf>
    <xf numFmtId="0" fontId="34" fillId="0" borderId="64" xfId="3" applyFont="1" applyBorder="1" applyAlignment="1">
      <alignment horizontal="center" vertical="center"/>
    </xf>
    <xf numFmtId="0" fontId="34" fillId="0" borderId="65" xfId="3" applyFont="1" applyBorder="1" applyAlignment="1">
      <alignment horizontal="center" vertical="center"/>
    </xf>
    <xf numFmtId="0" fontId="35" fillId="0" borderId="66" xfId="3" applyFont="1" applyBorder="1" applyAlignment="1">
      <alignment horizontal="center" vertical="center"/>
    </xf>
    <xf numFmtId="166" fontId="35" fillId="0" borderId="66" xfId="3" applyNumberFormat="1" applyFont="1" applyBorder="1" applyAlignment="1">
      <alignment vertical="center"/>
    </xf>
    <xf numFmtId="166" fontId="35" fillId="0" borderId="66" xfId="2" applyFont="1" applyBorder="1" applyAlignment="1">
      <alignment vertical="center"/>
    </xf>
    <xf numFmtId="166" fontId="35" fillId="0" borderId="66" xfId="3" applyNumberFormat="1" applyFont="1" applyBorder="1" applyAlignment="1">
      <alignment horizontal="center" vertical="center"/>
    </xf>
    <xf numFmtId="0" fontId="32" fillId="0" borderId="66" xfId="3" applyFont="1" applyBorder="1" applyAlignment="1">
      <alignment vertical="center"/>
    </xf>
    <xf numFmtId="166" fontId="32" fillId="0" borderId="66" xfId="2" applyFont="1" applyBorder="1" applyAlignment="1">
      <alignment vertical="center"/>
    </xf>
    <xf numFmtId="166" fontId="32" fillId="0" borderId="66" xfId="3" applyNumberFormat="1" applyFont="1" applyBorder="1" applyAlignment="1">
      <alignment vertical="center"/>
    </xf>
    <xf numFmtId="166" fontId="32" fillId="0" borderId="0" xfId="3" applyNumberFormat="1" applyFont="1" applyAlignment="1">
      <alignment vertical="center"/>
    </xf>
    <xf numFmtId="43" fontId="32" fillId="0" borderId="0" xfId="3" applyNumberFormat="1" applyFont="1" applyAlignment="1">
      <alignment vertical="center"/>
    </xf>
    <xf numFmtId="43" fontId="32" fillId="0" borderId="66" xfId="3" applyNumberFormat="1" applyFont="1" applyBorder="1" applyAlignment="1">
      <alignment vertical="center"/>
    </xf>
    <xf numFmtId="0" fontId="29" fillId="0" borderId="66" xfId="3" applyFont="1" applyBorder="1" applyAlignment="1">
      <alignment vertical="center"/>
    </xf>
    <xf numFmtId="166" fontId="29" fillId="0" borderId="66" xfId="3" applyNumberFormat="1" applyFont="1" applyBorder="1" applyAlignment="1">
      <alignment vertical="center"/>
    </xf>
    <xf numFmtId="166" fontId="29" fillId="0" borderId="67" xfId="3" applyNumberFormat="1" applyFont="1" applyBorder="1" applyAlignment="1">
      <alignment vertical="center"/>
    </xf>
    <xf numFmtId="166" fontId="29" fillId="0" borderId="0" xfId="3" applyNumberFormat="1" applyFont="1" applyAlignment="1">
      <alignment vertical="center"/>
    </xf>
    <xf numFmtId="166" fontId="32" fillId="0" borderId="0" xfId="3" applyNumberFormat="1" applyFont="1" applyAlignment="1">
      <alignment horizontal="center" vertical="center"/>
    </xf>
    <xf numFmtId="166" fontId="36" fillId="0" borderId="0" xfId="3" applyNumberFormat="1" applyFont="1" applyAlignment="1">
      <alignment vertical="center"/>
    </xf>
    <xf numFmtId="166" fontId="29" fillId="0" borderId="0" xfId="2" applyFont="1" applyAlignment="1">
      <alignment vertical="center"/>
    </xf>
    <xf numFmtId="0" fontId="30" fillId="0" borderId="0" xfId="3" applyFont="1" applyAlignment="1">
      <alignment horizontal="left" vertical="center"/>
    </xf>
    <xf numFmtId="166" fontId="30" fillId="0" borderId="0" xfId="2" applyFont="1" applyAlignment="1">
      <alignment vertical="center"/>
    </xf>
    <xf numFmtId="166" fontId="30" fillId="0" borderId="0" xfId="3" applyNumberFormat="1" applyFont="1" applyAlignment="1">
      <alignment vertical="center"/>
    </xf>
    <xf numFmtId="0" fontId="37" fillId="0" borderId="0" xfId="3" applyFont="1" applyAlignment="1">
      <alignment horizontal="left" vertical="center"/>
    </xf>
    <xf numFmtId="0" fontId="31" fillId="0" borderId="0" xfId="3" applyFont="1" applyAlignment="1">
      <alignment horizontal="left" vertical="center"/>
    </xf>
    <xf numFmtId="166" fontId="31" fillId="0" borderId="0" xfId="2" applyFont="1" applyAlignment="1">
      <alignment vertical="center"/>
    </xf>
    <xf numFmtId="0" fontId="35" fillId="0" borderId="0" xfId="3" applyFont="1" applyAlignment="1">
      <alignment horizontal="center"/>
    </xf>
    <xf numFmtId="0" fontId="35" fillId="0" borderId="0" xfId="3" applyFont="1" applyAlignment="1">
      <alignment horizontal="center" vertical="center"/>
    </xf>
    <xf numFmtId="0" fontId="30" fillId="0" borderId="0" xfId="3" applyFont="1" applyAlignment="1">
      <alignment horizontal="left" vertical="center" indent="2"/>
    </xf>
    <xf numFmtId="0" fontId="38" fillId="0" borderId="0" xfId="3" applyFont="1" applyAlignment="1">
      <alignment vertical="center"/>
    </xf>
    <xf numFmtId="0" fontId="39" fillId="0" borderId="0" xfId="3" applyFont="1" applyAlignment="1">
      <alignment vertical="center"/>
    </xf>
    <xf numFmtId="0" fontId="40" fillId="0" borderId="0" xfId="3" applyFont="1" applyAlignment="1">
      <alignment vertical="center"/>
    </xf>
    <xf numFmtId="0" fontId="41" fillId="0" borderId="0" xfId="3" applyFont="1" applyAlignment="1">
      <alignment vertical="center"/>
    </xf>
    <xf numFmtId="0" fontId="42" fillId="0" borderId="0" xfId="3" applyFont="1" applyAlignment="1">
      <alignment horizontal="center" vertical="center"/>
    </xf>
    <xf numFmtId="0" fontId="32" fillId="0" borderId="5" xfId="3" applyFont="1" applyBorder="1" applyAlignment="1">
      <alignment vertical="center"/>
    </xf>
    <xf numFmtId="0" fontId="47" fillId="0" borderId="64" xfId="3" applyFont="1" applyBorder="1" applyAlignment="1">
      <alignment horizontal="center" vertical="center"/>
    </xf>
    <xf numFmtId="0" fontId="29" fillId="0" borderId="68" xfId="3" applyFont="1" applyBorder="1" applyAlignment="1">
      <alignment horizontal="left" vertical="center"/>
    </xf>
    <xf numFmtId="0" fontId="47" fillId="0" borderId="79" xfId="3" applyFont="1" applyBorder="1" applyAlignment="1">
      <alignment horizontal="center" vertical="center"/>
    </xf>
    <xf numFmtId="0" fontId="47" fillId="0" borderId="70" xfId="3" applyFont="1" applyBorder="1" applyAlignment="1">
      <alignment horizontal="center" vertical="center"/>
    </xf>
    <xf numFmtId="0" fontId="49" fillId="0" borderId="70" xfId="3" applyFont="1" applyBorder="1" applyAlignment="1">
      <alignment horizontal="center" vertical="center"/>
    </xf>
    <xf numFmtId="0" fontId="29" fillId="0" borderId="80" xfId="3" applyFont="1" applyBorder="1" applyAlignment="1">
      <alignment horizontal="left" vertical="center"/>
    </xf>
    <xf numFmtId="0" fontId="47" fillId="0" borderId="81" xfId="3" applyFont="1" applyBorder="1" applyAlignment="1">
      <alignment horizontal="center" vertical="center"/>
    </xf>
    <xf numFmtId="0" fontId="49" fillId="0" borderId="64" xfId="3" applyFont="1" applyBorder="1" applyAlignment="1">
      <alignment horizontal="center" vertical="center"/>
    </xf>
    <xf numFmtId="0" fontId="18" fillId="0" borderId="70" xfId="3" applyBorder="1"/>
    <xf numFmtId="0" fontId="18" fillId="0" borderId="64" xfId="3" applyBorder="1"/>
    <xf numFmtId="0" fontId="39" fillId="0" borderId="0" xfId="3" applyFont="1" applyAlignment="1">
      <alignment horizontal="center" vertical="center"/>
    </xf>
    <xf numFmtId="0" fontId="53" fillId="0" borderId="68" xfId="3" applyFont="1" applyBorder="1" applyAlignment="1">
      <alignment horizontal="center" vertical="center"/>
    </xf>
    <xf numFmtId="0" fontId="54" fillId="0" borderId="68" xfId="3" applyFont="1" applyBorder="1" applyAlignment="1">
      <alignment horizontal="center" vertical="center"/>
    </xf>
    <xf numFmtId="0" fontId="40" fillId="0" borderId="67" xfId="3" applyFont="1" applyBorder="1" applyAlignment="1">
      <alignment vertical="center"/>
    </xf>
    <xf numFmtId="0" fontId="54" fillId="0" borderId="71" xfId="3" applyFont="1" applyBorder="1" applyAlignment="1">
      <alignment horizontal="center" vertical="center"/>
    </xf>
    <xf numFmtId="0" fontId="56" fillId="0" borderId="75" xfId="3" applyFont="1" applyBorder="1" applyAlignment="1">
      <alignment vertical="center"/>
    </xf>
    <xf numFmtId="0" fontId="53" fillId="0" borderId="73" xfId="3" applyFont="1" applyBorder="1" applyAlignment="1">
      <alignment horizontal="center" vertical="center"/>
    </xf>
    <xf numFmtId="0" fontId="54" fillId="0" borderId="73" xfId="3" applyFont="1" applyBorder="1" applyAlignment="1">
      <alignment horizontal="center" vertical="center"/>
    </xf>
    <xf numFmtId="166" fontId="42" fillId="0" borderId="83" xfId="2" applyFont="1" applyBorder="1" applyAlignment="1">
      <alignment vertical="center"/>
    </xf>
    <xf numFmtId="166" fontId="42" fillId="0" borderId="84" xfId="2" applyFont="1" applyBorder="1" applyAlignment="1">
      <alignment horizontal="center" vertical="center"/>
    </xf>
    <xf numFmtId="166" fontId="42" fillId="0" borderId="85" xfId="2" applyFont="1" applyBorder="1" applyAlignment="1">
      <alignment vertical="center"/>
    </xf>
    <xf numFmtId="166" fontId="42" fillId="0" borderId="68" xfId="2" applyFont="1" applyBorder="1" applyAlignment="1">
      <alignment vertical="center"/>
    </xf>
    <xf numFmtId="166" fontId="42" fillId="0" borderId="80" xfId="2" applyFont="1" applyBorder="1" applyAlignment="1">
      <alignment horizontal="center" vertical="center"/>
    </xf>
    <xf numFmtId="166" fontId="32" fillId="0" borderId="68" xfId="2" applyFont="1" applyBorder="1" applyAlignment="1">
      <alignment vertical="center"/>
    </xf>
    <xf numFmtId="166" fontId="32" fillId="0" borderId="84" xfId="2" applyFont="1" applyBorder="1" applyAlignment="1">
      <alignment horizontal="center" vertical="center"/>
    </xf>
    <xf numFmtId="166" fontId="32" fillId="0" borderId="83" xfId="2" applyFont="1" applyBorder="1" applyAlignment="1">
      <alignment vertical="center"/>
    </xf>
    <xf numFmtId="0" fontId="47" fillId="0" borderId="87" xfId="3" applyFont="1" applyBorder="1" applyAlignment="1">
      <alignment horizontal="center" vertical="center"/>
    </xf>
    <xf numFmtId="0" fontId="47" fillId="0" borderId="88" xfId="3" applyFont="1" applyBorder="1" applyAlignment="1">
      <alignment horizontal="center" vertical="center"/>
    </xf>
    <xf numFmtId="166" fontId="32" fillId="0" borderId="68" xfId="2" applyFont="1" applyBorder="1" applyAlignment="1">
      <alignment horizontal="center" vertical="center"/>
    </xf>
    <xf numFmtId="166" fontId="32" fillId="0" borderId="83" xfId="2" applyFont="1" applyBorder="1" applyAlignment="1">
      <alignment horizontal="center" vertical="center"/>
    </xf>
    <xf numFmtId="0" fontId="47" fillId="0" borderId="89" xfId="3" applyFont="1" applyBorder="1" applyAlignment="1">
      <alignment horizontal="center" vertical="center"/>
    </xf>
    <xf numFmtId="0" fontId="47" fillId="0" borderId="90" xfId="3" applyFont="1" applyBorder="1" applyAlignment="1">
      <alignment horizontal="center" vertical="center"/>
    </xf>
    <xf numFmtId="166" fontId="32" fillId="0" borderId="80" xfId="2" applyFont="1" applyBorder="1" applyAlignment="1">
      <alignment horizontal="center" vertical="center"/>
    </xf>
    <xf numFmtId="166" fontId="32" fillId="0" borderId="84" xfId="2" applyFont="1" applyBorder="1" applyAlignment="1">
      <alignment vertical="center"/>
    </xf>
    <xf numFmtId="0" fontId="57" fillId="0" borderId="0" xfId="3" applyFont="1" applyAlignment="1">
      <alignment horizontal="center" vertical="center"/>
    </xf>
    <xf numFmtId="0" fontId="42" fillId="0" borderId="0" xfId="3" applyFont="1" applyAlignment="1">
      <alignment vertical="center"/>
    </xf>
    <xf numFmtId="0" fontId="32" fillId="0" borderId="0" xfId="3" applyFont="1" applyAlignment="1">
      <alignment horizontal="right" vertical="center"/>
    </xf>
    <xf numFmtId="0" fontId="59" fillId="0" borderId="0" xfId="3" applyFont="1" applyAlignment="1">
      <alignment horizontal="center" vertical="center"/>
    </xf>
    <xf numFmtId="0" fontId="53" fillId="0" borderId="71" xfId="3" applyFont="1" applyBorder="1" applyAlignment="1">
      <alignment horizontal="center" vertical="center"/>
    </xf>
    <xf numFmtId="0" fontId="53" fillId="0" borderId="86" xfId="3" applyFont="1" applyBorder="1" applyAlignment="1">
      <alignment horizontal="center" vertical="center"/>
    </xf>
    <xf numFmtId="0" fontId="53" fillId="0" borderId="43" xfId="3" applyFont="1" applyBorder="1" applyAlignment="1">
      <alignment horizontal="center" vertical="center"/>
    </xf>
    <xf numFmtId="166" fontId="40" fillId="0" borderId="0" xfId="2" applyFont="1" applyAlignment="1">
      <alignment vertical="center"/>
    </xf>
    <xf numFmtId="166" fontId="42" fillId="0" borderId="71" xfId="2" applyFont="1" applyBorder="1" applyAlignment="1">
      <alignment horizontal="center" vertical="center"/>
    </xf>
    <xf numFmtId="166" fontId="42" fillId="0" borderId="80" xfId="2" applyFont="1" applyFill="1" applyBorder="1" applyAlignment="1">
      <alignment horizontal="center" vertical="center"/>
    </xf>
    <xf numFmtId="166" fontId="42" fillId="0" borderId="8" xfId="2" applyFont="1" applyFill="1" applyBorder="1" applyAlignment="1">
      <alignment horizontal="center" vertical="center"/>
    </xf>
    <xf numFmtId="166" fontId="42" fillId="0" borderId="88" xfId="2" applyFont="1" applyBorder="1" applyAlignment="1">
      <alignment vertical="center"/>
    </xf>
    <xf numFmtId="166" fontId="32" fillId="0" borderId="88" xfId="2" applyFont="1" applyBorder="1" applyAlignment="1">
      <alignment vertical="center"/>
    </xf>
    <xf numFmtId="166" fontId="29" fillId="0" borderId="83" xfId="2" applyFont="1" applyBorder="1" applyAlignment="1">
      <alignment horizontal="left" vertical="center"/>
    </xf>
    <xf numFmtId="166" fontId="29" fillId="0" borderId="84" xfId="2" applyFont="1" applyBorder="1" applyAlignment="1">
      <alignment horizontal="left" vertical="center"/>
    </xf>
    <xf numFmtId="0" fontId="45" fillId="0" borderId="80" xfId="3" applyFont="1" applyBorder="1" applyAlignment="1">
      <alignment horizontal="center" vertical="center"/>
    </xf>
    <xf numFmtId="0" fontId="29" fillId="0" borderId="23" xfId="3" applyFont="1" applyBorder="1" applyAlignment="1">
      <alignment horizontal="left" vertical="center"/>
    </xf>
    <xf numFmtId="0" fontId="51" fillId="0" borderId="91" xfId="3" applyFont="1" applyBorder="1" applyAlignment="1">
      <alignment horizontal="center" vertical="center"/>
    </xf>
    <xf numFmtId="0" fontId="47" fillId="0" borderId="75" xfId="3" applyFont="1" applyBorder="1" applyAlignment="1">
      <alignment horizontal="center" vertical="center"/>
    </xf>
    <xf numFmtId="0" fontId="29" fillId="0" borderId="0" xfId="3" applyFont="1" applyAlignment="1">
      <alignment horizontal="left" vertical="center" indent="6"/>
    </xf>
    <xf numFmtId="0" fontId="30" fillId="0" borderId="0" xfId="3" applyFont="1" applyAlignment="1">
      <alignment horizontal="left" vertical="center" indent="6"/>
    </xf>
    <xf numFmtId="0" fontId="51" fillId="0" borderId="75" xfId="3" applyFont="1" applyBorder="1" applyAlignment="1">
      <alignment horizontal="center" vertical="center"/>
    </xf>
    <xf numFmtId="0" fontId="47" fillId="0" borderId="92" xfId="3" applyFont="1" applyBorder="1" applyAlignment="1">
      <alignment horizontal="center" vertical="center"/>
    </xf>
    <xf numFmtId="0" fontId="47" fillId="0" borderId="93" xfId="3" applyFont="1" applyBorder="1" applyAlignment="1">
      <alignment horizontal="center" vertical="center"/>
    </xf>
    <xf numFmtId="166" fontId="32" fillId="0" borderId="85" xfId="2" applyFont="1" applyBorder="1" applyAlignment="1">
      <alignment horizontal="center" vertical="center"/>
    </xf>
    <xf numFmtId="166" fontId="51" fillId="0" borderId="23" xfId="2" applyFont="1" applyBorder="1" applyAlignment="1">
      <alignment horizontal="center" vertical="center"/>
    </xf>
    <xf numFmtId="166" fontId="29" fillId="0" borderId="0" xfId="3" applyNumberFormat="1" applyFont="1" applyAlignment="1">
      <alignment horizontal="center" vertical="center"/>
    </xf>
    <xf numFmtId="166" fontId="61" fillId="0" borderId="86" xfId="2" applyFont="1" applyBorder="1" applyAlignment="1">
      <alignment horizontal="center" vertical="center"/>
    </xf>
    <xf numFmtId="166" fontId="61" fillId="0" borderId="43" xfId="2" applyFont="1" applyBorder="1" applyAlignment="1">
      <alignment horizontal="center" vertical="center"/>
    </xf>
    <xf numFmtId="166" fontId="29" fillId="0" borderId="28" xfId="2" applyFont="1" applyBorder="1" applyAlignment="1">
      <alignment horizontal="center" vertical="center"/>
    </xf>
    <xf numFmtId="0" fontId="32" fillId="0" borderId="86" xfId="3" applyFont="1" applyBorder="1" applyAlignment="1">
      <alignment horizontal="left" vertical="center"/>
    </xf>
    <xf numFmtId="166" fontId="62" fillId="0" borderId="10" xfId="3" applyNumberFormat="1" applyFont="1" applyBorder="1" applyAlignment="1">
      <alignment horizontal="center" vertical="center"/>
    </xf>
    <xf numFmtId="0" fontId="29" fillId="0" borderId="10" xfId="3" applyFont="1" applyBorder="1" applyAlignment="1">
      <alignment horizontal="center" vertical="center"/>
    </xf>
    <xf numFmtId="166" fontId="62" fillId="0" borderId="0" xfId="3" applyNumberFormat="1" applyFont="1" applyAlignment="1">
      <alignment horizontal="center" vertical="center"/>
    </xf>
    <xf numFmtId="43" fontId="29" fillId="0" borderId="0" xfId="3" applyNumberFormat="1" applyFont="1" applyAlignment="1">
      <alignment vertical="center"/>
    </xf>
    <xf numFmtId="0" fontId="63" fillId="0" borderId="0" xfId="0" applyFont="1"/>
    <xf numFmtId="0" fontId="63" fillId="0" borderId="0" xfId="0" applyFont="1" applyAlignment="1">
      <alignment horizontal="left" indent="2"/>
    </xf>
    <xf numFmtId="0" fontId="64" fillId="0" borderId="0" xfId="0" applyFont="1"/>
    <xf numFmtId="0" fontId="65" fillId="2" borderId="16" xfId="0" applyFont="1" applyFill="1" applyBorder="1" applyAlignment="1">
      <alignment vertical="center"/>
    </xf>
    <xf numFmtId="0" fontId="63" fillId="0" borderId="14" xfId="0" applyFont="1" applyBorder="1"/>
    <xf numFmtId="0" fontId="63" fillId="0" borderId="15" xfId="0" applyFont="1" applyBorder="1"/>
    <xf numFmtId="0" fontId="66" fillId="0" borderId="15" xfId="0" applyFont="1" applyBorder="1" applyAlignment="1">
      <alignment horizontal="center"/>
    </xf>
    <xf numFmtId="0" fontId="63" fillId="0" borderId="9" xfId="0" applyFont="1" applyBorder="1" applyAlignment="1">
      <alignment horizontal="left" indent="2"/>
    </xf>
    <xf numFmtId="0" fontId="63" fillId="0" borderId="8" xfId="0" applyFont="1" applyBorder="1"/>
    <xf numFmtId="0" fontId="63" fillId="0" borderId="9" xfId="0" applyFont="1" applyBorder="1" applyAlignment="1">
      <alignment horizontal="left" indent="1"/>
    </xf>
    <xf numFmtId="0" fontId="63" fillId="0" borderId="8" xfId="0" applyFont="1" applyBorder="1" applyAlignment="1">
      <alignment horizontal="left" indent="1"/>
    </xf>
    <xf numFmtId="0" fontId="63" fillId="0" borderId="9" xfId="0" applyFont="1" applyBorder="1" applyAlignment="1">
      <alignment horizontal="left" indent="5"/>
    </xf>
    <xf numFmtId="0" fontId="63" fillId="0" borderId="0" xfId="0" applyFont="1" applyAlignment="1">
      <alignment horizontal="left"/>
    </xf>
    <xf numFmtId="0" fontId="63" fillId="0" borderId="8" xfId="0" applyFont="1" applyBorder="1" applyAlignment="1">
      <alignment horizontal="center"/>
    </xf>
    <xf numFmtId="0" fontId="63" fillId="0" borderId="9" xfId="0" applyFont="1" applyBorder="1"/>
    <xf numFmtId="0" fontId="64" fillId="0" borderId="28" xfId="0" applyFont="1" applyBorder="1"/>
    <xf numFmtId="0" fontId="63" fillId="0" borderId="43" xfId="0" applyFont="1" applyBorder="1"/>
    <xf numFmtId="0" fontId="63" fillId="0" borderId="9" xfId="0" applyFont="1" applyBorder="1" applyAlignment="1">
      <alignment horizontal="left" indent="7"/>
    </xf>
    <xf numFmtId="0" fontId="63" fillId="0" borderId="28" xfId="0" applyFont="1" applyBorder="1" applyAlignment="1">
      <alignment horizontal="left" indent="2"/>
    </xf>
    <xf numFmtId="0" fontId="64" fillId="0" borderId="9" xfId="0" applyFont="1" applyBorder="1" applyAlignment="1">
      <alignment horizontal="left"/>
    </xf>
    <xf numFmtId="0" fontId="64" fillId="0" borderId="28" xfId="0" applyFont="1" applyBorder="1" applyAlignment="1">
      <alignment horizontal="left"/>
    </xf>
    <xf numFmtId="0" fontId="63" fillId="0" borderId="29" xfId="0" applyFont="1" applyBorder="1"/>
    <xf numFmtId="0" fontId="63" fillId="0" borderId="28" xfId="0" applyFont="1" applyBorder="1" applyAlignment="1">
      <alignment horizontal="left" indent="1"/>
    </xf>
    <xf numFmtId="0" fontId="64" fillId="0" borderId="16" xfId="0" applyFont="1" applyBorder="1"/>
    <xf numFmtId="0" fontId="63" fillId="0" borderId="9" xfId="0" quotePrefix="1" applyFont="1" applyBorder="1" applyAlignment="1">
      <alignment horizontal="left" indent="5"/>
    </xf>
    <xf numFmtId="0" fontId="63" fillId="0" borderId="43" xfId="0" quotePrefix="1" applyFont="1" applyBorder="1" applyAlignment="1">
      <alignment horizontal="left" indent="1"/>
    </xf>
    <xf numFmtId="0" fontId="73" fillId="0" borderId="71" xfId="3" applyFont="1" applyBorder="1" applyAlignment="1">
      <alignment horizontal="center" vertical="center"/>
    </xf>
    <xf numFmtId="0" fontId="55" fillId="0" borderId="57" xfId="3" applyFont="1" applyBorder="1" applyAlignment="1">
      <alignment horizontal="center" vertical="center"/>
    </xf>
    <xf numFmtId="0" fontId="11" fillId="0" borderId="0" xfId="3" applyFont="1" applyAlignment="1" applyProtection="1">
      <alignment horizontal="center"/>
      <protection locked="0"/>
    </xf>
    <xf numFmtId="0" fontId="50" fillId="0" borderId="14" xfId="3" applyFont="1" applyBorder="1" applyAlignment="1">
      <alignment vertical="top" wrapText="1"/>
    </xf>
    <xf numFmtId="0" fontId="71" fillId="0" borderId="14" xfId="3" applyFont="1" applyBorder="1" applyAlignment="1">
      <alignment vertical="top" wrapText="1"/>
    </xf>
    <xf numFmtId="0" fontId="40" fillId="0" borderId="72" xfId="3" applyFont="1" applyBorder="1" applyAlignment="1">
      <alignment horizontal="center" vertical="center"/>
    </xf>
    <xf numFmtId="0" fontId="40" fillId="0" borderId="66" xfId="3" applyFont="1" applyBorder="1" applyAlignment="1">
      <alignment horizontal="center" vertical="center"/>
    </xf>
    <xf numFmtId="0" fontId="56" fillId="0" borderId="74" xfId="3" applyFont="1" applyBorder="1" applyAlignment="1">
      <alignment vertical="center"/>
    </xf>
    <xf numFmtId="0" fontId="40" fillId="0" borderId="10" xfId="3" applyFont="1" applyBorder="1" applyAlignment="1">
      <alignment vertical="center"/>
    </xf>
    <xf numFmtId="0" fontId="32" fillId="0" borderId="10" xfId="3" applyFont="1" applyBorder="1" applyAlignment="1">
      <alignment vertical="center"/>
    </xf>
    <xf numFmtId="0" fontId="29" fillId="0" borderId="10" xfId="3" applyFont="1" applyBorder="1" applyAlignment="1">
      <alignment vertical="center"/>
    </xf>
    <xf numFmtId="0" fontId="74" fillId="0" borderId="10" xfId="3" applyFont="1" applyBorder="1" applyAlignment="1">
      <alignment vertical="center"/>
    </xf>
    <xf numFmtId="0" fontId="75" fillId="0" borderId="10" xfId="3" applyFont="1" applyBorder="1" applyAlignment="1">
      <alignment vertical="center"/>
    </xf>
    <xf numFmtId="0" fontId="29" fillId="0" borderId="39" xfId="3" applyFont="1" applyBorder="1" applyAlignment="1">
      <alignment horizontal="center" vertical="center"/>
    </xf>
    <xf numFmtId="166" fontId="29" fillId="0" borderId="10" xfId="3" applyNumberFormat="1" applyFont="1" applyBorder="1" applyAlignment="1">
      <alignment horizontal="center" vertical="center"/>
    </xf>
    <xf numFmtId="44" fontId="37" fillId="0" borderId="0" xfId="3" applyNumberFormat="1" applyFont="1" applyAlignment="1">
      <alignment vertical="center"/>
    </xf>
    <xf numFmtId="0" fontId="79" fillId="3" borderId="94" xfId="0" applyFont="1" applyFill="1" applyBorder="1" applyAlignment="1">
      <alignment wrapText="1"/>
    </xf>
    <xf numFmtId="0" fontId="79" fillId="3" borderId="95" xfId="0" applyFont="1" applyFill="1" applyBorder="1" applyAlignment="1">
      <alignment wrapText="1"/>
    </xf>
    <xf numFmtId="0" fontId="80" fillId="4" borderId="96" xfId="0" applyFont="1" applyFill="1" applyBorder="1" applyAlignment="1">
      <alignment wrapText="1"/>
    </xf>
    <xf numFmtId="0" fontId="80" fillId="4" borderId="97" xfId="0" applyFont="1" applyFill="1" applyBorder="1" applyAlignment="1">
      <alignment wrapText="1"/>
    </xf>
    <xf numFmtId="0" fontId="80" fillId="0" borderId="96" xfId="0" applyFont="1" applyBorder="1" applyAlignment="1">
      <alignment wrapText="1"/>
    </xf>
    <xf numFmtId="0" fontId="80" fillId="0" borderId="97" xfId="0" applyFont="1" applyBorder="1" applyAlignment="1">
      <alignment wrapText="1"/>
    </xf>
    <xf numFmtId="0" fontId="80" fillId="2" borderId="96" xfId="0" applyFont="1" applyFill="1" applyBorder="1" applyAlignment="1">
      <alignment wrapText="1"/>
    </xf>
    <xf numFmtId="16" fontId="32" fillId="0" borderId="0" xfId="3" applyNumberFormat="1" applyFont="1" applyAlignment="1">
      <alignment vertical="center"/>
    </xf>
    <xf numFmtId="166" fontId="32" fillId="0" borderId="23" xfId="2" applyFont="1" applyBorder="1" applyAlignment="1">
      <alignment horizontal="center" vertical="center"/>
    </xf>
    <xf numFmtId="166" fontId="32" fillId="0" borderId="43" xfId="2" applyFont="1" applyBorder="1" applyAlignment="1">
      <alignment horizontal="center" vertical="center"/>
    </xf>
    <xf numFmtId="0" fontId="45" fillId="0" borderId="68" xfId="3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47" fillId="0" borderId="70" xfId="0" applyFont="1" applyBorder="1" applyAlignment="1">
      <alignment horizontal="center" vertical="center"/>
    </xf>
    <xf numFmtId="16" fontId="47" fillId="0" borderId="70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7" fillId="0" borderId="70" xfId="4" applyFont="1" applyBorder="1" applyAlignment="1">
      <alignment horizontal="center" vertical="center"/>
    </xf>
    <xf numFmtId="0" fontId="29" fillId="0" borderId="5" xfId="4" applyFont="1" applyBorder="1" applyAlignment="1">
      <alignment horizontal="center" vertical="center"/>
    </xf>
    <xf numFmtId="166" fontId="36" fillId="0" borderId="10" xfId="3" applyNumberFormat="1" applyFont="1" applyBorder="1" applyAlignment="1">
      <alignment horizontal="center" vertical="center"/>
    </xf>
    <xf numFmtId="166" fontId="84" fillId="0" borderId="10" xfId="3" applyNumberFormat="1" applyFont="1" applyBorder="1" applyAlignment="1">
      <alignment horizontal="center" vertical="center"/>
    </xf>
    <xf numFmtId="166" fontId="85" fillId="0" borderId="83" xfId="2" applyFont="1" applyBorder="1" applyAlignment="1">
      <alignment vertical="center"/>
    </xf>
    <xf numFmtId="166" fontId="85" fillId="0" borderId="68" xfId="2" applyFont="1" applyBorder="1" applyAlignment="1">
      <alignment vertical="center"/>
    </xf>
    <xf numFmtId="166" fontId="85" fillId="0" borderId="84" xfId="2" applyFont="1" applyBorder="1" applyAlignment="1">
      <alignment horizontal="center" vertical="center"/>
    </xf>
    <xf numFmtId="166" fontId="85" fillId="0" borderId="80" xfId="2" applyFont="1" applyBorder="1" applyAlignment="1">
      <alignment horizontal="center" vertical="center"/>
    </xf>
    <xf numFmtId="166" fontId="85" fillId="0" borderId="71" xfId="2" applyFont="1" applyBorder="1" applyAlignment="1">
      <alignment horizontal="center" vertical="center"/>
    </xf>
    <xf numFmtId="166" fontId="85" fillId="0" borderId="85" xfId="2" applyFont="1" applyBorder="1" applyAlignment="1">
      <alignment vertical="center"/>
    </xf>
    <xf numFmtId="166" fontId="85" fillId="0" borderId="80" xfId="2" applyFont="1" applyFill="1" applyBorder="1" applyAlignment="1">
      <alignment horizontal="center" vertical="center"/>
    </xf>
    <xf numFmtId="166" fontId="85" fillId="0" borderId="8" xfId="2" applyFont="1" applyFill="1" applyBorder="1" applyAlignment="1">
      <alignment horizontal="center" vertical="center"/>
    </xf>
    <xf numFmtId="166" fontId="85" fillId="0" borderId="15" xfId="2" applyFont="1" applyBorder="1" applyAlignment="1">
      <alignment vertical="center"/>
    </xf>
    <xf numFmtId="166" fontId="85" fillId="0" borderId="73" xfId="2" applyFont="1" applyBorder="1" applyAlignment="1">
      <alignment horizontal="center" vertical="center"/>
    </xf>
    <xf numFmtId="166" fontId="85" fillId="0" borderId="86" xfId="2" applyFont="1" applyBorder="1" applyAlignment="1">
      <alignment horizontal="center" vertical="center"/>
    </xf>
    <xf numFmtId="166" fontId="85" fillId="0" borderId="8" xfId="2" applyFont="1" applyBorder="1" applyAlignment="1">
      <alignment horizontal="center" vertical="center"/>
    </xf>
    <xf numFmtId="166" fontId="85" fillId="0" borderId="53" xfId="2" applyFont="1" applyBorder="1" applyAlignment="1">
      <alignment horizontal="center" vertical="center"/>
    </xf>
    <xf numFmtId="0" fontId="51" fillId="0" borderId="60" xfId="3" applyFont="1" applyBorder="1" applyAlignment="1">
      <alignment horizontal="center" vertical="center" wrapText="1"/>
    </xf>
    <xf numFmtId="0" fontId="51" fillId="0" borderId="78" xfId="3" applyFont="1" applyBorder="1" applyAlignment="1">
      <alignment horizontal="center" vertical="center" wrapText="1"/>
    </xf>
    <xf numFmtId="0" fontId="47" fillId="0" borderId="76" xfId="3" applyFont="1" applyBorder="1" applyAlignment="1">
      <alignment horizontal="center" vertical="center"/>
    </xf>
    <xf numFmtId="0" fontId="47" fillId="0" borderId="77" xfId="3" applyFont="1" applyBorder="1" applyAlignment="1">
      <alignment horizontal="center" vertical="center"/>
    </xf>
    <xf numFmtId="0" fontId="47" fillId="0" borderId="60" xfId="3" applyFont="1" applyBorder="1" applyAlignment="1">
      <alignment horizontal="center" vertical="center"/>
    </xf>
    <xf numFmtId="0" fontId="47" fillId="0" borderId="78" xfId="3" applyFont="1" applyBorder="1" applyAlignment="1">
      <alignment horizontal="center" vertical="center"/>
    </xf>
    <xf numFmtId="0" fontId="47" fillId="0" borderId="60" xfId="3" applyFont="1" applyBorder="1" applyAlignment="1">
      <alignment horizontal="center" vertical="center" wrapText="1"/>
    </xf>
    <xf numFmtId="0" fontId="47" fillId="0" borderId="78" xfId="3" applyFont="1" applyBorder="1" applyAlignment="1">
      <alignment horizontal="center" vertical="center" wrapText="1"/>
    </xf>
    <xf numFmtId="0" fontId="44" fillId="0" borderId="73" xfId="3" applyFont="1" applyBorder="1" applyAlignment="1">
      <alignment horizontal="center" vertical="center"/>
    </xf>
    <xf numFmtId="166" fontId="27" fillId="0" borderId="83" xfId="2" applyFont="1" applyBorder="1" applyAlignment="1">
      <alignment horizontal="left" vertical="center"/>
    </xf>
    <xf numFmtId="166" fontId="27" fillId="0" borderId="84" xfId="2" applyFont="1" applyBorder="1" applyAlignment="1">
      <alignment horizontal="left" vertical="center"/>
    </xf>
    <xf numFmtId="0" fontId="36" fillId="0" borderId="70" xfId="4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6" fillId="0" borderId="76" xfId="3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166" fontId="33" fillId="0" borderId="10" xfId="3" applyNumberFormat="1" applyFont="1" applyBorder="1" applyAlignment="1">
      <alignment horizontal="center" vertical="center"/>
    </xf>
    <xf numFmtId="166" fontId="88" fillId="0" borderId="10" xfId="3" applyNumberFormat="1" applyFont="1" applyBorder="1" applyAlignment="1">
      <alignment horizontal="center" vertical="center"/>
    </xf>
    <xf numFmtId="0" fontId="32" fillId="0" borderId="0" xfId="5" applyFont="1" applyAlignment="1">
      <alignment vertical="center"/>
    </xf>
    <xf numFmtId="0" fontId="92" fillId="0" borderId="0" xfId="7" applyFont="1"/>
    <xf numFmtId="0" fontId="91" fillId="0" borderId="13" xfId="7" applyFont="1" applyBorder="1"/>
    <xf numFmtId="0" fontId="91" fillId="0" borderId="14" xfId="7" applyFont="1" applyBorder="1"/>
    <xf numFmtId="0" fontId="91" fillId="0" borderId="15" xfId="7" applyFont="1" applyBorder="1"/>
    <xf numFmtId="0" fontId="91" fillId="0" borderId="16" xfId="7" applyFont="1" applyBorder="1"/>
    <xf numFmtId="0" fontId="91" fillId="0" borderId="57" xfId="7" applyFont="1" applyBorder="1"/>
    <xf numFmtId="0" fontId="91" fillId="0" borderId="9" xfId="7" quotePrefix="1" applyFont="1" applyBorder="1"/>
    <xf numFmtId="0" fontId="91" fillId="0" borderId="8" xfId="7" quotePrefix="1" applyFont="1" applyBorder="1"/>
    <xf numFmtId="0" fontId="91" fillId="0" borderId="53" xfId="7" applyFont="1" applyBorder="1"/>
    <xf numFmtId="0" fontId="91" fillId="0" borderId="3" xfId="7" applyFont="1" applyBorder="1" applyAlignment="1">
      <alignment horizontal="center"/>
    </xf>
    <xf numFmtId="0" fontId="91" fillId="0" borderId="0" xfId="7" applyFont="1" applyAlignment="1">
      <alignment horizontal="center"/>
    </xf>
    <xf numFmtId="0" fontId="91" fillId="0" borderId="8" xfId="7" applyFont="1" applyBorder="1" applyAlignment="1">
      <alignment horizontal="center"/>
    </xf>
    <xf numFmtId="0" fontId="91" fillId="0" borderId="3" xfId="7" applyFont="1" applyBorder="1"/>
    <xf numFmtId="0" fontId="91" fillId="0" borderId="0" xfId="7" applyFont="1"/>
    <xf numFmtId="0" fontId="91" fillId="0" borderId="8" xfId="7" applyFont="1" applyBorder="1"/>
    <xf numFmtId="0" fontId="91" fillId="0" borderId="9" xfId="7" applyFont="1" applyBorder="1"/>
    <xf numFmtId="0" fontId="91" fillId="0" borderId="53" xfId="7" applyFont="1" applyBorder="1" applyAlignment="1">
      <alignment horizontal="center"/>
    </xf>
    <xf numFmtId="0" fontId="91" fillId="0" borderId="4" xfId="7" applyFont="1" applyBorder="1"/>
    <xf numFmtId="0" fontId="91" fillId="0" borderId="5" xfId="7" applyFont="1" applyBorder="1" applyAlignment="1">
      <alignment wrapText="1"/>
    </xf>
    <xf numFmtId="0" fontId="91" fillId="0" borderId="11" xfId="7" applyFont="1" applyBorder="1" applyAlignment="1">
      <alignment wrapText="1"/>
    </xf>
    <xf numFmtId="0" fontId="91" fillId="0" borderId="12" xfId="7" applyFont="1" applyBorder="1" applyAlignment="1">
      <alignment wrapText="1"/>
    </xf>
    <xf numFmtId="0" fontId="96" fillId="0" borderId="2" xfId="7" applyFont="1" applyBorder="1" applyAlignment="1">
      <alignment vertical="center"/>
    </xf>
    <xf numFmtId="0" fontId="91" fillId="0" borderId="2" xfId="7" applyFont="1" applyBorder="1"/>
    <xf numFmtId="0" fontId="91" fillId="0" borderId="2" xfId="7" applyFont="1" applyBorder="1" applyAlignment="1">
      <alignment wrapText="1"/>
    </xf>
    <xf numFmtId="0" fontId="96" fillId="0" borderId="2" xfId="7" applyFont="1" applyBorder="1" applyAlignment="1">
      <alignment wrapText="1"/>
    </xf>
    <xf numFmtId="0" fontId="96" fillId="0" borderId="32" xfId="7" applyFont="1" applyBorder="1" applyAlignment="1">
      <alignment wrapText="1"/>
    </xf>
    <xf numFmtId="0" fontId="96" fillId="0" borderId="2" xfId="7" applyFont="1" applyBorder="1" applyAlignment="1">
      <alignment horizontal="left" vertical="center" wrapText="1"/>
    </xf>
    <xf numFmtId="0" fontId="91" fillId="0" borderId="27" xfId="7" applyFont="1" applyBorder="1"/>
    <xf numFmtId="0" fontId="96" fillId="0" borderId="0" xfId="7" applyFont="1"/>
    <xf numFmtId="0" fontId="96" fillId="0" borderId="3" xfId="7" applyFont="1" applyBorder="1"/>
    <xf numFmtId="0" fontId="91" fillId="0" borderId="3" xfId="7" applyFont="1" applyBorder="1" applyAlignment="1">
      <alignment wrapText="1"/>
    </xf>
    <xf numFmtId="0" fontId="91" fillId="0" borderId="0" xfId="7" applyFont="1" applyAlignment="1">
      <alignment wrapText="1"/>
    </xf>
    <xf numFmtId="0" fontId="91" fillId="0" borderId="0" xfId="7" applyFont="1" applyAlignment="1">
      <alignment horizontal="left"/>
    </xf>
    <xf numFmtId="0" fontId="91" fillId="0" borderId="3" xfId="7" applyFont="1" applyBorder="1" applyAlignment="1">
      <alignment vertical="center" wrapText="1"/>
    </xf>
    <xf numFmtId="0" fontId="91" fillId="0" borderId="0" xfId="7" applyFont="1" applyAlignment="1">
      <alignment vertical="center" wrapText="1"/>
    </xf>
    <xf numFmtId="0" fontId="91" fillId="0" borderId="27" xfId="7" applyFont="1" applyBorder="1" applyAlignment="1">
      <alignment vertical="center" wrapText="1"/>
    </xf>
    <xf numFmtId="0" fontId="96" fillId="0" borderId="0" xfId="3" applyFont="1" applyAlignment="1">
      <alignment horizontal="left"/>
    </xf>
    <xf numFmtId="0" fontId="96" fillId="0" borderId="0" xfId="3" applyFont="1" applyAlignment="1">
      <alignment vertical="center" wrapText="1"/>
    </xf>
    <xf numFmtId="0" fontId="91" fillId="0" borderId="0" xfId="3" applyFont="1" applyAlignment="1">
      <alignment vertical="center" wrapText="1"/>
    </xf>
    <xf numFmtId="0" fontId="91" fillId="0" borderId="27" xfId="3" applyFont="1" applyBorder="1" applyAlignment="1">
      <alignment vertical="center" wrapText="1"/>
    </xf>
    <xf numFmtId="0" fontId="91" fillId="0" borderId="0" xfId="3" applyFont="1"/>
    <xf numFmtId="0" fontId="91" fillId="0" borderId="0" xfId="3" applyFont="1" applyAlignment="1">
      <alignment horizontal="left"/>
    </xf>
    <xf numFmtId="0" fontId="91" fillId="0" borderId="4" xfId="7" applyFont="1" applyBorder="1" applyAlignment="1">
      <alignment vertical="center" wrapText="1"/>
    </xf>
    <xf numFmtId="0" fontId="91" fillId="0" borderId="5" xfId="7" applyFont="1" applyBorder="1" applyAlignment="1">
      <alignment vertical="center" wrapText="1"/>
    </xf>
    <xf numFmtId="0" fontId="91" fillId="0" borderId="34" xfId="7" applyFont="1" applyBorder="1" applyAlignment="1">
      <alignment vertical="center" wrapText="1"/>
    </xf>
    <xf numFmtId="0" fontId="91" fillId="0" borderId="34" xfId="7" applyFont="1" applyBorder="1" applyAlignment="1">
      <alignment wrapText="1"/>
    </xf>
    <xf numFmtId="0" fontId="91" fillId="0" borderId="46" xfId="7" applyFont="1" applyBorder="1"/>
    <xf numFmtId="0" fontId="91" fillId="0" borderId="7" xfId="7" applyFont="1" applyBorder="1"/>
    <xf numFmtId="0" fontId="91" fillId="0" borderId="32" xfId="7" applyFont="1" applyBorder="1"/>
    <xf numFmtId="0" fontId="96" fillId="0" borderId="47" xfId="7" applyFont="1" applyBorder="1"/>
    <xf numFmtId="0" fontId="91" fillId="0" borderId="53" xfId="7" applyFont="1" applyBorder="1" applyAlignment="1">
      <alignment horizontal="center" vertical="center"/>
    </xf>
    <xf numFmtId="0" fontId="91" fillId="0" borderId="58" xfId="7" applyFont="1" applyBorder="1" applyAlignment="1">
      <alignment horizontal="center" vertical="center" wrapText="1"/>
    </xf>
    <xf numFmtId="0" fontId="91" fillId="0" borderId="23" xfId="7" applyFont="1" applyBorder="1" applyAlignment="1">
      <alignment horizontal="center" vertical="top"/>
    </xf>
    <xf numFmtId="0" fontId="91" fillId="0" borderId="59" xfId="7" applyFont="1" applyBorder="1" applyAlignment="1">
      <alignment horizontal="center" vertical="top" wrapText="1"/>
    </xf>
    <xf numFmtId="167" fontId="91" fillId="0" borderId="52" xfId="7" quotePrefix="1" applyNumberFormat="1" applyFont="1" applyBorder="1"/>
    <xf numFmtId="164" fontId="91" fillId="0" borderId="57" xfId="2" applyNumberFormat="1" applyFont="1" applyBorder="1"/>
    <xf numFmtId="164" fontId="91" fillId="0" borderId="27" xfId="2" applyNumberFormat="1" applyFont="1" applyBorder="1"/>
    <xf numFmtId="164" fontId="91" fillId="0" borderId="9" xfId="2" applyNumberFormat="1" applyFont="1" applyBorder="1"/>
    <xf numFmtId="164" fontId="91" fillId="0" borderId="8" xfId="2" applyNumberFormat="1" applyFont="1" applyBorder="1"/>
    <xf numFmtId="164" fontId="91" fillId="0" borderId="53" xfId="2" applyNumberFormat="1" applyFont="1" applyBorder="1"/>
    <xf numFmtId="164" fontId="91" fillId="0" borderId="27" xfId="7" applyNumberFormat="1" applyFont="1" applyBorder="1"/>
    <xf numFmtId="166" fontId="91" fillId="0" borderId="53" xfId="2" applyFont="1" applyBorder="1"/>
    <xf numFmtId="167" fontId="91" fillId="0" borderId="52" xfId="7" applyNumberFormat="1" applyFont="1" applyBorder="1"/>
    <xf numFmtId="167" fontId="91" fillId="0" borderId="54" xfId="7" applyNumberFormat="1" applyFont="1" applyBorder="1"/>
    <xf numFmtId="0" fontId="91" fillId="0" borderId="12" xfId="7" applyFont="1" applyBorder="1"/>
    <xf numFmtId="0" fontId="91" fillId="0" borderId="5" xfId="7" applyFont="1" applyBorder="1"/>
    <xf numFmtId="0" fontId="91" fillId="0" borderId="11" xfId="7" applyFont="1" applyBorder="1"/>
    <xf numFmtId="0" fontId="91" fillId="0" borderId="55" xfId="7" applyFont="1" applyBorder="1"/>
    <xf numFmtId="0" fontId="91" fillId="0" borderId="34" xfId="7" applyFont="1" applyBorder="1"/>
    <xf numFmtId="0" fontId="102" fillId="0" borderId="0" xfId="7" applyFont="1"/>
    <xf numFmtId="0" fontId="92" fillId="0" borderId="0" xfId="99" applyFont="1" applyAlignment="1" applyProtection="1">
      <alignment vertical="center"/>
      <protection locked="0"/>
    </xf>
    <xf numFmtId="0" fontId="90" fillId="0" borderId="0" xfId="99" applyFont="1" applyAlignment="1" applyProtection="1">
      <alignment horizontal="left" vertical="center" wrapText="1"/>
      <protection locked="0"/>
    </xf>
    <xf numFmtId="0" fontId="92" fillId="0" borderId="0" xfId="99" applyFont="1" applyProtection="1">
      <protection locked="0"/>
    </xf>
    <xf numFmtId="0" fontId="92" fillId="0" borderId="0" xfId="99" applyFont="1" applyAlignment="1" applyProtection="1">
      <alignment horizontal="center" wrapText="1"/>
      <protection locked="0"/>
    </xf>
    <xf numFmtId="0" fontId="91" fillId="0" borderId="27" xfId="99" applyFont="1" applyBorder="1" applyProtection="1">
      <protection locked="0"/>
    </xf>
    <xf numFmtId="0" fontId="91" fillId="0" borderId="0" xfId="99" applyFont="1" applyProtection="1">
      <protection locked="0"/>
    </xf>
    <xf numFmtId="0" fontId="92" fillId="0" borderId="9" xfId="99" applyFont="1" applyBorder="1" applyAlignment="1" applyProtection="1">
      <alignment wrapText="1"/>
      <protection locked="0"/>
    </xf>
    <xf numFmtId="0" fontId="92" fillId="0" borderId="0" xfId="99" applyFont="1" applyAlignment="1" applyProtection="1">
      <alignment wrapText="1"/>
      <protection locked="0"/>
    </xf>
    <xf numFmtId="0" fontId="92" fillId="0" borderId="10" xfId="99" applyFont="1" applyBorder="1" applyProtection="1">
      <protection locked="0"/>
    </xf>
    <xf numFmtId="0" fontId="92" fillId="0" borderId="10" xfId="99" applyFont="1" applyBorder="1" applyAlignment="1" applyProtection="1">
      <alignment horizontal="center"/>
      <protection locked="0"/>
    </xf>
    <xf numFmtId="0" fontId="92" fillId="0" borderId="27" xfId="99" applyFont="1" applyBorder="1" applyAlignment="1" applyProtection="1">
      <alignment wrapText="1"/>
      <protection locked="0"/>
    </xf>
    <xf numFmtId="0" fontId="92" fillId="0" borderId="5" xfId="99" applyFont="1" applyBorder="1" applyProtection="1">
      <protection locked="0"/>
    </xf>
    <xf numFmtId="0" fontId="92" fillId="0" borderId="12" xfId="99" applyFont="1" applyBorder="1" applyAlignment="1" applyProtection="1">
      <alignment wrapText="1"/>
      <protection locked="0"/>
    </xf>
    <xf numFmtId="0" fontId="92" fillId="0" borderId="5" xfId="99" applyFont="1" applyBorder="1" applyAlignment="1" applyProtection="1">
      <alignment wrapText="1"/>
      <protection locked="0"/>
    </xf>
    <xf numFmtId="0" fontId="92" fillId="0" borderId="5" xfId="99" applyFont="1" applyBorder="1" applyAlignment="1" applyProtection="1">
      <alignment vertical="top"/>
      <protection locked="0"/>
    </xf>
    <xf numFmtId="0" fontId="92" fillId="0" borderId="34" xfId="99" applyFont="1" applyBorder="1" applyAlignment="1" applyProtection="1">
      <alignment wrapText="1"/>
      <protection locked="0"/>
    </xf>
    <xf numFmtId="0" fontId="92" fillId="0" borderId="2" xfId="99" applyFont="1" applyBorder="1" applyProtection="1">
      <protection locked="0"/>
    </xf>
    <xf numFmtId="0" fontId="91" fillId="0" borderId="32" xfId="99" applyFont="1" applyBorder="1" applyProtection="1">
      <protection locked="0"/>
    </xf>
    <xf numFmtId="0" fontId="91" fillId="0" borderId="34" xfId="99" applyFont="1" applyBorder="1" applyProtection="1">
      <protection locked="0"/>
    </xf>
    <xf numFmtId="49" fontId="91" fillId="0" borderId="33" xfId="99" applyNumberFormat="1" applyFont="1" applyBorder="1" applyProtection="1">
      <protection locked="0"/>
    </xf>
    <xf numFmtId="49" fontId="91" fillId="0" borderId="0" xfId="99" applyNumberFormat="1" applyFont="1" applyProtection="1">
      <protection locked="0"/>
    </xf>
    <xf numFmtId="0" fontId="92" fillId="0" borderId="3" xfId="99" applyFont="1" applyBorder="1" applyAlignment="1" applyProtection="1">
      <alignment wrapText="1"/>
      <protection locked="0"/>
    </xf>
    <xf numFmtId="0" fontId="90" fillId="0" borderId="0" xfId="99" applyFont="1" applyProtection="1">
      <protection locked="0"/>
    </xf>
    <xf numFmtId="0" fontId="92" fillId="0" borderId="0" xfId="99" applyFont="1" applyAlignment="1" applyProtection="1">
      <alignment vertical="center" wrapText="1"/>
      <protection locked="0"/>
    </xf>
    <xf numFmtId="0" fontId="90" fillId="0" borderId="8" xfId="99" applyFont="1" applyBorder="1" applyAlignment="1" applyProtection="1">
      <alignment horizontal="center" vertical="top" wrapText="1"/>
      <protection locked="0"/>
    </xf>
    <xf numFmtId="43" fontId="90" fillId="0" borderId="8" xfId="8" applyFont="1" applyBorder="1" applyAlignment="1" applyProtection="1">
      <alignment vertical="center" wrapText="1"/>
      <protection locked="0"/>
    </xf>
    <xf numFmtId="0" fontId="92" fillId="0" borderId="3" xfId="99" quotePrefix="1" applyFont="1" applyBorder="1" applyAlignment="1" applyProtection="1">
      <alignment horizontal="center" wrapText="1"/>
      <protection locked="0"/>
    </xf>
    <xf numFmtId="17" fontId="92" fillId="0" borderId="0" xfId="99" quotePrefix="1" applyNumberFormat="1" applyFont="1" applyAlignment="1" applyProtection="1">
      <alignment horizontal="right" vertical="top" wrapText="1"/>
      <protection locked="0"/>
    </xf>
    <xf numFmtId="0" fontId="92" fillId="0" borderId="0" xfId="99" quotePrefix="1" applyFont="1" applyAlignment="1" applyProtection="1">
      <alignment horizontal="right" vertical="top" wrapText="1"/>
      <protection locked="0"/>
    </xf>
    <xf numFmtId="0" fontId="92" fillId="0" borderId="8" xfId="99" applyFont="1" applyBorder="1" applyAlignment="1" applyProtection="1">
      <alignment vertical="center" wrapText="1"/>
      <protection locked="0"/>
    </xf>
    <xf numFmtId="0" fontId="109" fillId="0" borderId="0" xfId="3" applyFont="1" applyAlignment="1">
      <alignment vertical="center"/>
    </xf>
    <xf numFmtId="166" fontId="90" fillId="0" borderId="100" xfId="99" applyNumberFormat="1" applyFont="1" applyBorder="1" applyAlignment="1" applyProtection="1">
      <alignment vertical="center" wrapText="1"/>
      <protection locked="0"/>
    </xf>
    <xf numFmtId="0" fontId="92" fillId="0" borderId="3" xfId="99" applyFont="1" applyBorder="1" applyAlignment="1" applyProtection="1">
      <alignment vertical="center" wrapText="1"/>
      <protection locked="0"/>
    </xf>
    <xf numFmtId="0" fontId="92" fillId="0" borderId="12" xfId="99" applyFont="1" applyBorder="1" applyProtection="1">
      <protection locked="0"/>
    </xf>
    <xf numFmtId="0" fontId="92" fillId="0" borderId="11" xfId="99" applyFont="1" applyBorder="1" applyProtection="1">
      <protection locked="0"/>
    </xf>
    <xf numFmtId="0" fontId="91" fillId="0" borderId="3" xfId="99" applyFont="1" applyBorder="1" applyProtection="1">
      <protection locked="0"/>
    </xf>
    <xf numFmtId="0" fontId="90" fillId="0" borderId="21" xfId="99" applyFont="1" applyBorder="1" applyAlignment="1" applyProtection="1">
      <alignment vertical="center"/>
      <protection locked="0"/>
    </xf>
    <xf numFmtId="0" fontId="92" fillId="0" borderId="3" xfId="99" applyFont="1" applyBorder="1" applyAlignment="1" applyProtection="1">
      <alignment horizontal="center" wrapText="1"/>
      <protection locked="0"/>
    </xf>
    <xf numFmtId="0" fontId="92" fillId="0" borderId="0" xfId="99" applyFont="1" applyAlignment="1" applyProtection="1">
      <alignment horizontal="center"/>
      <protection locked="0"/>
    </xf>
    <xf numFmtId="166" fontId="90" fillId="0" borderId="0" xfId="99" applyNumberFormat="1" applyFont="1" applyAlignment="1" applyProtection="1">
      <alignment horizontal="center" wrapText="1"/>
      <protection locked="0"/>
    </xf>
    <xf numFmtId="0" fontId="90" fillId="0" borderId="0" xfId="99" applyFont="1" applyAlignment="1" applyProtection="1">
      <alignment horizontal="center" wrapText="1"/>
      <protection locked="0"/>
    </xf>
    <xf numFmtId="0" fontId="90" fillId="0" borderId="27" xfId="99" applyFont="1" applyBorder="1" applyAlignment="1" applyProtection="1">
      <alignment horizontal="center" wrapText="1"/>
      <protection locked="0"/>
    </xf>
    <xf numFmtId="0" fontId="92" fillId="0" borderId="3" xfId="99" applyFont="1" applyBorder="1" applyProtection="1">
      <protection locked="0"/>
    </xf>
    <xf numFmtId="0" fontId="92" fillId="0" borderId="27" xfId="99" applyFont="1" applyBorder="1" applyProtection="1">
      <protection locked="0"/>
    </xf>
    <xf numFmtId="0" fontId="90" fillId="0" borderId="20" xfId="99" applyFont="1" applyBorder="1" applyAlignment="1" applyProtection="1">
      <alignment vertical="center"/>
      <protection locked="0"/>
    </xf>
    <xf numFmtId="0" fontId="92" fillId="0" borderId="18" xfId="99" applyFont="1" applyBorder="1" applyAlignment="1" applyProtection="1">
      <alignment vertical="center"/>
      <protection locked="0"/>
    </xf>
    <xf numFmtId="0" fontId="90" fillId="0" borderId="18" xfId="99" applyFont="1" applyBorder="1" applyAlignment="1" applyProtection="1">
      <alignment vertical="center"/>
      <protection locked="0"/>
    </xf>
    <xf numFmtId="0" fontId="90" fillId="0" borderId="26" xfId="99" applyFont="1" applyBorder="1" applyAlignment="1" applyProtection="1">
      <alignment vertical="center"/>
      <protection locked="0"/>
    </xf>
    <xf numFmtId="0" fontId="92" fillId="0" borderId="8" xfId="99" applyFont="1" applyBorder="1" applyAlignment="1" applyProtection="1">
      <alignment wrapText="1"/>
      <protection locked="0"/>
    </xf>
    <xf numFmtId="0" fontId="92" fillId="0" borderId="27" xfId="99" applyFont="1" applyBorder="1" applyAlignment="1" applyProtection="1">
      <alignment horizontal="center"/>
      <protection locked="0"/>
    </xf>
    <xf numFmtId="0" fontId="92" fillId="0" borderId="3" xfId="99" applyFont="1" applyBorder="1" applyAlignment="1" applyProtection="1">
      <alignment horizontal="left" vertical="center" wrapText="1"/>
      <protection locked="0"/>
    </xf>
    <xf numFmtId="0" fontId="92" fillId="0" borderId="0" xfId="99" applyFont="1" applyAlignment="1" applyProtection="1">
      <alignment horizontal="left" vertical="center" wrapText="1"/>
      <protection locked="0"/>
    </xf>
    <xf numFmtId="0" fontId="92" fillId="0" borderId="0" xfId="99" applyFont="1" applyAlignment="1" applyProtection="1">
      <alignment horizontal="left" wrapText="1"/>
      <protection locked="0"/>
    </xf>
    <xf numFmtId="0" fontId="111" fillId="0" borderId="9" xfId="99" applyFont="1" applyBorder="1" applyAlignment="1" applyProtection="1">
      <alignment horizontal="center" vertical="center" wrapText="1"/>
      <protection locked="0"/>
    </xf>
    <xf numFmtId="0" fontId="111" fillId="0" borderId="0" xfId="99" applyFont="1" applyAlignment="1" applyProtection="1">
      <alignment horizontal="center" vertical="center" wrapText="1"/>
      <protection locked="0"/>
    </xf>
    <xf numFmtId="0" fontId="111" fillId="0" borderId="8" xfId="99" applyFont="1" applyBorder="1" applyAlignment="1" applyProtection="1">
      <alignment horizontal="center" vertical="center" wrapText="1"/>
      <protection locked="0"/>
    </xf>
    <xf numFmtId="0" fontId="92" fillId="0" borderId="27" xfId="99" applyFont="1" applyBorder="1" applyAlignment="1" applyProtection="1">
      <alignment horizontal="left" vertical="center" wrapText="1"/>
      <protection locked="0"/>
    </xf>
    <xf numFmtId="0" fontId="92" fillId="0" borderId="11" xfId="99" applyFont="1" applyBorder="1" applyAlignment="1" applyProtection="1">
      <alignment wrapText="1"/>
      <protection locked="0"/>
    </xf>
    <xf numFmtId="0" fontId="90" fillId="0" borderId="20" xfId="99" applyFont="1" applyBorder="1" applyProtection="1">
      <protection locked="0"/>
    </xf>
    <xf numFmtId="0" fontId="90" fillId="0" borderId="18" xfId="99" applyFont="1" applyBorder="1" applyProtection="1">
      <protection locked="0"/>
    </xf>
    <xf numFmtId="0" fontId="92" fillId="0" borderId="18" xfId="99" applyFont="1" applyBorder="1" applyProtection="1">
      <protection locked="0"/>
    </xf>
    <xf numFmtId="0" fontId="92" fillId="0" borderId="26" xfId="99" applyFont="1" applyBorder="1" applyProtection="1">
      <protection locked="0"/>
    </xf>
    <xf numFmtId="0" fontId="92" fillId="0" borderId="18" xfId="99" applyFont="1" applyBorder="1" applyAlignment="1" applyProtection="1">
      <alignment vertical="justify"/>
      <protection locked="0"/>
    </xf>
    <xf numFmtId="0" fontId="92" fillId="0" borderId="26" xfId="99" applyFont="1" applyBorder="1" applyAlignment="1" applyProtection="1">
      <alignment vertical="justify"/>
      <protection locked="0"/>
    </xf>
    <xf numFmtId="0" fontId="92" fillId="0" borderId="23" xfId="99" applyFont="1" applyBorder="1" applyProtection="1">
      <protection locked="0"/>
    </xf>
    <xf numFmtId="0" fontId="92" fillId="0" borderId="0" xfId="99" applyFont="1" applyAlignment="1" applyProtection="1">
      <alignment horizontal="left" indent="1"/>
      <protection locked="0"/>
    </xf>
    <xf numFmtId="0" fontId="92" fillId="0" borderId="38" xfId="99" applyFont="1" applyBorder="1" applyProtection="1">
      <protection locked="0"/>
    </xf>
    <xf numFmtId="0" fontId="92" fillId="0" borderId="29" xfId="99" applyFont="1" applyBorder="1" applyProtection="1">
      <protection locked="0"/>
    </xf>
    <xf numFmtId="0" fontId="92" fillId="0" borderId="33" xfId="99" applyFont="1" applyBorder="1" applyProtection="1">
      <protection locked="0"/>
    </xf>
    <xf numFmtId="0" fontId="91" fillId="0" borderId="29" xfId="99" applyFont="1" applyBorder="1" applyProtection="1">
      <protection locked="0"/>
    </xf>
    <xf numFmtId="0" fontId="90" fillId="0" borderId="24" xfId="99" applyFont="1" applyBorder="1" applyProtection="1">
      <protection locked="0"/>
    </xf>
    <xf numFmtId="0" fontId="92" fillId="0" borderId="29" xfId="99" applyFont="1" applyBorder="1" applyAlignment="1" applyProtection="1">
      <alignment wrapText="1"/>
      <protection locked="0"/>
    </xf>
    <xf numFmtId="0" fontId="92" fillId="0" borderId="33" xfId="99" applyFont="1" applyBorder="1" applyAlignment="1" applyProtection="1">
      <alignment wrapText="1"/>
      <protection locked="0"/>
    </xf>
    <xf numFmtId="0" fontId="92" fillId="0" borderId="14" xfId="99" applyFont="1" applyBorder="1" applyProtection="1">
      <protection locked="0"/>
    </xf>
    <xf numFmtId="0" fontId="91" fillId="0" borderId="14" xfId="99" applyFont="1" applyBorder="1" applyAlignment="1" applyProtection="1">
      <alignment horizontal="left"/>
      <protection locked="0"/>
    </xf>
    <xf numFmtId="0" fontId="91" fillId="0" borderId="0" xfId="99" applyFont="1" applyAlignment="1" applyProtection="1">
      <alignment horizontal="left"/>
      <protection locked="0"/>
    </xf>
    <xf numFmtId="0" fontId="113" fillId="0" borderId="0" xfId="7" applyFont="1"/>
    <xf numFmtId="0" fontId="91" fillId="0" borderId="8" xfId="99" applyFont="1" applyBorder="1" applyProtection="1">
      <protection locked="0"/>
    </xf>
    <xf numFmtId="0" fontId="92" fillId="0" borderId="0" xfId="99" quotePrefix="1" applyFont="1" applyAlignment="1" applyProtection="1">
      <alignment horizontal="left" vertical="top" wrapText="1"/>
      <protection locked="0"/>
    </xf>
    <xf numFmtId="166" fontId="92" fillId="0" borderId="8" xfId="1" applyFont="1" applyBorder="1" applyAlignment="1" applyProtection="1">
      <alignment vertical="center" wrapText="1"/>
      <protection locked="0"/>
    </xf>
    <xf numFmtId="166" fontId="91" fillId="0" borderId="43" xfId="1" applyFont="1" applyBorder="1" applyProtection="1">
      <protection locked="0"/>
    </xf>
    <xf numFmtId="0" fontId="92" fillId="0" borderId="9" xfId="99" applyFont="1" applyBorder="1" applyAlignment="1" applyProtection="1">
      <alignment horizontal="left" vertical="center" wrapText="1"/>
      <protection locked="0"/>
    </xf>
    <xf numFmtId="0" fontId="92" fillId="0" borderId="8" xfId="99" applyFont="1" applyBorder="1" applyAlignment="1" applyProtection="1">
      <alignment horizontal="left" vertical="center" wrapText="1"/>
      <protection locked="0"/>
    </xf>
    <xf numFmtId="4" fontId="92" fillId="0" borderId="9" xfId="99" applyNumberFormat="1" applyFont="1" applyBorder="1" applyAlignment="1" applyProtection="1">
      <alignment horizontal="center" wrapText="1"/>
      <protection locked="0"/>
    </xf>
    <xf numFmtId="0" fontId="92" fillId="0" borderId="8" xfId="99" applyFont="1" applyBorder="1" applyAlignment="1" applyProtection="1">
      <alignment horizontal="center" wrapText="1"/>
      <protection locked="0"/>
    </xf>
    <xf numFmtId="166" fontId="32" fillId="0" borderId="0" xfId="2" applyFont="1" applyBorder="1" applyAlignment="1">
      <alignment horizontal="center" vertical="center"/>
    </xf>
    <xf numFmtId="166" fontId="29" fillId="0" borderId="0" xfId="2" applyFont="1" applyBorder="1" applyAlignment="1">
      <alignment horizontal="left" vertical="center"/>
    </xf>
    <xf numFmtId="0" fontId="41" fillId="0" borderId="0" xfId="3" applyFont="1" applyAlignment="1">
      <alignment horizontal="center" vertical="center"/>
    </xf>
    <xf numFmtId="0" fontId="41" fillId="0" borderId="0" xfId="3" applyFont="1" applyAlignment="1">
      <alignment horizontal="left" vertical="center" wrapText="1"/>
    </xf>
    <xf numFmtId="0" fontId="48" fillId="0" borderId="0" xfId="3" applyFont="1" applyAlignment="1">
      <alignment horizontal="center" vertical="center"/>
    </xf>
    <xf numFmtId="0" fontId="86" fillId="0" borderId="57" xfId="3" quotePrefix="1" applyFont="1" applyBorder="1" applyAlignment="1">
      <alignment vertical="center"/>
    </xf>
    <xf numFmtId="0" fontId="86" fillId="0" borderId="23" xfId="3" applyFont="1" applyBorder="1" applyAlignment="1">
      <alignment vertical="center"/>
    </xf>
    <xf numFmtId="0" fontId="86" fillId="0" borderId="71" xfId="3" quotePrefix="1" applyFont="1" applyBorder="1" applyAlignment="1">
      <alignment vertical="center"/>
    </xf>
    <xf numFmtId="0" fontId="86" fillId="0" borderId="71" xfId="3" applyFont="1" applyBorder="1" applyAlignment="1">
      <alignment vertical="center"/>
    </xf>
    <xf numFmtId="169" fontId="36" fillId="0" borderId="70" xfId="4" applyNumberFormat="1" applyFont="1" applyBorder="1" applyAlignment="1">
      <alignment horizontal="center" vertical="center"/>
    </xf>
    <xf numFmtId="166" fontId="29" fillId="0" borderId="53" xfId="2" applyFont="1" applyBorder="1" applyAlignment="1">
      <alignment horizontal="left" vertical="center"/>
    </xf>
    <xf numFmtId="166" fontId="85" fillId="0" borderId="9" xfId="2" applyFont="1" applyBorder="1" applyAlignment="1">
      <alignment vertical="center"/>
    </xf>
    <xf numFmtId="166" fontId="85" fillId="0" borderId="16" xfId="2" applyFont="1" applyBorder="1" applyAlignment="1">
      <alignment vertical="center"/>
    </xf>
    <xf numFmtId="166" fontId="85" fillId="0" borderId="57" xfId="2" applyFont="1" applyBorder="1" applyAlignment="1">
      <alignment horizontal="center" vertical="center"/>
    </xf>
    <xf numFmtId="166" fontId="85" fillId="0" borderId="23" xfId="2" applyFont="1" applyBorder="1" applyAlignment="1">
      <alignment horizontal="center" vertical="center"/>
    </xf>
    <xf numFmtId="0" fontId="36" fillId="0" borderId="101" xfId="4" applyFont="1" applyBorder="1" applyAlignment="1">
      <alignment horizontal="center" vertical="center"/>
    </xf>
    <xf numFmtId="0" fontId="36" fillId="0" borderId="102" xfId="4" applyFont="1" applyBorder="1" applyAlignment="1">
      <alignment horizontal="center" vertical="center"/>
    </xf>
    <xf numFmtId="166" fontId="85" fillId="0" borderId="53" xfId="2" applyFont="1" applyBorder="1" applyAlignment="1">
      <alignment vertical="center"/>
    </xf>
    <xf numFmtId="166" fontId="29" fillId="0" borderId="73" xfId="2" applyFont="1" applyBorder="1" applyAlignment="1">
      <alignment horizontal="left" vertical="center"/>
    </xf>
    <xf numFmtId="166" fontId="29" fillId="0" borderId="80" xfId="2" applyFont="1" applyBorder="1" applyAlignment="1">
      <alignment horizontal="left" vertical="center"/>
    </xf>
    <xf numFmtId="0" fontId="46" fillId="0" borderId="14" xfId="3" applyFont="1" applyBorder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56" fillId="0" borderId="29" xfId="3" applyFont="1" applyBorder="1" applyAlignment="1">
      <alignment vertical="center"/>
    </xf>
    <xf numFmtId="0" fontId="35" fillId="0" borderId="0" xfId="3" applyFont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0" fontId="36" fillId="0" borderId="0" xfId="4" applyFont="1" applyAlignment="1">
      <alignment horizontal="center" vertical="center"/>
    </xf>
    <xf numFmtId="0" fontId="47" fillId="0" borderId="105" xfId="3" applyFont="1" applyBorder="1" applyAlignment="1">
      <alignment horizontal="center" vertical="center"/>
    </xf>
    <xf numFmtId="0" fontId="47" fillId="0" borderId="106" xfId="3" applyFont="1" applyBorder="1" applyAlignment="1">
      <alignment horizontal="center" vertical="center"/>
    </xf>
    <xf numFmtId="0" fontId="75" fillId="0" borderId="57" xfId="3" applyFont="1" applyBorder="1" applyAlignment="1">
      <alignment horizontal="center" vertical="center"/>
    </xf>
    <xf numFmtId="0" fontId="75" fillId="0" borderId="23" xfId="3" applyFont="1" applyBorder="1" applyAlignment="1">
      <alignment horizontal="center" vertical="center"/>
    </xf>
    <xf numFmtId="0" fontId="87" fillId="0" borderId="57" xfId="3" applyFont="1" applyBorder="1" applyAlignment="1">
      <alignment horizontal="center" vertical="center"/>
    </xf>
    <xf numFmtId="0" fontId="87" fillId="0" borderId="53" xfId="3" applyFont="1" applyBorder="1" applyAlignment="1">
      <alignment horizontal="center" vertical="center"/>
    </xf>
    <xf numFmtId="0" fontId="87" fillId="0" borderId="23" xfId="3" applyFont="1" applyBorder="1" applyAlignment="1">
      <alignment horizontal="center" vertical="center"/>
    </xf>
    <xf numFmtId="0" fontId="36" fillId="0" borderId="57" xfId="3" applyFont="1" applyBorder="1" applyAlignment="1">
      <alignment horizontal="left" vertical="center"/>
    </xf>
    <xf numFmtId="0" fontId="36" fillId="0" borderId="53" xfId="3" applyFont="1" applyBorder="1" applyAlignment="1">
      <alignment horizontal="left" vertical="center"/>
    </xf>
    <xf numFmtId="0" fontId="36" fillId="0" borderId="23" xfId="3" applyFont="1" applyBorder="1" applyAlignment="1">
      <alignment horizontal="left" vertical="center"/>
    </xf>
    <xf numFmtId="0" fontId="35" fillId="0" borderId="57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5" fillId="0" borderId="23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left" vertical="center" wrapText="1"/>
    </xf>
    <xf numFmtId="0" fontId="36" fillId="0" borderId="5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left" vertical="center" wrapText="1"/>
    </xf>
    <xf numFmtId="0" fontId="36" fillId="0" borderId="60" xfId="3" applyFont="1" applyBorder="1" applyAlignment="1">
      <alignment horizontal="center" vertical="center" wrapText="1"/>
    </xf>
    <xf numFmtId="0" fontId="36" fillId="0" borderId="78" xfId="3" applyFont="1" applyBorder="1" applyAlignment="1">
      <alignment horizontal="center" vertical="center" wrapText="1"/>
    </xf>
    <xf numFmtId="0" fontId="36" fillId="0" borderId="103" xfId="3" applyFont="1" applyBorder="1" applyAlignment="1">
      <alignment horizontal="center" vertical="center" wrapText="1"/>
    </xf>
    <xf numFmtId="0" fontId="36" fillId="0" borderId="104" xfId="3" applyFont="1" applyBorder="1" applyAlignment="1">
      <alignment horizontal="center" vertical="center" wrapText="1"/>
    </xf>
    <xf numFmtId="0" fontId="36" fillId="0" borderId="102" xfId="3" applyFont="1" applyBorder="1" applyAlignment="1">
      <alignment horizontal="center" vertical="center" wrapText="1"/>
    </xf>
    <xf numFmtId="166" fontId="29" fillId="0" borderId="0" xfId="2" applyFont="1" applyBorder="1" applyAlignment="1">
      <alignment horizontal="left" vertical="center"/>
    </xf>
    <xf numFmtId="0" fontId="35" fillId="0" borderId="57" xfId="3" applyFont="1" applyBorder="1" applyAlignment="1">
      <alignment horizontal="center" vertical="center"/>
    </xf>
    <xf numFmtId="0" fontId="35" fillId="0" borderId="53" xfId="3" applyFont="1" applyBorder="1" applyAlignment="1">
      <alignment horizontal="center" vertical="center"/>
    </xf>
    <xf numFmtId="0" fontId="35" fillId="0" borderId="23" xfId="3" applyFont="1" applyBorder="1" applyAlignment="1">
      <alignment horizontal="center" vertical="center"/>
    </xf>
    <xf numFmtId="166" fontId="35" fillId="0" borderId="57" xfId="2" applyFont="1" applyBorder="1" applyAlignment="1">
      <alignment horizontal="center" vertical="center"/>
    </xf>
    <xf numFmtId="166" fontId="35" fillId="0" borderId="53" xfId="2" applyFont="1" applyBorder="1" applyAlignment="1">
      <alignment horizontal="center" vertical="center"/>
    </xf>
    <xf numFmtId="166" fontId="35" fillId="0" borderId="23" xfId="2" applyFont="1" applyBorder="1" applyAlignment="1">
      <alignment horizontal="center" vertical="center"/>
    </xf>
    <xf numFmtId="0" fontId="87" fillId="0" borderId="57" xfId="3" applyFont="1" applyBorder="1" applyAlignment="1">
      <alignment horizontal="center" vertical="center" wrapText="1"/>
    </xf>
    <xf numFmtId="0" fontId="87" fillId="0" borderId="53" xfId="3" applyFont="1" applyBorder="1" applyAlignment="1">
      <alignment horizontal="center" vertical="center" wrapText="1"/>
    </xf>
    <xf numFmtId="0" fontId="87" fillId="0" borderId="23" xfId="3" applyFont="1" applyBorder="1" applyAlignment="1">
      <alignment horizontal="center" vertical="center" wrapText="1"/>
    </xf>
    <xf numFmtId="0" fontId="36" fillId="0" borderId="60" xfId="3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/>
    </xf>
    <xf numFmtId="0" fontId="36" fillId="0" borderId="76" xfId="3" applyFont="1" applyBorder="1" applyAlignment="1">
      <alignment horizontal="center" vertical="center"/>
    </xf>
    <xf numFmtId="0" fontId="36" fillId="0" borderId="77" xfId="3" applyFont="1" applyBorder="1" applyAlignment="1">
      <alignment horizontal="center" vertical="center"/>
    </xf>
    <xf numFmtId="166" fontId="32" fillId="0" borderId="0" xfId="2" applyFont="1" applyBorder="1" applyAlignment="1">
      <alignment horizontal="center" vertical="center"/>
    </xf>
    <xf numFmtId="0" fontId="89" fillId="0" borderId="0" xfId="3" applyFont="1" applyAlignment="1">
      <alignment horizontal="center" vertical="center"/>
    </xf>
    <xf numFmtId="0" fontId="82" fillId="0" borderId="0" xfId="3" quotePrefix="1" applyFont="1" applyAlignment="1">
      <alignment horizontal="center" vertical="center"/>
    </xf>
    <xf numFmtId="0" fontId="82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81" fillId="0" borderId="0" xfId="3" quotePrefix="1" applyFont="1" applyAlignment="1">
      <alignment horizontal="center" vertical="center"/>
    </xf>
    <xf numFmtId="0" fontId="81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58" fillId="0" borderId="0" xfId="3" applyFont="1" applyAlignment="1">
      <alignment horizontal="center" vertical="center"/>
    </xf>
    <xf numFmtId="0" fontId="29" fillId="0" borderId="29" xfId="3" quotePrefix="1" applyFont="1" applyBorder="1" applyAlignment="1">
      <alignment horizontal="center" vertical="center"/>
    </xf>
    <xf numFmtId="0" fontId="29" fillId="0" borderId="29" xfId="3" applyFont="1" applyBorder="1" applyAlignment="1">
      <alignment horizontal="center" vertical="center"/>
    </xf>
    <xf numFmtId="0" fontId="40" fillId="0" borderId="68" xfId="3" applyFont="1" applyBorder="1" applyAlignment="1">
      <alignment horizontal="center" vertical="center"/>
    </xf>
    <xf numFmtId="0" fontId="40" fillId="0" borderId="71" xfId="3" applyFont="1" applyBorder="1" applyAlignment="1">
      <alignment horizontal="center" vertical="center"/>
    </xf>
    <xf numFmtId="0" fontId="40" fillId="0" borderId="73" xfId="3" applyFont="1" applyBorder="1" applyAlignment="1">
      <alignment horizontal="center" vertical="center"/>
    </xf>
    <xf numFmtId="0" fontId="45" fillId="0" borderId="68" xfId="3" applyFont="1" applyBorder="1" applyAlignment="1">
      <alignment horizontal="center" vertical="center"/>
    </xf>
    <xf numFmtId="0" fontId="45" fillId="0" borderId="71" xfId="3" applyFont="1" applyBorder="1" applyAlignment="1">
      <alignment horizontal="center" vertical="center"/>
    </xf>
    <xf numFmtId="0" fontId="45" fillId="0" borderId="73" xfId="3" applyFont="1" applyBorder="1" applyAlignment="1">
      <alignment horizontal="center" vertical="center"/>
    </xf>
    <xf numFmtId="0" fontId="46" fillId="0" borderId="69" xfId="3" applyFont="1" applyBorder="1" applyAlignment="1">
      <alignment horizontal="center" vertical="center"/>
    </xf>
    <xf numFmtId="0" fontId="46" fillId="0" borderId="70" xfId="3" applyFont="1" applyBorder="1" applyAlignment="1">
      <alignment horizontal="center" vertical="center"/>
    </xf>
    <xf numFmtId="0" fontId="52" fillId="0" borderId="57" xfId="3" applyFont="1" applyBorder="1" applyAlignment="1">
      <alignment horizontal="center" vertical="center" wrapText="1"/>
    </xf>
    <xf numFmtId="0" fontId="52" fillId="0" borderId="53" xfId="3" applyFont="1" applyBorder="1" applyAlignment="1">
      <alignment horizontal="center" vertical="center" wrapText="1"/>
    </xf>
    <xf numFmtId="0" fontId="52" fillId="0" borderId="23" xfId="3" applyFont="1" applyBorder="1" applyAlignment="1">
      <alignment horizontal="center" vertical="center" wrapText="1"/>
    </xf>
    <xf numFmtId="0" fontId="45" fillId="0" borderId="57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0" fontId="45" fillId="0" borderId="23" xfId="3" applyFont="1" applyBorder="1" applyAlignment="1">
      <alignment horizontal="center" vertical="center" wrapText="1"/>
    </xf>
    <xf numFmtId="0" fontId="53" fillId="0" borderId="57" xfId="3" applyFont="1" applyBorder="1" applyAlignment="1">
      <alignment horizontal="center" vertical="center" wrapText="1"/>
    </xf>
    <xf numFmtId="0" fontId="53" fillId="0" borderId="53" xfId="3" applyFont="1" applyBorder="1" applyAlignment="1">
      <alignment horizontal="center" vertical="center"/>
    </xf>
    <xf numFmtId="0" fontId="53" fillId="0" borderId="23" xfId="3" applyFont="1" applyBorder="1" applyAlignment="1">
      <alignment horizontal="center" vertical="center"/>
    </xf>
    <xf numFmtId="0" fontId="54" fillId="0" borderId="57" xfId="3" applyFont="1" applyBorder="1" applyAlignment="1">
      <alignment horizontal="center" vertical="center" wrapText="1"/>
    </xf>
    <xf numFmtId="0" fontId="54" fillId="0" borderId="53" xfId="3" applyFont="1" applyBorder="1" applyAlignment="1">
      <alignment horizontal="center" vertical="center" wrapText="1"/>
    </xf>
    <xf numFmtId="0" fontId="54" fillId="0" borderId="23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3" fillId="0" borderId="8" xfId="3" applyFont="1" applyBorder="1" applyAlignment="1">
      <alignment horizontal="center" vertical="center" wrapText="1"/>
    </xf>
    <xf numFmtId="0" fontId="53" fillId="0" borderId="43" xfId="3" applyFont="1" applyBorder="1" applyAlignment="1">
      <alignment horizontal="center" vertical="center" wrapText="1"/>
    </xf>
    <xf numFmtId="166" fontId="85" fillId="0" borderId="73" xfId="2" applyFont="1" applyBorder="1" applyAlignment="1">
      <alignment horizontal="center" vertical="center"/>
    </xf>
    <xf numFmtId="166" fontId="85" fillId="0" borderId="23" xfId="2" applyFont="1" applyBorder="1" applyAlignment="1">
      <alignment horizontal="center" vertical="center"/>
    </xf>
    <xf numFmtId="166" fontId="85" fillId="0" borderId="53" xfId="2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5" fillId="0" borderId="78" xfId="3" applyFont="1" applyBorder="1" applyAlignment="1">
      <alignment horizontal="center" vertical="center" wrapText="1"/>
    </xf>
    <xf numFmtId="166" fontId="35" fillId="0" borderId="15" xfId="2" applyFont="1" applyBorder="1" applyAlignment="1">
      <alignment horizontal="center" vertical="center"/>
    </xf>
    <xf numFmtId="166" fontId="35" fillId="0" borderId="8" xfId="2" applyFont="1" applyBorder="1" applyAlignment="1">
      <alignment horizontal="center" vertical="center"/>
    </xf>
    <xf numFmtId="166" fontId="35" fillId="0" borderId="43" xfId="2" applyFont="1" applyBorder="1" applyAlignment="1">
      <alignment horizontal="center" vertical="center"/>
    </xf>
    <xf numFmtId="166" fontId="36" fillId="5" borderId="57" xfId="2" applyFont="1" applyFill="1" applyBorder="1" applyAlignment="1">
      <alignment horizontal="left" vertical="center"/>
    </xf>
    <xf numFmtId="166" fontId="36" fillId="5" borderId="53" xfId="2" applyFont="1" applyFill="1" applyBorder="1" applyAlignment="1">
      <alignment horizontal="left" vertical="center"/>
    </xf>
    <xf numFmtId="166" fontId="36" fillId="5" borderId="23" xfId="2" applyFont="1" applyFill="1" applyBorder="1" applyAlignment="1">
      <alignment horizontal="left" vertical="center"/>
    </xf>
    <xf numFmtId="0" fontId="86" fillId="0" borderId="57" xfId="3" quotePrefix="1" applyFont="1" applyBorder="1" applyAlignment="1">
      <alignment horizontal="center" vertical="center"/>
    </xf>
    <xf numFmtId="0" fontId="86" fillId="0" borderId="53" xfId="3" quotePrefix="1" applyFont="1" applyBorder="1" applyAlignment="1">
      <alignment horizontal="center" vertical="center"/>
    </xf>
    <xf numFmtId="0" fontId="86" fillId="0" borderId="23" xfId="3" quotePrefix="1" applyFont="1" applyBorder="1" applyAlignment="1">
      <alignment horizontal="center" vertical="center"/>
    </xf>
    <xf numFmtId="0" fontId="86" fillId="0" borderId="53" xfId="3" applyFont="1" applyBorder="1" applyAlignment="1">
      <alignment horizontal="center" vertical="center"/>
    </xf>
    <xf numFmtId="0" fontId="35" fillId="0" borderId="102" xfId="3" applyFont="1" applyBorder="1" applyAlignment="1">
      <alignment horizontal="center" vertical="center" wrapText="1"/>
    </xf>
    <xf numFmtId="166" fontId="35" fillId="0" borderId="57" xfId="2" applyFont="1" applyBorder="1" applyAlignment="1">
      <alignment horizontal="right" vertical="center"/>
    </xf>
    <xf numFmtId="166" fontId="35" fillId="0" borderId="53" xfId="2" applyFont="1" applyBorder="1" applyAlignment="1">
      <alignment horizontal="right" vertical="center"/>
    </xf>
    <xf numFmtId="166" fontId="35" fillId="0" borderId="23" xfId="2" applyFont="1" applyBorder="1" applyAlignment="1">
      <alignment horizontal="right" vertical="center"/>
    </xf>
    <xf numFmtId="0" fontId="86" fillId="0" borderId="57" xfId="3" quotePrefix="1" applyFont="1" applyBorder="1" applyAlignment="1">
      <alignment horizontal="center" vertical="center" wrapText="1"/>
    </xf>
    <xf numFmtId="0" fontId="86" fillId="0" borderId="53" xfId="3" quotePrefix="1" applyFont="1" applyBorder="1" applyAlignment="1">
      <alignment horizontal="center" vertical="center" wrapText="1"/>
    </xf>
    <xf numFmtId="0" fontId="86" fillId="0" borderId="23" xfId="3" quotePrefix="1" applyFont="1" applyBorder="1" applyAlignment="1">
      <alignment horizontal="center" vertical="center" wrapText="1"/>
    </xf>
    <xf numFmtId="0" fontId="48" fillId="0" borderId="0" xfId="3" applyFont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40" fillId="0" borderId="98" xfId="3" applyFont="1" applyBorder="1" applyAlignment="1">
      <alignment vertical="center"/>
    </xf>
    <xf numFmtId="0" fontId="40" fillId="0" borderId="99" xfId="3" applyFont="1" applyBorder="1" applyAlignment="1">
      <alignment vertical="center"/>
    </xf>
    <xf numFmtId="0" fontId="29" fillId="0" borderId="98" xfId="3" applyFont="1" applyBorder="1" applyAlignment="1">
      <alignment horizontal="left" vertical="center"/>
    </xf>
    <xf numFmtId="0" fontId="29" fillId="0" borderId="99" xfId="3" applyFont="1" applyBorder="1" applyAlignment="1">
      <alignment horizontal="left" vertical="center"/>
    </xf>
    <xf numFmtId="0" fontId="50" fillId="0" borderId="98" xfId="3" applyFont="1" applyBorder="1" applyAlignment="1">
      <alignment horizontal="left" vertical="center"/>
    </xf>
    <xf numFmtId="0" fontId="50" fillId="0" borderId="99" xfId="3" applyFont="1" applyBorder="1" applyAlignment="1">
      <alignment horizontal="left" vertical="center"/>
    </xf>
    <xf numFmtId="0" fontId="29" fillId="0" borderId="39" xfId="3" applyFont="1" applyBorder="1" applyAlignment="1">
      <alignment horizontal="left" vertical="center" indent="6"/>
    </xf>
    <xf numFmtId="0" fontId="29" fillId="0" borderId="40" xfId="3" applyFont="1" applyBorder="1" applyAlignment="1">
      <alignment horizontal="left" vertical="center" indent="6"/>
    </xf>
    <xf numFmtId="0" fontId="29" fillId="0" borderId="22" xfId="3" applyFont="1" applyBorder="1" applyAlignment="1">
      <alignment horizontal="left" vertical="center" indent="6"/>
    </xf>
    <xf numFmtId="0" fontId="41" fillId="0" borderId="0" xfId="3" applyFont="1" applyAlignment="1">
      <alignment horizontal="left" vertical="center" wrapText="1"/>
    </xf>
    <xf numFmtId="0" fontId="39" fillId="0" borderId="83" xfId="3" applyFont="1" applyBorder="1" applyAlignment="1">
      <alignment horizontal="left" vertical="top" wrapText="1"/>
    </xf>
    <xf numFmtId="0" fontId="32" fillId="0" borderId="88" xfId="3" applyFont="1" applyBorder="1" applyAlignment="1">
      <alignment horizontal="left" vertical="top" wrapText="1"/>
    </xf>
    <xf numFmtId="0" fontId="41" fillId="0" borderId="0" xfId="3" applyFont="1" applyAlignment="1">
      <alignment horizontal="center" vertical="top" wrapText="1"/>
    </xf>
    <xf numFmtId="0" fontId="36" fillId="0" borderId="103" xfId="3" applyFont="1" applyBorder="1" applyAlignment="1">
      <alignment horizontal="center" vertical="center"/>
    </xf>
    <xf numFmtId="0" fontId="36" fillId="0" borderId="104" xfId="3" applyFont="1" applyBorder="1" applyAlignment="1">
      <alignment horizontal="center" vertical="center"/>
    </xf>
    <xf numFmtId="0" fontId="36" fillId="0" borderId="102" xfId="3" applyFont="1" applyBorder="1" applyAlignment="1">
      <alignment horizontal="center" vertical="center"/>
    </xf>
    <xf numFmtId="166" fontId="35" fillId="0" borderId="57" xfId="2" applyFont="1" applyBorder="1" applyAlignment="1">
      <alignment horizontal="center" vertical="center" wrapText="1"/>
    </xf>
    <xf numFmtId="166" fontId="35" fillId="0" borderId="53" xfId="2" applyFont="1" applyBorder="1" applyAlignment="1">
      <alignment horizontal="center" vertical="center" wrapText="1"/>
    </xf>
    <xf numFmtId="166" fontId="35" fillId="0" borderId="23" xfId="2" applyFont="1" applyBorder="1" applyAlignment="1">
      <alignment horizontal="center" vertical="center" wrapText="1"/>
    </xf>
    <xf numFmtId="0" fontId="29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76" fillId="0" borderId="0" xfId="3" applyFont="1" applyAlignment="1">
      <alignment horizontal="center" vertical="center" wrapText="1"/>
    </xf>
    <xf numFmtId="0" fontId="29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34" fillId="0" borderId="62" xfId="3" applyFont="1" applyBorder="1" applyAlignment="1">
      <alignment horizontal="center" vertical="center"/>
    </xf>
    <xf numFmtId="0" fontId="34" fillId="0" borderId="63" xfId="3" applyFont="1" applyBorder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2" fillId="0" borderId="0" xfId="5" applyFont="1" applyAlignment="1">
      <alignment horizontal="left" vertical="center"/>
    </xf>
    <xf numFmtId="0" fontId="32" fillId="0" borderId="29" xfId="5" applyFont="1" applyBorder="1" applyAlignment="1">
      <alignment horizontal="left" vertical="center"/>
    </xf>
    <xf numFmtId="0" fontId="91" fillId="0" borderId="28" xfId="7" applyFont="1" applyBorder="1" applyAlignment="1">
      <alignment horizontal="center"/>
    </xf>
    <xf numFmtId="0" fontId="91" fillId="0" borderId="33" xfId="7" applyFont="1" applyBorder="1" applyAlignment="1">
      <alignment horizontal="center"/>
    </xf>
    <xf numFmtId="0" fontId="91" fillId="0" borderId="28" xfId="7" applyFont="1" applyBorder="1" applyAlignment="1">
      <alignment horizontal="center" vertical="top"/>
    </xf>
    <xf numFmtId="0" fontId="91" fillId="0" borderId="43" xfId="7" applyFont="1" applyBorder="1" applyAlignment="1">
      <alignment horizontal="center" vertical="top"/>
    </xf>
    <xf numFmtId="167" fontId="91" fillId="0" borderId="16" xfId="7" quotePrefix="1" applyNumberFormat="1" applyFont="1" applyBorder="1" applyAlignment="1">
      <alignment horizontal="center" vertical="top" wrapText="1"/>
    </xf>
    <xf numFmtId="167" fontId="91" fillId="0" borderId="14" xfId="7" quotePrefix="1" applyNumberFormat="1" applyFont="1" applyBorder="1" applyAlignment="1">
      <alignment horizontal="center" vertical="top" wrapText="1"/>
    </xf>
    <xf numFmtId="167" fontId="91" fillId="0" borderId="15" xfId="7" quotePrefix="1" applyNumberFormat="1" applyFont="1" applyBorder="1" applyAlignment="1">
      <alignment horizontal="center" vertical="top" wrapText="1"/>
    </xf>
    <xf numFmtId="167" fontId="91" fillId="0" borderId="9" xfId="7" quotePrefix="1" applyNumberFormat="1" applyFont="1" applyBorder="1" applyAlignment="1">
      <alignment horizontal="center" vertical="top" wrapText="1"/>
    </xf>
    <xf numFmtId="167" fontId="91" fillId="0" borderId="0" xfId="7" quotePrefix="1" applyNumberFormat="1" applyFont="1" applyAlignment="1">
      <alignment horizontal="center" vertical="top" wrapText="1"/>
    </xf>
    <xf numFmtId="167" fontId="91" fillId="0" borderId="8" xfId="7" quotePrefix="1" applyNumberFormat="1" applyFont="1" applyBorder="1" applyAlignment="1">
      <alignment horizontal="center" vertical="top" wrapText="1"/>
    </xf>
    <xf numFmtId="167" fontId="91" fillId="0" borderId="12" xfId="7" quotePrefix="1" applyNumberFormat="1" applyFont="1" applyBorder="1" applyAlignment="1">
      <alignment horizontal="center" vertical="top" wrapText="1"/>
    </xf>
    <xf numFmtId="167" fontId="91" fillId="0" borderId="5" xfId="7" quotePrefix="1" applyNumberFormat="1" applyFont="1" applyBorder="1" applyAlignment="1">
      <alignment horizontal="center" vertical="top" wrapText="1"/>
    </xf>
    <xf numFmtId="167" fontId="91" fillId="0" borderId="11" xfId="7" quotePrefix="1" applyNumberFormat="1" applyFont="1" applyBorder="1" applyAlignment="1">
      <alignment horizontal="center" vertical="top" wrapText="1"/>
    </xf>
    <xf numFmtId="43" fontId="91" fillId="0" borderId="57" xfId="8" applyFont="1" applyBorder="1" applyAlignment="1">
      <alignment horizontal="center" vertical="top"/>
    </xf>
    <xf numFmtId="43" fontId="91" fillId="0" borderId="53" xfId="8" applyFont="1" applyBorder="1" applyAlignment="1">
      <alignment horizontal="center" vertical="top"/>
    </xf>
    <xf numFmtId="43" fontId="91" fillId="0" borderId="55" xfId="8" applyFont="1" applyBorder="1" applyAlignment="1">
      <alignment horizontal="center" vertical="top"/>
    </xf>
    <xf numFmtId="0" fontId="91" fillId="0" borderId="9" xfId="7" quotePrefix="1" applyFont="1" applyBorder="1" applyAlignment="1">
      <alignment horizontal="left" wrapText="1"/>
    </xf>
    <xf numFmtId="0" fontId="91" fillId="0" borderId="0" xfId="7" quotePrefix="1" applyFont="1" applyAlignment="1">
      <alignment horizontal="left" wrapText="1"/>
    </xf>
    <xf numFmtId="0" fontId="91" fillId="0" borderId="8" xfId="7" quotePrefix="1" applyFont="1" applyBorder="1" applyAlignment="1">
      <alignment horizontal="left" wrapText="1"/>
    </xf>
    <xf numFmtId="0" fontId="91" fillId="0" borderId="53" xfId="7" applyFont="1" applyBorder="1" applyAlignment="1">
      <alignment horizontal="center" vertical="center"/>
    </xf>
    <xf numFmtId="0" fontId="91" fillId="0" borderId="52" xfId="7" applyFont="1" applyBorder="1" applyAlignment="1">
      <alignment horizontal="center" vertical="center"/>
    </xf>
    <xf numFmtId="0" fontId="91" fillId="0" borderId="19" xfId="7" applyFont="1" applyBorder="1" applyAlignment="1">
      <alignment horizontal="center" vertical="center"/>
    </xf>
    <xf numFmtId="167" fontId="91" fillId="0" borderId="9" xfId="7" applyNumberFormat="1" applyFont="1" applyBorder="1" applyAlignment="1">
      <alignment horizontal="center" vertical="center"/>
    </xf>
    <xf numFmtId="167" fontId="91" fillId="0" borderId="0" xfId="7" applyNumberFormat="1" applyFont="1" applyAlignment="1">
      <alignment horizontal="center" vertical="center"/>
    </xf>
    <xf numFmtId="167" fontId="91" fillId="0" borderId="28" xfId="7" applyNumberFormat="1" applyFont="1" applyBorder="1" applyAlignment="1">
      <alignment horizontal="center" vertical="center"/>
    </xf>
    <xf numFmtId="167" fontId="91" fillId="0" borderId="29" xfId="7" applyNumberFormat="1" applyFont="1" applyBorder="1" applyAlignment="1">
      <alignment horizontal="center" vertical="center"/>
    </xf>
    <xf numFmtId="0" fontId="91" fillId="0" borderId="9" xfId="7" applyFont="1" applyBorder="1" applyAlignment="1">
      <alignment horizontal="center" vertical="center" wrapText="1"/>
    </xf>
    <xf numFmtId="0" fontId="91" fillId="0" borderId="0" xfId="7" applyFont="1" applyAlignment="1">
      <alignment horizontal="center" vertical="center" wrapText="1"/>
    </xf>
    <xf numFmtId="0" fontId="91" fillId="0" borderId="8" xfId="7" applyFont="1" applyBorder="1" applyAlignment="1">
      <alignment horizontal="center" vertical="center" wrapText="1"/>
    </xf>
    <xf numFmtId="0" fontId="91" fillId="0" borderId="28" xfId="7" applyFont="1" applyBorder="1" applyAlignment="1">
      <alignment horizontal="center" vertical="center" wrapText="1"/>
    </xf>
    <xf numFmtId="0" fontId="91" fillId="0" borderId="29" xfId="7" applyFont="1" applyBorder="1" applyAlignment="1">
      <alignment horizontal="center" vertical="center" wrapText="1"/>
    </xf>
    <xf numFmtId="0" fontId="91" fillId="0" borderId="43" xfId="7" applyFont="1" applyBorder="1" applyAlignment="1">
      <alignment horizontal="center" vertical="center" wrapText="1"/>
    </xf>
    <xf numFmtId="0" fontId="91" fillId="0" borderId="9" xfId="7" applyFont="1" applyBorder="1" applyAlignment="1">
      <alignment horizontal="center" vertical="center"/>
    </xf>
    <xf numFmtId="0" fontId="91" fillId="0" borderId="8" xfId="7" applyFont="1" applyBorder="1" applyAlignment="1">
      <alignment horizontal="center" vertical="center"/>
    </xf>
    <xf numFmtId="0" fontId="96" fillId="0" borderId="50" xfId="7" applyFont="1" applyBorder="1" applyAlignment="1">
      <alignment horizontal="center"/>
    </xf>
    <xf numFmtId="0" fontId="96" fillId="0" borderId="49" xfId="7" applyFont="1" applyBorder="1" applyAlignment="1">
      <alignment horizontal="center"/>
    </xf>
    <xf numFmtId="0" fontId="96" fillId="0" borderId="51" xfId="7" applyFont="1" applyBorder="1" applyAlignment="1">
      <alignment horizontal="center"/>
    </xf>
    <xf numFmtId="0" fontId="91" fillId="0" borderId="3" xfId="7" applyFont="1" applyBorder="1" applyAlignment="1">
      <alignment wrapText="1"/>
    </xf>
    <xf numFmtId="0" fontId="91" fillId="0" borderId="3" xfId="7" applyFont="1" applyBorder="1" applyAlignment="1">
      <alignment horizontal="center" vertical="center" wrapText="1"/>
    </xf>
    <xf numFmtId="0" fontId="91" fillId="0" borderId="0" xfId="7" applyFont="1" applyAlignment="1">
      <alignment horizontal="left" wrapText="1"/>
    </xf>
    <xf numFmtId="0" fontId="91" fillId="0" borderId="27" xfId="7" applyFont="1" applyBorder="1" applyAlignment="1">
      <alignment horizontal="left" wrapText="1"/>
    </xf>
    <xf numFmtId="0" fontId="96" fillId="0" borderId="0" xfId="3" applyFont="1" applyAlignment="1">
      <alignment horizontal="left" vertical="center" wrapText="1"/>
    </xf>
    <xf numFmtId="0" fontId="96" fillId="0" borderId="27" xfId="3" applyFont="1" applyBorder="1" applyAlignment="1">
      <alignment horizontal="left" vertical="center" wrapText="1"/>
    </xf>
    <xf numFmtId="0" fontId="92" fillId="0" borderId="0" xfId="3" applyFont="1" applyAlignment="1">
      <alignment horizontal="left" wrapText="1"/>
    </xf>
    <xf numFmtId="0" fontId="92" fillId="0" borderId="27" xfId="3" applyFont="1" applyBorder="1" applyAlignment="1">
      <alignment horizontal="left" wrapText="1"/>
    </xf>
    <xf numFmtId="0" fontId="91" fillId="0" borderId="27" xfId="7" applyFont="1" applyBorder="1" applyAlignment="1">
      <alignment horizontal="center" vertical="center" wrapText="1"/>
    </xf>
    <xf numFmtId="0" fontId="91" fillId="0" borderId="0" xfId="7" applyFont="1" applyAlignment="1">
      <alignment horizontal="center" wrapText="1"/>
    </xf>
    <xf numFmtId="0" fontId="91" fillId="0" borderId="27" xfId="7" applyFont="1" applyBorder="1" applyAlignment="1">
      <alignment horizontal="center" wrapText="1"/>
    </xf>
    <xf numFmtId="0" fontId="96" fillId="0" borderId="48" xfId="7" applyFont="1" applyBorder="1" applyAlignment="1">
      <alignment horizontal="center"/>
    </xf>
    <xf numFmtId="0" fontId="96" fillId="0" borderId="12" xfId="7" applyFont="1" applyBorder="1" applyAlignment="1">
      <alignment horizontal="center" wrapText="1"/>
    </xf>
    <xf numFmtId="0" fontId="96" fillId="0" borderId="5" xfId="7" applyFont="1" applyBorder="1" applyAlignment="1">
      <alignment horizontal="center" wrapText="1"/>
    </xf>
    <xf numFmtId="0" fontId="96" fillId="0" borderId="11" xfId="7" applyFont="1" applyBorder="1" applyAlignment="1">
      <alignment horizontal="center" wrapText="1"/>
    </xf>
    <xf numFmtId="43" fontId="96" fillId="0" borderId="30" xfId="8" applyFont="1" applyBorder="1" applyAlignment="1">
      <alignment horizontal="center"/>
    </xf>
    <xf numFmtId="43" fontId="96" fillId="0" borderId="36" xfId="8" applyFont="1" applyBorder="1" applyAlignment="1">
      <alignment horizontal="center"/>
    </xf>
    <xf numFmtId="0" fontId="98" fillId="0" borderId="46" xfId="7" applyFont="1" applyBorder="1" applyAlignment="1">
      <alignment horizontal="left" vertical="center" wrapText="1"/>
    </xf>
    <xf numFmtId="0" fontId="98" fillId="0" borderId="19" xfId="7" applyFont="1" applyBorder="1" applyAlignment="1">
      <alignment horizontal="left" vertical="center" wrapText="1"/>
    </xf>
    <xf numFmtId="0" fontId="96" fillId="0" borderId="9" xfId="7" applyFont="1" applyBorder="1" applyAlignment="1">
      <alignment horizontal="center"/>
    </xf>
    <xf numFmtId="0" fontId="96" fillId="0" borderId="0" xfId="7" applyFont="1" applyAlignment="1">
      <alignment horizontal="center"/>
    </xf>
    <xf numFmtId="0" fontId="91" fillId="0" borderId="0" xfId="7" applyFont="1" applyAlignment="1">
      <alignment horizontal="center"/>
    </xf>
    <xf numFmtId="0" fontId="91" fillId="0" borderId="27" xfId="7" applyFont="1" applyBorder="1" applyAlignment="1">
      <alignment horizontal="center"/>
    </xf>
    <xf numFmtId="0" fontId="91" fillId="0" borderId="16" xfId="7" applyFont="1" applyBorder="1" applyAlignment="1">
      <alignment horizontal="center" vertical="top" wrapText="1"/>
    </xf>
    <xf numFmtId="0" fontId="91" fillId="0" borderId="14" xfId="7" applyFont="1" applyBorder="1" applyAlignment="1">
      <alignment horizontal="center" vertical="top" wrapText="1"/>
    </xf>
    <xf numFmtId="0" fontId="91" fillId="0" borderId="15" xfId="7" applyFont="1" applyBorder="1" applyAlignment="1">
      <alignment horizontal="center" vertical="top" wrapText="1"/>
    </xf>
    <xf numFmtId="0" fontId="91" fillId="0" borderId="9" xfId="7" applyFont="1" applyBorder="1" applyAlignment="1">
      <alignment horizontal="center" vertical="top" wrapText="1"/>
    </xf>
    <xf numFmtId="0" fontId="91" fillId="0" borderId="0" xfId="7" applyFont="1" applyAlignment="1">
      <alignment horizontal="center" vertical="top" wrapText="1"/>
    </xf>
    <xf numFmtId="0" fontId="91" fillId="0" borderId="8" xfId="7" applyFont="1" applyBorder="1" applyAlignment="1">
      <alignment horizontal="center" vertical="top" wrapText="1"/>
    </xf>
    <xf numFmtId="43" fontId="91" fillId="0" borderId="16" xfId="8" applyFont="1" applyBorder="1" applyAlignment="1">
      <alignment horizontal="right" vertical="top"/>
    </xf>
    <xf numFmtId="43" fontId="91" fillId="0" borderId="35" xfId="8" applyFont="1" applyBorder="1" applyAlignment="1">
      <alignment horizontal="right" vertical="top"/>
    </xf>
    <xf numFmtId="43" fontId="91" fillId="0" borderId="9" xfId="8" applyFont="1" applyBorder="1" applyAlignment="1">
      <alignment horizontal="right" vertical="top"/>
    </xf>
    <xf numFmtId="43" fontId="91" fillId="0" borderId="27" xfId="8" applyFont="1" applyBorder="1" applyAlignment="1">
      <alignment horizontal="right" vertical="top"/>
    </xf>
    <xf numFmtId="43" fontId="91" fillId="0" borderId="28" xfId="8" applyFont="1" applyBorder="1" applyAlignment="1">
      <alignment horizontal="right" vertical="top"/>
    </xf>
    <xf numFmtId="43" fontId="91" fillId="0" borderId="33" xfId="8" applyFont="1" applyBorder="1" applyAlignment="1">
      <alignment horizontal="right" vertical="top"/>
    </xf>
    <xf numFmtId="0" fontId="91" fillId="0" borderId="3" xfId="7" applyFont="1" applyBorder="1" applyAlignment="1">
      <alignment horizontal="center"/>
    </xf>
    <xf numFmtId="0" fontId="91" fillId="0" borderId="8" xfId="7" applyFont="1" applyBorder="1" applyAlignment="1">
      <alignment horizontal="center"/>
    </xf>
    <xf numFmtId="0" fontId="95" fillId="0" borderId="0" xfId="7" applyFont="1" applyAlignment="1">
      <alignment horizontal="center" vertical="center" wrapText="1"/>
    </xf>
    <xf numFmtId="0" fontId="95" fillId="0" borderId="5" xfId="7" applyFont="1" applyBorder="1" applyAlignment="1">
      <alignment horizontal="center" vertical="center" wrapText="1"/>
    </xf>
    <xf numFmtId="0" fontId="91" fillId="0" borderId="38" xfId="7" applyFont="1" applyBorder="1" applyAlignment="1">
      <alignment horizontal="center" vertical="center" wrapText="1"/>
    </xf>
    <xf numFmtId="0" fontId="96" fillId="0" borderId="9" xfId="7" applyFont="1" applyBorder="1" applyAlignment="1">
      <alignment wrapText="1"/>
    </xf>
    <xf numFmtId="0" fontId="96" fillId="0" borderId="0" xfId="7" applyFont="1" applyAlignment="1">
      <alignment wrapText="1"/>
    </xf>
    <xf numFmtId="0" fontId="96" fillId="0" borderId="27" xfId="7" applyFont="1" applyBorder="1" applyAlignment="1">
      <alignment wrapText="1"/>
    </xf>
    <xf numFmtId="0" fontId="96" fillId="0" borderId="28" xfId="7" applyFont="1" applyBorder="1" applyAlignment="1">
      <alignment wrapText="1"/>
    </xf>
    <xf numFmtId="0" fontId="96" fillId="0" borderId="29" xfId="7" applyFont="1" applyBorder="1" applyAlignment="1">
      <alignment wrapText="1"/>
    </xf>
    <xf numFmtId="0" fontId="96" fillId="0" borderId="33" xfId="7" applyFont="1" applyBorder="1" applyAlignment="1">
      <alignment wrapText="1"/>
    </xf>
    <xf numFmtId="0" fontId="91" fillId="0" borderId="13" xfId="7" applyFont="1" applyBorder="1" applyAlignment="1">
      <alignment horizontal="center" vertical="center" wrapText="1"/>
    </xf>
    <xf numFmtId="0" fontId="91" fillId="0" borderId="14" xfId="7" applyFont="1" applyBorder="1" applyAlignment="1">
      <alignment horizontal="center" vertical="center" wrapText="1"/>
    </xf>
    <xf numFmtId="0" fontId="91" fillId="0" borderId="15" xfId="7" applyFont="1" applyBorder="1" applyAlignment="1">
      <alignment horizontal="center" vertical="center" wrapText="1"/>
    </xf>
    <xf numFmtId="0" fontId="91" fillId="0" borderId="16" xfId="7" applyFont="1" applyBorder="1" applyAlignment="1">
      <alignment wrapText="1"/>
    </xf>
    <xf numFmtId="0" fontId="91" fillId="0" borderId="14" xfId="7" applyFont="1" applyBorder="1" applyAlignment="1">
      <alignment wrapText="1"/>
    </xf>
    <xf numFmtId="0" fontId="91" fillId="0" borderId="35" xfId="7" applyFont="1" applyBorder="1" applyAlignment="1">
      <alignment wrapText="1"/>
    </xf>
    <xf numFmtId="0" fontId="91" fillId="0" borderId="28" xfId="7" applyFont="1" applyBorder="1" applyAlignment="1">
      <alignment wrapText="1"/>
    </xf>
    <xf numFmtId="0" fontId="91" fillId="0" borderId="29" xfId="7" applyFont="1" applyBorder="1" applyAlignment="1">
      <alignment wrapText="1"/>
    </xf>
    <xf numFmtId="0" fontId="91" fillId="0" borderId="33" xfId="7" applyFont="1" applyBorder="1" applyAlignment="1">
      <alignment wrapText="1"/>
    </xf>
    <xf numFmtId="0" fontId="91" fillId="0" borderId="4" xfId="7" applyFont="1" applyBorder="1" applyAlignment="1">
      <alignment horizontal="center" vertical="center" wrapText="1"/>
    </xf>
    <xf numFmtId="0" fontId="91" fillId="0" borderId="5" xfId="7" applyFont="1" applyBorder="1" applyAlignment="1">
      <alignment horizontal="center" vertical="center" wrapText="1"/>
    </xf>
    <xf numFmtId="0" fontId="91" fillId="0" borderId="11" xfId="7" applyFont="1" applyBorder="1" applyAlignment="1">
      <alignment horizontal="center" vertical="center" wrapText="1"/>
    </xf>
    <xf numFmtId="0" fontId="91" fillId="0" borderId="12" xfId="7" applyFont="1" applyBorder="1" applyAlignment="1">
      <alignment wrapText="1"/>
    </xf>
    <xf numFmtId="0" fontId="91" fillId="0" borderId="5" xfId="7" applyFont="1" applyBorder="1" applyAlignment="1">
      <alignment wrapText="1"/>
    </xf>
    <xf numFmtId="0" fontId="91" fillId="0" borderId="34" xfId="7" applyFont="1" applyBorder="1" applyAlignment="1">
      <alignment wrapText="1"/>
    </xf>
    <xf numFmtId="0" fontId="91" fillId="0" borderId="1" xfId="7" applyFont="1" applyBorder="1" applyAlignment="1">
      <alignment horizontal="center" vertical="center" wrapText="1"/>
    </xf>
    <xf numFmtId="0" fontId="91" fillId="0" borderId="2" xfId="7" applyFont="1" applyBorder="1" applyAlignment="1">
      <alignment horizontal="center" vertical="center" wrapText="1"/>
    </xf>
    <xf numFmtId="0" fontId="91" fillId="0" borderId="6" xfId="7" applyFont="1" applyBorder="1" applyAlignment="1">
      <alignment horizontal="center" vertical="center" wrapText="1"/>
    </xf>
    <xf numFmtId="0" fontId="91" fillId="0" borderId="7" xfId="7" applyFont="1" applyBorder="1" applyAlignment="1">
      <alignment horizontal="center" vertical="center" wrapText="1"/>
    </xf>
    <xf numFmtId="0" fontId="91" fillId="0" borderId="2" xfId="7" applyFont="1" applyBorder="1" applyAlignment="1">
      <alignment wrapText="1"/>
    </xf>
    <xf numFmtId="0" fontId="91" fillId="0" borderId="6" xfId="7" applyFont="1" applyBorder="1" applyAlignment="1">
      <alignment wrapText="1"/>
    </xf>
    <xf numFmtId="0" fontId="91" fillId="0" borderId="43" xfId="7" applyFont="1" applyBorder="1" applyAlignment="1">
      <alignment wrapText="1"/>
    </xf>
    <xf numFmtId="0" fontId="97" fillId="0" borderId="7" xfId="7" applyFont="1" applyBorder="1" applyAlignment="1">
      <alignment horizontal="center" vertical="center" wrapText="1"/>
    </xf>
    <xf numFmtId="0" fontId="97" fillId="0" borderId="6" xfId="7" applyFont="1" applyBorder="1" applyAlignment="1">
      <alignment horizontal="center" vertical="center" wrapText="1"/>
    </xf>
    <xf numFmtId="0" fontId="97" fillId="0" borderId="28" xfId="7" applyFont="1" applyBorder="1" applyAlignment="1">
      <alignment horizontal="center" vertical="center" wrapText="1"/>
    </xf>
    <xf numFmtId="0" fontId="97" fillId="0" borderId="43" xfId="7" applyFont="1" applyBorder="1" applyAlignment="1">
      <alignment horizontal="center" vertical="center" wrapText="1"/>
    </xf>
    <xf numFmtId="0" fontId="97" fillId="0" borderId="56" xfId="7" applyFont="1" applyBorder="1" applyAlignment="1">
      <alignment horizontal="center" vertical="center" wrapText="1"/>
    </xf>
    <xf numFmtId="0" fontId="97" fillId="0" borderId="23" xfId="7" applyFont="1" applyBorder="1" applyAlignment="1">
      <alignment wrapText="1"/>
    </xf>
    <xf numFmtId="0" fontId="91" fillId="0" borderId="32" xfId="7" applyFont="1" applyBorder="1" applyAlignment="1">
      <alignment horizontal="center" vertical="center" wrapText="1"/>
    </xf>
    <xf numFmtId="0" fontId="91" fillId="0" borderId="33" xfId="7" applyFont="1" applyBorder="1" applyAlignment="1">
      <alignment horizontal="center" vertical="center" wrapText="1"/>
    </xf>
    <xf numFmtId="0" fontId="90" fillId="0" borderId="0" xfId="7" applyFont="1" applyAlignment="1">
      <alignment horizontal="left" vertical="center" wrapText="1" indent="12"/>
    </xf>
    <xf numFmtId="0" fontId="93" fillId="0" borderId="0" xfId="7" applyFont="1" applyAlignment="1">
      <alignment horizontal="left" vertical="center" wrapText="1" indent="12"/>
    </xf>
    <xf numFmtId="0" fontId="91" fillId="0" borderId="0" xfId="7" applyFont="1" applyAlignment="1">
      <alignment horizontal="right" wrapText="1"/>
    </xf>
    <xf numFmtId="0" fontId="94" fillId="0" borderId="0" xfId="7" applyFont="1" applyAlignment="1">
      <alignment horizontal="left" vertical="top" wrapText="1" indent="12"/>
    </xf>
    <xf numFmtId="0" fontId="92" fillId="0" borderId="3" xfId="99" applyFont="1" applyBorder="1" applyAlignment="1" applyProtection="1">
      <alignment wrapText="1"/>
      <protection locked="0"/>
    </xf>
    <xf numFmtId="0" fontId="92" fillId="0" borderId="0" xfId="99" applyFont="1" applyAlignment="1" applyProtection="1">
      <alignment wrapText="1"/>
      <protection locked="0"/>
    </xf>
    <xf numFmtId="0" fontId="92" fillId="0" borderId="27" xfId="99" applyFont="1" applyBorder="1" applyAlignment="1" applyProtection="1">
      <alignment wrapText="1"/>
      <protection locked="0"/>
    </xf>
    <xf numFmtId="0" fontId="90" fillId="0" borderId="3" xfId="99" applyFont="1" applyBorder="1" applyAlignment="1" applyProtection="1">
      <alignment horizontal="center" wrapText="1"/>
      <protection locked="0"/>
    </xf>
    <xf numFmtId="0" fontId="90" fillId="0" borderId="0" xfId="99" applyFont="1" applyAlignment="1" applyProtection="1">
      <alignment horizontal="center"/>
      <protection locked="0"/>
    </xf>
    <xf numFmtId="0" fontId="90" fillId="0" borderId="8" xfId="99" applyFont="1" applyBorder="1" applyAlignment="1" applyProtection="1">
      <alignment horizontal="center"/>
      <protection locked="0"/>
    </xf>
    <xf numFmtId="0" fontId="92" fillId="0" borderId="16" xfId="99" applyFont="1" applyBorder="1" applyAlignment="1" applyProtection="1">
      <alignment horizontal="left" vertical="justify" wrapText="1"/>
      <protection locked="0"/>
    </xf>
    <xf numFmtId="0" fontId="92" fillId="0" borderId="14" xfId="99" applyFont="1" applyBorder="1" applyAlignment="1" applyProtection="1">
      <alignment horizontal="left" vertical="justify" wrapText="1"/>
      <protection locked="0"/>
    </xf>
    <xf numFmtId="0" fontId="92" fillId="0" borderId="15" xfId="99" applyFont="1" applyBorder="1" applyAlignment="1" applyProtection="1">
      <alignment horizontal="left" vertical="justify" wrapText="1"/>
      <protection locked="0"/>
    </xf>
    <xf numFmtId="0" fontId="92" fillId="0" borderId="14" xfId="99" applyFont="1" applyBorder="1" applyAlignment="1" applyProtection="1">
      <alignment wrapText="1"/>
      <protection locked="0"/>
    </xf>
    <xf numFmtId="0" fontId="92" fillId="0" borderId="35" xfId="99" applyFont="1" applyBorder="1" applyAlignment="1" applyProtection="1">
      <alignment wrapText="1"/>
      <protection locked="0"/>
    </xf>
    <xf numFmtId="0" fontId="92" fillId="0" borderId="13" xfId="99" applyFont="1" applyBorder="1" applyAlignment="1" applyProtection="1">
      <alignment horizontal="center" vertical="center" wrapText="1"/>
      <protection locked="0"/>
    </xf>
    <xf numFmtId="0" fontId="92" fillId="0" borderId="14" xfId="99" applyFont="1" applyBorder="1" applyAlignment="1" applyProtection="1">
      <alignment horizontal="center" vertical="center" wrapText="1"/>
      <protection locked="0"/>
    </xf>
    <xf numFmtId="0" fontId="92" fillId="0" borderId="15" xfId="99" applyFont="1" applyBorder="1" applyAlignment="1" applyProtection="1">
      <alignment horizontal="center" vertical="center" wrapText="1"/>
      <protection locked="0"/>
    </xf>
    <xf numFmtId="0" fontId="92" fillId="0" borderId="4" xfId="99" applyFont="1" applyBorder="1" applyAlignment="1" applyProtection="1">
      <alignment horizontal="center" vertical="center" wrapText="1"/>
      <protection locked="0"/>
    </xf>
    <xf numFmtId="0" fontId="92" fillId="0" borderId="5" xfId="99" applyFont="1" applyBorder="1" applyAlignment="1" applyProtection="1">
      <alignment horizontal="center" vertical="center" wrapText="1"/>
      <protection locked="0"/>
    </xf>
    <xf numFmtId="0" fontId="92" fillId="0" borderId="11" xfId="99" applyFont="1" applyBorder="1" applyAlignment="1" applyProtection="1">
      <alignment horizontal="center" vertical="center" wrapText="1"/>
      <protection locked="0"/>
    </xf>
    <xf numFmtId="0" fontId="92" fillId="0" borderId="16" xfId="99" applyFont="1" applyBorder="1" applyAlignment="1" applyProtection="1">
      <alignment horizontal="center" vertical="center" wrapText="1"/>
      <protection locked="0"/>
    </xf>
    <xf numFmtId="0" fontId="92" fillId="0" borderId="35" xfId="99" applyFont="1" applyBorder="1" applyAlignment="1" applyProtection="1">
      <alignment horizontal="center" vertical="center" wrapText="1"/>
      <protection locked="0"/>
    </xf>
    <xf numFmtId="0" fontId="92" fillId="0" borderId="12" xfId="99" applyFont="1" applyBorder="1" applyAlignment="1" applyProtection="1">
      <alignment horizontal="center" vertical="center" wrapText="1"/>
      <protection locked="0"/>
    </xf>
    <xf numFmtId="0" fontId="92" fillId="0" borderId="34" xfId="99" applyFont="1" applyBorder="1" applyAlignment="1" applyProtection="1">
      <alignment horizontal="center" vertical="center" wrapText="1"/>
      <protection locked="0"/>
    </xf>
    <xf numFmtId="0" fontId="92" fillId="0" borderId="2" xfId="99" applyFont="1" applyBorder="1" applyAlignment="1" applyProtection="1">
      <alignment wrapText="1"/>
      <protection locked="0"/>
    </xf>
    <xf numFmtId="0" fontId="92" fillId="0" borderId="32" xfId="99" applyFont="1" applyBorder="1" applyAlignment="1" applyProtection="1">
      <alignment wrapText="1"/>
      <protection locked="0"/>
    </xf>
    <xf numFmtId="0" fontId="92" fillId="0" borderId="3" xfId="99" applyFont="1" applyBorder="1" applyAlignment="1" applyProtection="1">
      <alignment horizontal="center" vertical="center" wrapText="1"/>
      <protection locked="0"/>
    </xf>
    <xf numFmtId="0" fontId="92" fillId="0" borderId="0" xfId="99" applyFont="1" applyAlignment="1" applyProtection="1">
      <alignment horizontal="center" vertical="center" wrapText="1"/>
      <protection locked="0"/>
    </xf>
    <xf numFmtId="0" fontId="92" fillId="0" borderId="38" xfId="99" applyFont="1" applyBorder="1" applyAlignment="1" applyProtection="1">
      <alignment horizontal="center" vertical="center" wrapText="1"/>
      <protection locked="0"/>
    </xf>
    <xf numFmtId="0" fontId="92" fillId="0" borderId="29" xfId="99" applyFont="1" applyBorder="1" applyAlignment="1" applyProtection="1">
      <alignment horizontal="center" vertical="center" wrapText="1"/>
      <protection locked="0"/>
    </xf>
    <xf numFmtId="0" fontId="92" fillId="0" borderId="9" xfId="99" applyFont="1" applyBorder="1" applyAlignment="1" applyProtection="1">
      <alignment wrapText="1"/>
      <protection locked="0"/>
    </xf>
    <xf numFmtId="0" fontId="92" fillId="0" borderId="8" xfId="99" applyFont="1" applyBorder="1" applyAlignment="1" applyProtection="1">
      <alignment wrapText="1"/>
      <protection locked="0"/>
    </xf>
    <xf numFmtId="0" fontId="92" fillId="0" borderId="28" xfId="99" applyFont="1" applyBorder="1" applyAlignment="1" applyProtection="1">
      <alignment wrapText="1"/>
      <protection locked="0"/>
    </xf>
    <xf numFmtId="0" fontId="92" fillId="0" borderId="29" xfId="99" applyFont="1" applyBorder="1" applyAlignment="1" applyProtection="1">
      <alignment wrapText="1"/>
      <protection locked="0"/>
    </xf>
    <xf numFmtId="0" fontId="92" fillId="0" borderId="43" xfId="99" applyFont="1" applyBorder="1" applyAlignment="1" applyProtection="1">
      <alignment wrapText="1"/>
      <protection locked="0"/>
    </xf>
    <xf numFmtId="0" fontId="92" fillId="0" borderId="9" xfId="99" applyFont="1" applyBorder="1" applyAlignment="1" applyProtection="1">
      <alignment vertical="justify" wrapText="1"/>
      <protection locked="0"/>
    </xf>
    <xf numFmtId="0" fontId="92" fillId="0" borderId="0" xfId="99" applyFont="1" applyAlignment="1" applyProtection="1">
      <alignment vertical="justify" wrapText="1"/>
      <protection locked="0"/>
    </xf>
    <xf numFmtId="0" fontId="92" fillId="0" borderId="8" xfId="99" applyFont="1" applyBorder="1" applyAlignment="1" applyProtection="1">
      <alignment vertical="justify" wrapText="1"/>
      <protection locked="0"/>
    </xf>
    <xf numFmtId="0" fontId="92" fillId="0" borderId="28" xfId="99" applyFont="1" applyBorder="1" applyAlignment="1" applyProtection="1">
      <alignment vertical="justify" wrapText="1"/>
      <protection locked="0"/>
    </xf>
    <xf numFmtId="0" fontId="92" fillId="0" borderId="29" xfId="99" applyFont="1" applyBorder="1" applyAlignment="1" applyProtection="1">
      <alignment vertical="justify" wrapText="1"/>
      <protection locked="0"/>
    </xf>
    <xf numFmtId="0" fontId="92" fillId="0" borderId="43" xfId="99" applyFont="1" applyBorder="1" applyAlignment="1" applyProtection="1">
      <alignment vertical="justify" wrapText="1"/>
      <protection locked="0"/>
    </xf>
    <xf numFmtId="0" fontId="92" fillId="0" borderId="9" xfId="99" applyFont="1" applyBorder="1" applyAlignment="1" applyProtection="1">
      <alignment horizontal="left" vertical="justify" wrapText="1"/>
      <protection locked="0"/>
    </xf>
    <xf numFmtId="0" fontId="92" fillId="0" borderId="4" xfId="99" applyFont="1" applyBorder="1" applyAlignment="1" applyProtection="1">
      <alignment vertical="center" wrapText="1"/>
      <protection locked="0"/>
    </xf>
    <xf numFmtId="0" fontId="92" fillId="0" borderId="5" xfId="99" applyFont="1" applyBorder="1" applyAlignment="1" applyProtection="1">
      <alignment vertical="center" wrapText="1"/>
      <protection locked="0"/>
    </xf>
    <xf numFmtId="0" fontId="92" fillId="0" borderId="11" xfId="99" applyFont="1" applyBorder="1" applyAlignment="1" applyProtection="1">
      <alignment vertical="center" wrapText="1"/>
      <protection locked="0"/>
    </xf>
    <xf numFmtId="0" fontId="92" fillId="0" borderId="12" xfId="99" applyFont="1" applyBorder="1" applyAlignment="1" applyProtection="1">
      <alignment wrapText="1"/>
      <protection locked="0"/>
    </xf>
    <xf numFmtId="0" fontId="92" fillId="0" borderId="5" xfId="99" applyFont="1" applyBorder="1" applyAlignment="1" applyProtection="1">
      <alignment wrapText="1"/>
      <protection locked="0"/>
    </xf>
    <xf numFmtId="0" fontId="92" fillId="0" borderId="34" xfId="99" applyFont="1" applyBorder="1" applyAlignment="1" applyProtection="1">
      <alignment wrapText="1"/>
      <protection locked="0"/>
    </xf>
    <xf numFmtId="0" fontId="92" fillId="0" borderId="43" xfId="99" applyFont="1" applyBorder="1" applyAlignment="1" applyProtection="1">
      <alignment horizontal="center" vertical="center" wrapText="1"/>
      <protection locked="0"/>
    </xf>
    <xf numFmtId="0" fontId="92" fillId="0" borderId="39" xfId="99" applyFont="1" applyBorder="1" applyAlignment="1" applyProtection="1">
      <alignment horizontal="center" vertical="center" wrapText="1"/>
      <protection locked="0"/>
    </xf>
    <xf numFmtId="0" fontId="92" fillId="0" borderId="40" xfId="99" applyFont="1" applyBorder="1" applyAlignment="1" applyProtection="1">
      <alignment horizontal="center" vertical="center" wrapText="1"/>
      <protection locked="0"/>
    </xf>
    <xf numFmtId="0" fontId="92" fillId="0" borderId="44" xfId="99" applyFont="1" applyBorder="1" applyAlignment="1" applyProtection="1">
      <alignment horizontal="center" vertical="center" wrapText="1"/>
      <protection locked="0"/>
    </xf>
    <xf numFmtId="0" fontId="92" fillId="0" borderId="28" xfId="99" applyFont="1" applyBorder="1" applyAlignment="1" applyProtection="1">
      <alignment horizontal="center" vertical="center" wrapText="1"/>
      <protection locked="0"/>
    </xf>
    <xf numFmtId="0" fontId="92" fillId="0" borderId="41" xfId="99" applyFont="1" applyBorder="1" applyAlignment="1" applyProtection="1">
      <alignment vertical="justify" wrapText="1"/>
      <protection locked="0"/>
    </xf>
    <xf numFmtId="0" fontId="92" fillId="0" borderId="42" xfId="99" applyFont="1" applyBorder="1" applyAlignment="1" applyProtection="1">
      <alignment vertical="justify" wrapText="1"/>
      <protection locked="0"/>
    </xf>
    <xf numFmtId="0" fontId="92" fillId="0" borderId="45" xfId="99" applyFont="1" applyBorder="1" applyAlignment="1" applyProtection="1">
      <alignment vertical="justify" wrapText="1"/>
      <protection locked="0"/>
    </xf>
    <xf numFmtId="0" fontId="92" fillId="0" borderId="15" xfId="99" applyFont="1" applyBorder="1" applyAlignment="1" applyProtection="1">
      <alignment wrapText="1"/>
      <protection locked="0"/>
    </xf>
    <xf numFmtId="0" fontId="92" fillId="0" borderId="38" xfId="99" applyFont="1" applyBorder="1" applyAlignment="1" applyProtection="1">
      <alignment wrapText="1"/>
      <protection locked="0"/>
    </xf>
    <xf numFmtId="0" fontId="92" fillId="0" borderId="16" xfId="99" applyFont="1" applyBorder="1" applyAlignment="1" applyProtection="1">
      <alignment wrapText="1"/>
      <protection locked="0"/>
    </xf>
    <xf numFmtId="0" fontId="92" fillId="0" borderId="16" xfId="99" applyFont="1" applyBorder="1" applyAlignment="1" applyProtection="1">
      <alignment vertical="justify" wrapText="1"/>
      <protection locked="0"/>
    </xf>
    <xf numFmtId="0" fontId="92" fillId="0" borderId="14" xfId="99" applyFont="1" applyBorder="1" applyAlignment="1" applyProtection="1">
      <alignment vertical="justify" wrapText="1"/>
      <protection locked="0"/>
    </xf>
    <xf numFmtId="0" fontId="92" fillId="0" borderId="15" xfId="99" applyFont="1" applyBorder="1" applyAlignment="1" applyProtection="1">
      <alignment vertical="justify" wrapText="1"/>
      <protection locked="0"/>
    </xf>
    <xf numFmtId="0" fontId="92" fillId="0" borderId="40" xfId="99" applyFont="1" applyBorder="1" applyAlignment="1" applyProtection="1">
      <alignment vertical="center" wrapText="1"/>
      <protection locked="0"/>
    </xf>
    <xf numFmtId="0" fontId="92" fillId="0" borderId="44" xfId="99" applyFont="1" applyBorder="1" applyAlignment="1" applyProtection="1">
      <alignment vertical="center" wrapText="1"/>
      <protection locked="0"/>
    </xf>
    <xf numFmtId="0" fontId="92" fillId="0" borderId="39" xfId="99" applyFont="1" applyBorder="1" applyAlignment="1" applyProtection="1">
      <alignment horizontal="center" vertical="center"/>
      <protection locked="0"/>
    </xf>
    <xf numFmtId="0" fontId="92" fillId="0" borderId="40" xfId="99" applyFont="1" applyBorder="1" applyAlignment="1" applyProtection="1">
      <alignment horizontal="center" vertical="center"/>
      <protection locked="0"/>
    </xf>
    <xf numFmtId="0" fontId="92" fillId="0" borderId="44" xfId="99" applyFont="1" applyBorder="1" applyAlignment="1" applyProtection="1">
      <alignment horizontal="center" vertical="center"/>
      <protection locked="0"/>
    </xf>
    <xf numFmtId="0" fontId="92" fillId="0" borderId="0" xfId="99" applyFont="1" applyAlignment="1" applyProtection="1">
      <alignment vertical="center" wrapText="1"/>
      <protection locked="0"/>
    </xf>
    <xf numFmtId="0" fontId="92" fillId="0" borderId="38" xfId="99" applyFont="1" applyBorder="1" applyAlignment="1" applyProtection="1">
      <alignment vertical="center" wrapText="1"/>
      <protection locked="0"/>
    </xf>
    <xf numFmtId="0" fontId="92" fillId="0" borderId="29" xfId="99" applyFont="1" applyBorder="1" applyAlignment="1" applyProtection="1">
      <alignment vertical="center" wrapText="1"/>
      <protection locked="0"/>
    </xf>
    <xf numFmtId="0" fontId="92" fillId="0" borderId="33" xfId="99" applyFont="1" applyBorder="1" applyAlignment="1" applyProtection="1">
      <alignment wrapText="1"/>
      <protection locked="0"/>
    </xf>
    <xf numFmtId="0" fontId="92" fillId="0" borderId="8" xfId="99" applyFont="1" applyBorder="1" applyAlignment="1" applyProtection="1">
      <alignment horizontal="center" vertical="center" wrapText="1"/>
      <protection locked="0"/>
    </xf>
    <xf numFmtId="0" fontId="92" fillId="0" borderId="33" xfId="99" applyFont="1" applyBorder="1" applyAlignment="1" applyProtection="1">
      <alignment horizontal="center" vertical="center" wrapText="1"/>
      <protection locked="0"/>
    </xf>
    <xf numFmtId="0" fontId="92" fillId="0" borderId="14" xfId="99" applyFont="1" applyBorder="1" applyAlignment="1" applyProtection="1">
      <alignment vertical="center" wrapText="1"/>
      <protection locked="0"/>
    </xf>
    <xf numFmtId="0" fontId="92" fillId="0" borderId="15" xfId="99" applyFont="1" applyBorder="1" applyAlignment="1" applyProtection="1">
      <alignment vertical="center" wrapText="1"/>
      <protection locked="0"/>
    </xf>
    <xf numFmtId="0" fontId="92" fillId="0" borderId="43" xfId="99" applyFont="1" applyBorder="1" applyAlignment="1" applyProtection="1">
      <alignment vertical="center" wrapText="1"/>
      <protection locked="0"/>
    </xf>
    <xf numFmtId="0" fontId="90" fillId="0" borderId="16" xfId="99" applyFont="1" applyBorder="1" applyAlignment="1" applyProtection="1">
      <alignment horizontal="center" wrapText="1"/>
      <protection locked="0"/>
    </xf>
    <xf numFmtId="0" fontId="90" fillId="0" borderId="14" xfId="99" applyFont="1" applyBorder="1" applyAlignment="1" applyProtection="1">
      <alignment horizontal="center" wrapText="1"/>
      <protection locked="0"/>
    </xf>
    <xf numFmtId="0" fontId="90" fillId="0" borderId="35" xfId="99" applyFont="1" applyBorder="1" applyAlignment="1" applyProtection="1">
      <alignment horizontal="center" wrapText="1"/>
      <protection locked="0"/>
    </xf>
    <xf numFmtId="0" fontId="90" fillId="0" borderId="28" xfId="99" applyFont="1" applyBorder="1" applyAlignment="1" applyProtection="1">
      <alignment horizontal="center" wrapText="1"/>
      <protection locked="0"/>
    </xf>
    <xf numFmtId="0" fontId="90" fillId="0" borderId="29" xfId="99" applyFont="1" applyBorder="1" applyAlignment="1" applyProtection="1">
      <alignment horizontal="center" wrapText="1"/>
      <protection locked="0"/>
    </xf>
    <xf numFmtId="0" fontId="90" fillId="0" borderId="33" xfId="99" applyFont="1" applyBorder="1" applyAlignment="1" applyProtection="1">
      <alignment horizontal="center" wrapText="1"/>
      <protection locked="0"/>
    </xf>
    <xf numFmtId="0" fontId="90" fillId="0" borderId="16" xfId="99" applyFont="1" applyBorder="1" applyAlignment="1" applyProtection="1">
      <alignment horizontal="center"/>
      <protection locked="0"/>
    </xf>
    <xf numFmtId="0" fontId="90" fillId="0" borderId="14" xfId="99" applyFont="1" applyBorder="1" applyAlignment="1" applyProtection="1">
      <alignment horizontal="center"/>
      <protection locked="0"/>
    </xf>
    <xf numFmtId="0" fontId="90" fillId="0" borderId="35" xfId="99" applyFont="1" applyBorder="1" applyAlignment="1" applyProtection="1">
      <alignment horizontal="center"/>
      <protection locked="0"/>
    </xf>
    <xf numFmtId="0" fontId="90" fillId="0" borderId="28" xfId="99" applyFont="1" applyBorder="1" applyAlignment="1" applyProtection="1">
      <alignment horizontal="center"/>
      <protection locked="0"/>
    </xf>
    <xf numFmtId="0" fontId="90" fillId="0" borderId="29" xfId="99" applyFont="1" applyBorder="1" applyAlignment="1" applyProtection="1">
      <alignment horizontal="center"/>
      <protection locked="0"/>
    </xf>
    <xf numFmtId="0" fontId="90" fillId="0" borderId="33" xfId="99" applyFont="1" applyBorder="1" applyAlignment="1" applyProtection="1">
      <alignment horizontal="center"/>
      <protection locked="0"/>
    </xf>
    <xf numFmtId="0" fontId="92" fillId="0" borderId="28" xfId="99" applyFont="1" applyBorder="1" applyAlignment="1" applyProtection="1">
      <alignment horizontal="center" wrapText="1"/>
      <protection locked="0"/>
    </xf>
    <xf numFmtId="0" fontId="92" fillId="0" borderId="29" xfId="99" applyFont="1" applyBorder="1" applyAlignment="1" applyProtection="1">
      <alignment horizontal="center" wrapText="1"/>
      <protection locked="0"/>
    </xf>
    <xf numFmtId="0" fontId="92" fillId="0" borderId="33" xfId="99" applyFont="1" applyBorder="1" applyAlignment="1" applyProtection="1">
      <alignment horizontal="center" wrapText="1"/>
      <protection locked="0"/>
    </xf>
    <xf numFmtId="0" fontId="112" fillId="0" borderId="9" xfId="99" applyFont="1" applyBorder="1" applyAlignment="1" applyProtection="1">
      <alignment horizontal="center" vertical="center"/>
      <protection locked="0"/>
    </xf>
    <xf numFmtId="0" fontId="112" fillId="0" borderId="0" xfId="99" applyFont="1" applyAlignment="1" applyProtection="1">
      <alignment horizontal="center" vertical="center"/>
      <protection locked="0"/>
    </xf>
    <xf numFmtId="0" fontId="112" fillId="0" borderId="8" xfId="99" applyFont="1" applyBorder="1" applyAlignment="1" applyProtection="1">
      <alignment horizontal="center" vertical="center"/>
      <protection locked="0"/>
    </xf>
    <xf numFmtId="0" fontId="92" fillId="0" borderId="9" xfId="99" applyFont="1" applyBorder="1" applyAlignment="1" applyProtection="1">
      <alignment horizontal="left" vertical="center" wrapText="1"/>
      <protection locked="0"/>
    </xf>
    <xf numFmtId="0" fontId="92" fillId="0" borderId="0" xfId="99" applyFont="1" applyAlignment="1" applyProtection="1">
      <alignment horizontal="left" vertical="center" wrapText="1"/>
      <protection locked="0"/>
    </xf>
    <xf numFmtId="0" fontId="92" fillId="0" borderId="8" xfId="99" applyFont="1" applyBorder="1" applyAlignment="1" applyProtection="1">
      <alignment horizontal="left" vertical="center" wrapText="1"/>
      <protection locked="0"/>
    </xf>
    <xf numFmtId="0" fontId="90" fillId="0" borderId="18" xfId="99" applyFont="1" applyBorder="1" applyAlignment="1" applyProtection="1">
      <alignment vertical="justify" wrapText="1"/>
      <protection locked="0"/>
    </xf>
    <xf numFmtId="0" fontId="92" fillId="0" borderId="13" xfId="99" applyFont="1" applyBorder="1" applyAlignment="1" applyProtection="1">
      <alignment horizontal="left" vertical="center" wrapText="1"/>
      <protection hidden="1"/>
    </xf>
    <xf numFmtId="0" fontId="92" fillId="0" borderId="14" xfId="99" applyFont="1" applyBorder="1" applyAlignment="1" applyProtection="1">
      <alignment horizontal="left" vertical="center" wrapText="1"/>
      <protection hidden="1"/>
    </xf>
    <xf numFmtId="0" fontId="92" fillId="0" borderId="35" xfId="99" applyFont="1" applyBorder="1" applyAlignment="1" applyProtection="1">
      <alignment horizontal="left" vertical="center" wrapText="1"/>
      <protection hidden="1"/>
    </xf>
    <xf numFmtId="0" fontId="92" fillId="0" borderId="3" xfId="99" applyFont="1" applyBorder="1" applyAlignment="1" applyProtection="1">
      <alignment horizontal="left" vertical="center" wrapText="1"/>
      <protection hidden="1"/>
    </xf>
    <xf numFmtId="0" fontId="92" fillId="0" borderId="0" xfId="99" applyFont="1" applyAlignment="1" applyProtection="1">
      <alignment horizontal="left" vertical="center" wrapText="1"/>
      <protection hidden="1"/>
    </xf>
    <xf numFmtId="0" fontId="92" fillId="0" borderId="27" xfId="99" applyFont="1" applyBorder="1" applyAlignment="1" applyProtection="1">
      <alignment horizontal="left" vertical="center" wrapText="1"/>
      <protection hidden="1"/>
    </xf>
    <xf numFmtId="0" fontId="92" fillId="0" borderId="38" xfId="99" applyFont="1" applyBorder="1" applyAlignment="1" applyProtection="1">
      <alignment horizontal="left" vertical="center" wrapText="1"/>
      <protection hidden="1"/>
    </xf>
    <xf numFmtId="0" fontId="92" fillId="0" borderId="29" xfId="99" applyFont="1" applyBorder="1" applyAlignment="1" applyProtection="1">
      <alignment horizontal="left" vertical="center" wrapText="1"/>
      <protection hidden="1"/>
    </xf>
    <xf numFmtId="0" fontId="92" fillId="0" borderId="33" xfId="99" applyFont="1" applyBorder="1" applyAlignment="1" applyProtection="1">
      <alignment horizontal="left" vertical="center" wrapText="1"/>
      <protection hidden="1"/>
    </xf>
    <xf numFmtId="0" fontId="111" fillId="0" borderId="9" xfId="99" applyFont="1" applyBorder="1" applyAlignment="1" applyProtection="1">
      <alignment horizontal="center" vertical="center" wrapText="1"/>
      <protection locked="0"/>
    </xf>
    <xf numFmtId="0" fontId="111" fillId="0" borderId="0" xfId="99" applyFont="1" applyAlignment="1" applyProtection="1">
      <alignment horizontal="center" vertical="center" wrapText="1"/>
      <protection locked="0"/>
    </xf>
    <xf numFmtId="0" fontId="111" fillId="0" borderId="8" xfId="99" applyFont="1" applyBorder="1" applyAlignment="1" applyProtection="1">
      <alignment horizontal="center" vertical="center" wrapText="1"/>
      <protection locked="0"/>
    </xf>
    <xf numFmtId="166" fontId="92" fillId="0" borderId="9" xfId="99" applyNumberFormat="1" applyFont="1" applyBorder="1" applyAlignment="1" applyProtection="1">
      <alignment horizontal="left" vertical="center" wrapText="1"/>
      <protection locked="0"/>
    </xf>
    <xf numFmtId="0" fontId="92" fillId="0" borderId="27" xfId="99" applyFont="1" applyBorder="1" applyAlignment="1" applyProtection="1">
      <alignment horizontal="left" vertical="center" wrapText="1"/>
      <protection locked="0"/>
    </xf>
    <xf numFmtId="0" fontId="92" fillId="0" borderId="0" xfId="99" applyFont="1" applyAlignment="1" applyProtection="1">
      <alignment horizontal="center"/>
      <protection locked="0"/>
    </xf>
    <xf numFmtId="0" fontId="92" fillId="0" borderId="21" xfId="99" applyFont="1" applyBorder="1" applyAlignment="1" applyProtection="1">
      <alignment horizontal="center" vertical="center" wrapText="1"/>
      <protection locked="0"/>
    </xf>
    <xf numFmtId="0" fontId="92" fillId="0" borderId="10" xfId="99" applyFont="1" applyBorder="1" applyAlignment="1" applyProtection="1">
      <alignment horizontal="center" vertical="center" wrapText="1"/>
      <protection locked="0"/>
    </xf>
    <xf numFmtId="0" fontId="92" fillId="0" borderId="10" xfId="99" applyFont="1" applyBorder="1" applyAlignment="1" applyProtection="1">
      <alignment horizontal="center" wrapText="1"/>
      <protection locked="0"/>
    </xf>
    <xf numFmtId="0" fontId="92" fillId="0" borderId="10" xfId="99" applyFont="1" applyBorder="1" applyAlignment="1" applyProtection="1">
      <alignment horizontal="center"/>
      <protection locked="0"/>
    </xf>
    <xf numFmtId="0" fontId="92" fillId="0" borderId="37" xfId="99" applyFont="1" applyBorder="1" applyAlignment="1" applyProtection="1">
      <alignment horizontal="center"/>
      <protection locked="0"/>
    </xf>
    <xf numFmtId="0" fontId="92" fillId="0" borderId="0" xfId="99" applyFont="1" applyAlignment="1" applyProtection="1">
      <alignment horizontal="left" wrapText="1"/>
      <protection locked="0"/>
    </xf>
    <xf numFmtId="0" fontId="92" fillId="0" borderId="16" xfId="99" applyFont="1" applyBorder="1" applyAlignment="1" applyProtection="1">
      <alignment horizontal="left" vertical="center" wrapText="1"/>
      <protection locked="0"/>
    </xf>
    <xf numFmtId="0" fontId="92" fillId="0" borderId="14" xfId="99" applyFont="1" applyBorder="1" applyAlignment="1" applyProtection="1">
      <alignment horizontal="left" vertical="center" wrapText="1"/>
      <protection locked="0"/>
    </xf>
    <xf numFmtId="0" fontId="92" fillId="0" borderId="15" xfId="99" applyFont="1" applyBorder="1" applyAlignment="1" applyProtection="1">
      <alignment horizontal="left" vertical="center" wrapText="1"/>
      <protection locked="0"/>
    </xf>
    <xf numFmtId="4" fontId="92" fillId="0" borderId="16" xfId="99" applyNumberFormat="1" applyFont="1" applyBorder="1" applyAlignment="1" applyProtection="1">
      <alignment horizontal="center" wrapText="1"/>
      <protection locked="0"/>
    </xf>
    <xf numFmtId="0" fontId="92" fillId="0" borderId="14" xfId="99" applyFont="1" applyBorder="1" applyAlignment="1" applyProtection="1">
      <alignment horizontal="center" wrapText="1"/>
      <protection locked="0"/>
    </xf>
    <xf numFmtId="0" fontId="92" fillId="0" borderId="15" xfId="99" applyFont="1" applyBorder="1" applyAlignment="1" applyProtection="1">
      <alignment horizontal="center" wrapText="1"/>
      <protection locked="0"/>
    </xf>
    <xf numFmtId="43" fontId="92" fillId="0" borderId="9" xfId="99" applyNumberFormat="1" applyFont="1" applyBorder="1" applyAlignment="1" applyProtection="1">
      <alignment horizontal="center" wrapText="1"/>
      <protection locked="0"/>
    </xf>
    <xf numFmtId="0" fontId="92" fillId="0" borderId="0" xfId="99" applyFont="1" applyAlignment="1" applyProtection="1">
      <alignment horizontal="center" wrapText="1"/>
      <protection locked="0"/>
    </xf>
    <xf numFmtId="0" fontId="92" fillId="0" borderId="8" xfId="99" applyFont="1" applyBorder="1" applyAlignment="1" applyProtection="1">
      <alignment horizontal="center" wrapText="1"/>
      <protection locked="0"/>
    </xf>
    <xf numFmtId="166" fontId="90" fillId="0" borderId="30" xfId="99" applyNumberFormat="1" applyFont="1" applyBorder="1" applyAlignment="1" applyProtection="1">
      <alignment horizontal="center" wrapText="1"/>
      <protection locked="0"/>
    </xf>
    <xf numFmtId="166" fontId="90" fillId="0" borderId="31" xfId="99" applyNumberFormat="1" applyFont="1" applyBorder="1" applyAlignment="1" applyProtection="1">
      <alignment horizontal="center" wrapText="1"/>
      <protection locked="0"/>
    </xf>
    <xf numFmtId="166" fontId="90" fillId="0" borderId="36" xfId="99" applyNumberFormat="1" applyFont="1" applyBorder="1" applyAlignment="1" applyProtection="1">
      <alignment horizontal="center" wrapText="1"/>
      <protection locked="0"/>
    </xf>
    <xf numFmtId="0" fontId="92" fillId="0" borderId="2" xfId="99" applyFont="1" applyBorder="1" applyAlignment="1" applyProtection="1">
      <alignment horizontal="left" vertical="center"/>
      <protection locked="0"/>
    </xf>
    <xf numFmtId="0" fontId="92" fillId="0" borderId="0" xfId="99" applyFont="1" applyAlignment="1" applyProtection="1">
      <alignment horizontal="left" vertical="center"/>
      <protection locked="0"/>
    </xf>
    <xf numFmtId="0" fontId="92" fillId="0" borderId="27" xfId="99" applyFont="1" applyBorder="1" applyAlignment="1" applyProtection="1">
      <alignment horizontal="left" vertical="center"/>
      <protection locked="0"/>
    </xf>
    <xf numFmtId="0" fontId="90" fillId="0" borderId="0" xfId="99" applyFont="1" applyAlignment="1" applyProtection="1">
      <alignment horizontal="center" wrapText="1"/>
      <protection locked="0"/>
    </xf>
    <xf numFmtId="0" fontId="92" fillId="0" borderId="13" xfId="99" applyFont="1" applyBorder="1" applyAlignment="1" applyProtection="1">
      <alignment horizontal="center" wrapText="1"/>
      <protection locked="0"/>
    </xf>
    <xf numFmtId="0" fontId="92" fillId="0" borderId="16" xfId="99" applyFont="1" applyBorder="1" applyAlignment="1" applyProtection="1">
      <alignment horizontal="center"/>
      <protection locked="0"/>
    </xf>
    <xf numFmtId="0" fontId="92" fillId="0" borderId="14" xfId="99" applyFont="1" applyBorder="1" applyAlignment="1" applyProtection="1">
      <alignment horizontal="center"/>
      <protection locked="0"/>
    </xf>
    <xf numFmtId="0" fontId="92" fillId="0" borderId="15" xfId="99" applyFont="1" applyBorder="1" applyAlignment="1" applyProtection="1">
      <alignment horizontal="center"/>
      <protection locked="0"/>
    </xf>
    <xf numFmtId="0" fontId="92" fillId="0" borderId="9" xfId="99" applyFont="1" applyBorder="1" applyAlignment="1" applyProtection="1">
      <alignment horizontal="center"/>
      <protection locked="0"/>
    </xf>
    <xf numFmtId="0" fontId="92" fillId="0" borderId="8" xfId="99" applyFont="1" applyBorder="1" applyAlignment="1" applyProtection="1">
      <alignment horizontal="center"/>
      <protection locked="0"/>
    </xf>
    <xf numFmtId="166" fontId="92" fillId="0" borderId="16" xfId="99" applyNumberFormat="1" applyFont="1" applyBorder="1" applyAlignment="1" applyProtection="1">
      <alignment horizontal="center" vertical="top" wrapText="1"/>
      <protection locked="0"/>
    </xf>
    <xf numFmtId="0" fontId="92" fillId="0" borderId="14" xfId="99" applyFont="1" applyBorder="1" applyAlignment="1" applyProtection="1">
      <alignment horizontal="center" vertical="top" wrapText="1"/>
      <protection locked="0"/>
    </xf>
    <xf numFmtId="0" fontId="92" fillId="0" borderId="35" xfId="99" applyFont="1" applyBorder="1" applyAlignment="1" applyProtection="1">
      <alignment horizontal="center" vertical="top" wrapText="1"/>
      <protection locked="0"/>
    </xf>
    <xf numFmtId="0" fontId="92" fillId="0" borderId="9" xfId="99" applyFont="1" applyBorder="1" applyAlignment="1" applyProtection="1">
      <alignment horizontal="center" vertical="top" wrapText="1"/>
      <protection locked="0"/>
    </xf>
    <xf numFmtId="0" fontId="92" fillId="0" borderId="0" xfId="99" applyFont="1" applyAlignment="1" applyProtection="1">
      <alignment horizontal="center" vertical="top" wrapText="1"/>
      <protection locked="0"/>
    </xf>
    <xf numFmtId="0" fontId="92" fillId="0" borderId="27" xfId="99" applyFont="1" applyBorder="1" applyAlignment="1" applyProtection="1">
      <alignment horizontal="center" vertical="top" wrapText="1"/>
      <protection locked="0"/>
    </xf>
    <xf numFmtId="0" fontId="92" fillId="0" borderId="28" xfId="99" applyFont="1" applyBorder="1" applyAlignment="1" applyProtection="1">
      <alignment horizontal="center" vertical="top" wrapText="1"/>
      <protection locked="0"/>
    </xf>
    <xf numFmtId="0" fontId="92" fillId="0" borderId="29" xfId="99" applyFont="1" applyBorder="1" applyAlignment="1" applyProtection="1">
      <alignment horizontal="center" vertical="top" wrapText="1"/>
      <protection locked="0"/>
    </xf>
    <xf numFmtId="0" fontId="92" fillId="0" borderId="33" xfId="99" applyFont="1" applyBorder="1" applyAlignment="1" applyProtection="1">
      <alignment horizontal="center" vertical="top" wrapText="1"/>
      <protection locked="0"/>
    </xf>
    <xf numFmtId="0" fontId="108" fillId="0" borderId="0" xfId="3" applyFont="1" applyAlignment="1">
      <alignment horizontal="center" vertical="center"/>
    </xf>
    <xf numFmtId="0" fontId="92" fillId="0" borderId="3" xfId="99" quotePrefix="1" applyFont="1" applyBorder="1" applyAlignment="1" applyProtection="1">
      <alignment horizontal="center" wrapText="1"/>
      <protection locked="0"/>
    </xf>
    <xf numFmtId="17" fontId="92" fillId="0" borderId="0" xfId="99" quotePrefix="1" applyNumberFormat="1" applyFont="1" applyAlignment="1" applyProtection="1">
      <alignment horizontal="right" vertical="top" wrapText="1"/>
      <protection locked="0"/>
    </xf>
    <xf numFmtId="0" fontId="92" fillId="0" borderId="0" xfId="99" quotePrefix="1" applyFont="1" applyAlignment="1" applyProtection="1">
      <alignment horizontal="right" vertical="top" wrapText="1"/>
      <protection locked="0"/>
    </xf>
    <xf numFmtId="0" fontId="92" fillId="0" borderId="0" xfId="99" quotePrefix="1" applyFont="1" applyAlignment="1" applyProtection="1">
      <alignment horizontal="center" vertical="top" wrapText="1"/>
      <protection locked="0"/>
    </xf>
    <xf numFmtId="166" fontId="92" fillId="0" borderId="8" xfId="9" applyFont="1" applyBorder="1" applyAlignment="1" applyProtection="1">
      <alignment vertical="top" wrapText="1"/>
      <protection locked="0"/>
    </xf>
    <xf numFmtId="166" fontId="92" fillId="0" borderId="0" xfId="9" applyFont="1" applyBorder="1" applyAlignment="1" applyProtection="1">
      <alignment vertical="top" wrapText="1"/>
      <protection locked="0"/>
    </xf>
    <xf numFmtId="166" fontId="92" fillId="0" borderId="43" xfId="9" applyFont="1" applyBorder="1" applyAlignment="1" applyProtection="1">
      <alignment vertical="top" wrapText="1"/>
      <protection locked="0"/>
    </xf>
    <xf numFmtId="166" fontId="92" fillId="0" borderId="29" xfId="9" applyFont="1" applyBorder="1" applyAlignment="1" applyProtection="1">
      <alignment vertical="top" wrapText="1"/>
      <protection locked="0"/>
    </xf>
    <xf numFmtId="0" fontId="90" fillId="0" borderId="13" xfId="99" applyFont="1" applyBorder="1" applyAlignment="1" applyProtection="1">
      <alignment horizontal="left" vertical="center" wrapText="1"/>
      <protection locked="0"/>
    </xf>
    <xf numFmtId="0" fontId="90" fillId="0" borderId="14" xfId="99" applyFont="1" applyBorder="1" applyAlignment="1" applyProtection="1">
      <alignment horizontal="left" vertical="center" wrapText="1"/>
      <protection locked="0"/>
    </xf>
    <xf numFmtId="0" fontId="90" fillId="0" borderId="15" xfId="99" applyFont="1" applyBorder="1" applyAlignment="1" applyProtection="1">
      <alignment horizontal="left" vertical="center" wrapText="1"/>
      <protection locked="0"/>
    </xf>
    <xf numFmtId="0" fontId="90" fillId="0" borderId="4" xfId="99" applyFont="1" applyBorder="1" applyAlignment="1" applyProtection="1">
      <alignment horizontal="left" vertical="center" wrapText="1"/>
      <protection locked="0"/>
    </xf>
    <xf numFmtId="0" fontId="90" fillId="0" borderId="5" xfId="99" applyFont="1" applyBorder="1" applyAlignment="1" applyProtection="1">
      <alignment horizontal="left" vertical="center" wrapText="1"/>
      <protection locked="0"/>
    </xf>
    <xf numFmtId="0" fontId="90" fillId="0" borderId="11" xfId="99" applyFont="1" applyBorder="1" applyAlignment="1" applyProtection="1">
      <alignment horizontal="left" vertical="center" wrapText="1"/>
      <protection locked="0"/>
    </xf>
    <xf numFmtId="0" fontId="90" fillId="0" borderId="16" xfId="99" applyFont="1" applyBorder="1" applyAlignment="1" applyProtection="1">
      <alignment horizontal="left" vertical="center" wrapText="1"/>
      <protection locked="0"/>
    </xf>
    <xf numFmtId="0" fontId="90" fillId="0" borderId="35" xfId="99" applyFont="1" applyBorder="1" applyAlignment="1" applyProtection="1">
      <alignment horizontal="left" vertical="center" wrapText="1"/>
      <protection locked="0"/>
    </xf>
    <xf numFmtId="0" fontId="90" fillId="0" borderId="12" xfId="99" applyFont="1" applyBorder="1" applyAlignment="1" applyProtection="1">
      <alignment horizontal="left" vertical="center" wrapText="1"/>
      <protection locked="0"/>
    </xf>
    <xf numFmtId="0" fontId="90" fillId="0" borderId="34" xfId="99" applyFont="1" applyBorder="1" applyAlignment="1" applyProtection="1">
      <alignment horizontal="left" vertical="center" wrapText="1"/>
      <protection locked="0"/>
    </xf>
    <xf numFmtId="49" fontId="92" fillId="0" borderId="17" xfId="99" applyNumberFormat="1" applyFont="1" applyBorder="1" applyAlignment="1" applyProtection="1">
      <alignment horizontal="center" vertical="center" wrapText="1"/>
      <protection locked="0"/>
    </xf>
    <xf numFmtId="49" fontId="92" fillId="0" borderId="18" xfId="99" applyNumberFormat="1" applyFont="1" applyBorder="1" applyAlignment="1" applyProtection="1">
      <alignment horizontal="center" vertical="center" wrapText="1"/>
      <protection locked="0"/>
    </xf>
    <xf numFmtId="49" fontId="92" fillId="0" borderId="24" xfId="99" applyNumberFormat="1" applyFont="1" applyBorder="1" applyAlignment="1" applyProtection="1">
      <alignment horizontal="center" vertical="center" wrapText="1"/>
      <protection locked="0"/>
    </xf>
    <xf numFmtId="49" fontId="92" fillId="0" borderId="25" xfId="99" applyNumberFormat="1" applyFont="1" applyBorder="1" applyAlignment="1" applyProtection="1">
      <alignment horizontal="center" vertical="center" wrapText="1"/>
      <protection locked="0"/>
    </xf>
    <xf numFmtId="49" fontId="92" fillId="0" borderId="18" xfId="99" applyNumberFormat="1" applyFont="1" applyBorder="1" applyAlignment="1" applyProtection="1">
      <alignment horizontal="center"/>
      <protection locked="0"/>
    </xf>
    <xf numFmtId="49" fontId="92" fillId="0" borderId="24" xfId="99" applyNumberFormat="1" applyFont="1" applyBorder="1" applyAlignment="1" applyProtection="1">
      <alignment horizontal="center"/>
      <protection locked="0"/>
    </xf>
    <xf numFmtId="49" fontId="92" fillId="0" borderId="26" xfId="99" applyNumberFormat="1" applyFont="1" applyBorder="1" applyAlignment="1" applyProtection="1">
      <alignment horizontal="center" vertical="center" wrapText="1"/>
      <protection locked="0"/>
    </xf>
    <xf numFmtId="0" fontId="90" fillId="0" borderId="3" xfId="99" applyFont="1" applyBorder="1" applyAlignment="1" applyProtection="1">
      <alignment vertical="center" wrapText="1"/>
      <protection locked="0"/>
    </xf>
    <xf numFmtId="0" fontId="90" fillId="0" borderId="0" xfId="99" applyFont="1" applyAlignment="1" applyProtection="1">
      <alignment vertical="center" wrapText="1"/>
      <protection locked="0"/>
    </xf>
    <xf numFmtId="0" fontId="90" fillId="0" borderId="8" xfId="99" applyFont="1" applyBorder="1" applyAlignment="1" applyProtection="1">
      <alignment vertical="center" wrapText="1"/>
      <protection locked="0"/>
    </xf>
    <xf numFmtId="0" fontId="90" fillId="0" borderId="4" xfId="99" applyFont="1" applyBorder="1" applyAlignment="1" applyProtection="1">
      <alignment vertical="center" wrapText="1"/>
      <protection locked="0"/>
    </xf>
    <xf numFmtId="0" fontId="90" fillId="0" borderId="5" xfId="99" applyFont="1" applyBorder="1" applyAlignment="1" applyProtection="1">
      <alignment vertical="center" wrapText="1"/>
      <protection locked="0"/>
    </xf>
    <xf numFmtId="0" fontId="90" fillId="0" borderId="11" xfId="99" applyFont="1" applyBorder="1" applyAlignment="1" applyProtection="1">
      <alignment vertical="center" wrapText="1"/>
      <protection locked="0"/>
    </xf>
    <xf numFmtId="0" fontId="92" fillId="0" borderId="9" xfId="99" applyFont="1" applyBorder="1" applyAlignment="1" applyProtection="1">
      <alignment horizontal="center" wrapText="1"/>
      <protection locked="0"/>
    </xf>
    <xf numFmtId="0" fontId="90" fillId="0" borderId="1" xfId="99" applyFont="1" applyBorder="1" applyAlignment="1" applyProtection="1">
      <alignment vertical="center" wrapText="1"/>
      <protection locked="0"/>
    </xf>
    <xf numFmtId="0" fontId="90" fillId="0" borderId="2" xfId="99" applyFont="1" applyBorder="1" applyAlignment="1" applyProtection="1">
      <alignment vertical="center" wrapText="1"/>
      <protection locked="0"/>
    </xf>
    <xf numFmtId="0" fontId="90" fillId="0" borderId="6" xfId="99" applyFont="1" applyBorder="1" applyAlignment="1" applyProtection="1">
      <alignment vertical="center" wrapText="1"/>
      <protection locked="0"/>
    </xf>
    <xf numFmtId="0" fontId="90" fillId="0" borderId="7" xfId="99" applyFont="1" applyBorder="1" applyAlignment="1" applyProtection="1">
      <alignment vertical="center" wrapText="1"/>
      <protection locked="0"/>
    </xf>
    <xf numFmtId="0" fontId="90" fillId="0" borderId="9" xfId="99" applyFont="1" applyBorder="1" applyAlignment="1" applyProtection="1">
      <alignment vertical="center" wrapText="1"/>
      <protection locked="0"/>
    </xf>
    <xf numFmtId="0" fontId="92" fillId="0" borderId="7" xfId="99" applyFont="1" applyBorder="1" applyAlignment="1" applyProtection="1">
      <alignment wrapText="1"/>
      <protection locked="0"/>
    </xf>
    <xf numFmtId="0" fontId="92" fillId="0" borderId="6" xfId="99" applyFont="1" applyBorder="1" applyAlignment="1" applyProtection="1">
      <alignment wrapText="1"/>
      <protection locked="0"/>
    </xf>
    <xf numFmtId="0" fontId="92" fillId="0" borderId="7" xfId="99" applyFont="1" applyBorder="1" applyAlignment="1" applyProtection="1">
      <alignment horizontal="left"/>
      <protection locked="0"/>
    </xf>
    <xf numFmtId="0" fontId="92" fillId="0" borderId="2" xfId="99" applyFont="1" applyBorder="1" applyAlignment="1" applyProtection="1">
      <alignment horizontal="left"/>
      <protection locked="0"/>
    </xf>
    <xf numFmtId="0" fontId="92" fillId="0" borderId="32" xfId="99" applyFont="1" applyBorder="1" applyAlignment="1" applyProtection="1">
      <alignment horizontal="left"/>
      <protection locked="0"/>
    </xf>
    <xf numFmtId="49" fontId="90" fillId="0" borderId="9" xfId="99" applyNumberFormat="1" applyFont="1" applyBorder="1" applyAlignment="1" applyProtection="1">
      <alignment horizontal="center" vertical="center" wrapText="1"/>
      <protection locked="0"/>
    </xf>
    <xf numFmtId="49" fontId="90" fillId="0" borderId="0" xfId="99" applyNumberFormat="1" applyFont="1" applyAlignment="1" applyProtection="1">
      <alignment horizontal="center" vertical="center" wrapText="1"/>
      <protection locked="0"/>
    </xf>
    <xf numFmtId="49" fontId="90" fillId="0" borderId="8" xfId="99" applyNumberFormat="1" applyFont="1" applyBorder="1" applyAlignment="1" applyProtection="1">
      <alignment horizontal="center" vertical="center" wrapText="1"/>
      <protection locked="0"/>
    </xf>
    <xf numFmtId="0" fontId="95" fillId="0" borderId="0" xfId="99" applyFont="1" applyAlignment="1" applyProtection="1">
      <alignment horizontal="center" vertical="center"/>
      <protection locked="0"/>
    </xf>
    <xf numFmtId="0" fontId="95" fillId="0" borderId="5" xfId="99" applyFont="1" applyBorder="1" applyAlignment="1" applyProtection="1">
      <alignment horizontal="center" vertical="center"/>
      <protection locked="0"/>
    </xf>
    <xf numFmtId="0" fontId="90" fillId="0" borderId="0" xfId="99" applyFont="1" applyAlignment="1" applyProtection="1">
      <alignment horizontal="left" vertical="center" wrapText="1"/>
      <protection locked="0"/>
    </xf>
    <xf numFmtId="0" fontId="90" fillId="0" borderId="0" xfId="99" applyFont="1" applyAlignment="1" applyProtection="1">
      <alignment wrapText="1"/>
      <protection locked="0"/>
    </xf>
    <xf numFmtId="0" fontId="90" fillId="0" borderId="0" xfId="99" applyFont="1" applyAlignment="1" applyProtection="1">
      <alignment horizontal="left" vertical="center" wrapText="1" indent="12"/>
      <protection locked="0"/>
    </xf>
    <xf numFmtId="0" fontId="93" fillId="0" borderId="0" xfId="99" applyFont="1" applyAlignment="1" applyProtection="1">
      <alignment horizontal="left" vertical="center" wrapText="1" indent="12"/>
      <protection locked="0"/>
    </xf>
    <xf numFmtId="0" fontId="107" fillId="0" borderId="0" xfId="99" applyFont="1" applyAlignment="1" applyProtection="1">
      <alignment horizontal="left" vertical="center" wrapText="1" indent="12"/>
      <protection locked="0"/>
    </xf>
    <xf numFmtId="166" fontId="4" fillId="0" borderId="16" xfId="1" applyFont="1" applyBorder="1" applyAlignment="1">
      <alignment horizontal="center"/>
    </xf>
    <xf numFmtId="166" fontId="4" fillId="0" borderId="15" xfId="1" applyFont="1" applyBorder="1" applyAlignment="1">
      <alignment horizontal="center"/>
    </xf>
    <xf numFmtId="0" fontId="8" fillId="0" borderId="1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2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left" wrapText="1"/>
    </xf>
    <xf numFmtId="0" fontId="4" fillId="0" borderId="2" xfId="3" applyFont="1" applyBorder="1" applyAlignment="1">
      <alignment horizontal="left" wrapText="1"/>
    </xf>
    <xf numFmtId="0" fontId="4" fillId="0" borderId="32" xfId="3" applyFont="1" applyBorder="1" applyAlignment="1">
      <alignment horizontal="left" wrapText="1"/>
    </xf>
    <xf numFmtId="0" fontId="21" fillId="0" borderId="0" xfId="3" applyFont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left" wrapText="1"/>
    </xf>
    <xf numFmtId="0" fontId="4" fillId="0" borderId="0" xfId="3" applyFont="1" applyAlignment="1">
      <alignment horizontal="left" wrapText="1"/>
    </xf>
    <xf numFmtId="0" fontId="4" fillId="0" borderId="27" xfId="3" applyFont="1" applyBorder="1" applyAlignment="1">
      <alignment horizontal="left" wrapText="1"/>
    </xf>
    <xf numFmtId="0" fontId="7" fillId="0" borderId="3" xfId="3" applyFont="1" applyBorder="1" applyAlignment="1">
      <alignment horizontal="center" wrapText="1"/>
    </xf>
    <xf numFmtId="0" fontId="7" fillId="0" borderId="0" xfId="3" applyFont="1" applyAlignment="1">
      <alignment horizontal="center" wrapText="1"/>
    </xf>
    <xf numFmtId="0" fontId="7" fillId="0" borderId="27" xfId="3" applyFont="1" applyBorder="1" applyAlignment="1">
      <alignment horizontal="center" wrapText="1"/>
    </xf>
    <xf numFmtId="0" fontId="4" fillId="0" borderId="9" xfId="3" applyFont="1" applyBorder="1" applyAlignment="1">
      <alignment horizontal="center"/>
    </xf>
    <xf numFmtId="0" fontId="4" fillId="0" borderId="27" xfId="3" applyFont="1" applyBorder="1" applyAlignment="1">
      <alignment horizontal="center"/>
    </xf>
    <xf numFmtId="0" fontId="14" fillId="0" borderId="1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 wrapText="1"/>
    </xf>
    <xf numFmtId="166" fontId="14" fillId="0" borderId="30" xfId="1" applyFont="1" applyBorder="1" applyAlignment="1">
      <alignment horizontal="center" vertical="center"/>
    </xf>
    <xf numFmtId="166" fontId="14" fillId="0" borderId="36" xfId="1" applyFont="1" applyBorder="1" applyAlignment="1">
      <alignment horizontal="center" vertical="center"/>
    </xf>
    <xf numFmtId="0" fontId="14" fillId="0" borderId="9" xfId="3" applyFont="1" applyBorder="1" applyAlignment="1">
      <alignment horizontal="center"/>
    </xf>
    <xf numFmtId="0" fontId="14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3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14" fillId="0" borderId="29" xfId="3" applyFont="1" applyBorder="1" applyAlignment="1">
      <alignment horizontal="center" wrapText="1"/>
    </xf>
    <xf numFmtId="0" fontId="14" fillId="0" borderId="33" xfId="3" applyFont="1" applyBorder="1" applyAlignment="1">
      <alignment horizontal="center" wrapText="1"/>
    </xf>
    <xf numFmtId="0" fontId="4" fillId="0" borderId="29" xfId="3" applyFont="1" applyBorder="1" applyAlignment="1">
      <alignment horizontal="center"/>
    </xf>
    <xf numFmtId="0" fontId="4" fillId="0" borderId="33" xfId="3" applyFont="1" applyBorder="1" applyAlignment="1">
      <alignment horizontal="center"/>
    </xf>
    <xf numFmtId="0" fontId="11" fillId="0" borderId="46" xfId="3" applyFont="1" applyBorder="1" applyAlignment="1">
      <alignment horizontal="left" vertical="center" wrapText="1"/>
    </xf>
    <xf numFmtId="0" fontId="11" fillId="0" borderId="19" xfId="3" applyFont="1" applyBorder="1" applyAlignment="1">
      <alignment horizontal="left" vertical="center" wrapText="1"/>
    </xf>
    <xf numFmtId="0" fontId="14" fillId="0" borderId="0" xfId="3" applyFont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0" fontId="4" fillId="0" borderId="0" xfId="3" applyFont="1" applyAlignment="1">
      <alignment horizontal="center" wrapText="1"/>
    </xf>
    <xf numFmtId="0" fontId="4" fillId="0" borderId="27" xfId="3" applyFont="1" applyBorder="1" applyAlignment="1">
      <alignment horizontal="center" wrapText="1"/>
    </xf>
    <xf numFmtId="0" fontId="4" fillId="0" borderId="9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 wrapText="1"/>
    </xf>
    <xf numFmtId="0" fontId="13" fillId="0" borderId="27" xfId="3" applyFont="1" applyBorder="1" applyAlignment="1">
      <alignment horizontal="center" vertical="center" wrapText="1"/>
    </xf>
    <xf numFmtId="167" fontId="23" fillId="0" borderId="16" xfId="3" quotePrefix="1" applyNumberFormat="1" applyFont="1" applyBorder="1" applyAlignment="1">
      <alignment horizontal="center" wrapText="1"/>
    </xf>
    <xf numFmtId="167" fontId="23" fillId="0" borderId="14" xfId="3" applyNumberFormat="1" applyFont="1" applyBorder="1" applyAlignment="1">
      <alignment horizontal="center" wrapText="1"/>
    </xf>
    <xf numFmtId="167" fontId="23" fillId="0" borderId="15" xfId="3" applyNumberFormat="1" applyFont="1" applyBorder="1" applyAlignment="1">
      <alignment horizontal="center" wrapText="1"/>
    </xf>
    <xf numFmtId="167" fontId="23" fillId="0" borderId="9" xfId="3" quotePrefix="1" applyNumberFormat="1" applyFont="1" applyBorder="1" applyAlignment="1">
      <alignment horizontal="center"/>
    </xf>
    <xf numFmtId="167" fontId="23" fillId="0" borderId="0" xfId="3" applyNumberFormat="1" applyFont="1" applyAlignment="1">
      <alignment horizontal="center"/>
    </xf>
    <xf numFmtId="167" fontId="23" fillId="0" borderId="8" xfId="3" applyNumberFormat="1" applyFont="1" applyBorder="1" applyAlignment="1">
      <alignment horizontal="center"/>
    </xf>
    <xf numFmtId="0" fontId="4" fillId="0" borderId="9" xfId="3" applyFont="1" applyBorder="1" applyAlignment="1">
      <alignment horizontal="left" wrapText="1"/>
    </xf>
    <xf numFmtId="0" fontId="4" fillId="0" borderId="8" xfId="3" applyFont="1" applyBorder="1" applyAlignment="1">
      <alignment horizontal="left" wrapText="1"/>
    </xf>
    <xf numFmtId="0" fontId="4" fillId="0" borderId="3" xfId="3" applyFont="1" applyBorder="1" applyAlignment="1">
      <alignment wrapText="1"/>
    </xf>
    <xf numFmtId="0" fontId="4" fillId="0" borderId="52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167" fontId="4" fillId="0" borderId="9" xfId="3" applyNumberFormat="1" applyFont="1" applyBorder="1" applyAlignment="1">
      <alignment horizontal="center" vertical="center"/>
    </xf>
    <xf numFmtId="167" fontId="4" fillId="0" borderId="0" xfId="3" applyNumberFormat="1" applyFont="1" applyAlignment="1">
      <alignment horizontal="center" vertical="center"/>
    </xf>
    <xf numFmtId="167" fontId="4" fillId="0" borderId="28" xfId="3" applyNumberFormat="1" applyFont="1" applyBorder="1" applyAlignment="1">
      <alignment horizontal="center" vertical="center"/>
    </xf>
    <xf numFmtId="167" fontId="4" fillId="0" borderId="29" xfId="3" applyNumberFormat="1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8" xfId="3" applyFont="1" applyBorder="1" applyAlignment="1">
      <alignment horizontal="center" vertical="center" wrapText="1"/>
    </xf>
    <xf numFmtId="0" fontId="4" fillId="0" borderId="28" xfId="3" applyFont="1" applyBorder="1" applyAlignment="1">
      <alignment horizontal="center" vertical="center" wrapText="1"/>
    </xf>
    <xf numFmtId="0" fontId="4" fillId="0" borderId="29" xfId="3" applyFont="1" applyBorder="1" applyAlignment="1">
      <alignment horizontal="center" vertical="center" wrapText="1"/>
    </xf>
    <xf numFmtId="0" fontId="4" fillId="0" borderId="43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/>
    </xf>
    <xf numFmtId="0" fontId="4" fillId="0" borderId="14" xfId="3" applyFont="1" applyBorder="1" applyAlignment="1">
      <alignment horizontal="center"/>
    </xf>
    <xf numFmtId="0" fontId="4" fillId="0" borderId="15" xfId="3" applyFont="1" applyBorder="1" applyAlignment="1">
      <alignment horizontal="center"/>
    </xf>
    <xf numFmtId="0" fontId="4" fillId="0" borderId="8" xfId="3" applyFont="1" applyBorder="1" applyAlignment="1">
      <alignment horizontal="center"/>
    </xf>
    <xf numFmtId="0" fontId="14" fillId="0" borderId="48" xfId="3" applyFont="1" applyBorder="1" applyAlignment="1">
      <alignment horizontal="center"/>
    </xf>
    <xf numFmtId="0" fontId="14" fillId="0" borderId="49" xfId="3" applyFont="1" applyBorder="1" applyAlignment="1">
      <alignment horizontal="center"/>
    </xf>
    <xf numFmtId="0" fontId="14" fillId="0" borderId="51" xfId="3" applyFont="1" applyBorder="1" applyAlignment="1">
      <alignment horizontal="center"/>
    </xf>
    <xf numFmtId="0" fontId="14" fillId="0" borderId="50" xfId="3" applyFont="1" applyBorder="1" applyAlignment="1">
      <alignment horizontal="center"/>
    </xf>
    <xf numFmtId="0" fontId="4" fillId="0" borderId="28" xfId="3" applyFont="1" applyBorder="1" applyAlignment="1">
      <alignment horizontal="center"/>
    </xf>
    <xf numFmtId="0" fontId="4" fillId="0" borderId="28" xfId="3" applyFont="1" applyBorder="1" applyAlignment="1">
      <alignment horizontal="center" vertical="top"/>
    </xf>
    <xf numFmtId="0" fontId="4" fillId="0" borderId="43" xfId="3" applyFont="1" applyBorder="1" applyAlignment="1">
      <alignment horizontal="center" vertical="top"/>
    </xf>
    <xf numFmtId="0" fontId="4" fillId="0" borderId="5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38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2" xfId="3" applyFont="1" applyBorder="1" applyAlignment="1">
      <alignment wrapText="1"/>
    </xf>
    <xf numFmtId="0" fontId="4" fillId="0" borderId="6" xfId="3" applyFont="1" applyBorder="1" applyAlignment="1">
      <alignment wrapText="1"/>
    </xf>
    <xf numFmtId="0" fontId="4" fillId="0" borderId="28" xfId="3" applyFont="1" applyBorder="1" applyAlignment="1">
      <alignment wrapText="1"/>
    </xf>
    <xf numFmtId="0" fontId="4" fillId="0" borderId="29" xfId="3" applyFont="1" applyBorder="1" applyAlignment="1">
      <alignment wrapText="1"/>
    </xf>
    <xf numFmtId="0" fontId="4" fillId="0" borderId="43" xfId="3" applyFont="1" applyBorder="1" applyAlignment="1">
      <alignment wrapText="1"/>
    </xf>
    <xf numFmtId="0" fontId="26" fillId="0" borderId="7" xfId="3" applyFont="1" applyBorder="1" applyAlignment="1">
      <alignment horizontal="center" vertical="center" wrapText="1"/>
    </xf>
    <xf numFmtId="0" fontId="26" fillId="0" borderId="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4" fillId="0" borderId="32" xfId="3" applyFont="1" applyBorder="1" applyAlignment="1">
      <alignment horizontal="center" vertical="center" wrapText="1"/>
    </xf>
    <xf numFmtId="0" fontId="4" fillId="0" borderId="33" xfId="3" applyFont="1" applyBorder="1" applyAlignment="1">
      <alignment horizontal="center" vertical="center" wrapText="1"/>
    </xf>
    <xf numFmtId="166" fontId="14" fillId="0" borderId="9" xfId="1" applyFont="1" applyBorder="1" applyAlignment="1">
      <alignment horizontal="center" vertical="center"/>
    </xf>
    <xf numFmtId="166" fontId="14" fillId="0" borderId="27" xfId="1" applyFont="1" applyBorder="1" applyAlignment="1">
      <alignment horizontal="center" vertical="center"/>
    </xf>
    <xf numFmtId="0" fontId="4" fillId="0" borderId="35" xfId="3" applyFont="1" applyBorder="1" applyAlignment="1">
      <alignment horizontal="center"/>
    </xf>
    <xf numFmtId="0" fontId="4" fillId="0" borderId="9" xfId="3" applyFont="1" applyBorder="1" applyAlignment="1">
      <alignment horizontal="left" vertical="center" wrapText="1" indent="3"/>
    </xf>
    <xf numFmtId="0" fontId="4" fillId="0" borderId="0" xfId="3" applyFont="1" applyAlignment="1">
      <alignment horizontal="left" vertical="center" wrapText="1" indent="3"/>
    </xf>
    <xf numFmtId="0" fontId="14" fillId="0" borderId="0" xfId="3" quotePrefix="1" applyFont="1" applyAlignment="1">
      <alignment horizontal="left" vertical="center" wrapText="1"/>
    </xf>
    <xf numFmtId="0" fontId="14" fillId="0" borderId="0" xfId="3" applyFont="1" applyAlignment="1">
      <alignment horizontal="left" vertical="center" wrapText="1"/>
    </xf>
    <xf numFmtId="0" fontId="14" fillId="0" borderId="8" xfId="3" applyFont="1" applyBorder="1" applyAlignment="1">
      <alignment horizontal="left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23" xfId="3" applyFont="1" applyBorder="1" applyAlignment="1">
      <alignment wrapText="1"/>
    </xf>
    <xf numFmtId="0" fontId="4" fillId="0" borderId="13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11" xfId="3" applyFont="1" applyBorder="1" applyAlignment="1">
      <alignment horizontal="center" vertical="center" wrapText="1"/>
    </xf>
    <xf numFmtId="0" fontId="4" fillId="0" borderId="16" xfId="3" applyFont="1" applyBorder="1" applyAlignment="1">
      <alignment vertical="center" wrapText="1"/>
    </xf>
    <xf numFmtId="0" fontId="4" fillId="0" borderId="14" xfId="3" applyFont="1" applyBorder="1" applyAlignment="1">
      <alignment vertical="center" wrapText="1"/>
    </xf>
    <xf numFmtId="0" fontId="4" fillId="0" borderId="35" xfId="3" applyFont="1" applyBorder="1" applyAlignment="1">
      <alignment vertical="center" wrapText="1"/>
    </xf>
    <xf numFmtId="0" fontId="4" fillId="0" borderId="12" xfId="3" applyFont="1" applyBorder="1" applyAlignment="1">
      <alignment vertical="center" wrapText="1"/>
    </xf>
    <xf numFmtId="0" fontId="4" fillId="0" borderId="5" xfId="3" applyFont="1" applyBorder="1" applyAlignment="1">
      <alignment vertical="center" wrapText="1"/>
    </xf>
    <xf numFmtId="0" fontId="4" fillId="0" borderId="34" xfId="3" applyFont="1" applyBorder="1" applyAlignment="1">
      <alignment vertical="center" wrapText="1"/>
    </xf>
    <xf numFmtId="0" fontId="4" fillId="0" borderId="28" xfId="3" applyFont="1" applyBorder="1" applyAlignment="1">
      <alignment vertical="center" wrapText="1"/>
    </xf>
    <xf numFmtId="0" fontId="4" fillId="0" borderId="29" xfId="3" applyFont="1" applyBorder="1" applyAlignment="1">
      <alignment vertical="center" wrapText="1"/>
    </xf>
    <xf numFmtId="0" fontId="4" fillId="0" borderId="33" xfId="3" applyFont="1" applyBorder="1" applyAlignment="1">
      <alignment vertical="center" wrapText="1"/>
    </xf>
    <xf numFmtId="0" fontId="22" fillId="0" borderId="0" xfId="3" applyFont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14" fillId="0" borderId="9" xfId="3" applyFont="1" applyBorder="1" applyAlignment="1">
      <alignment vertical="center" wrapText="1"/>
    </xf>
    <xf numFmtId="0" fontId="14" fillId="0" borderId="0" xfId="3" applyFont="1" applyAlignment="1">
      <alignment vertical="center" wrapText="1"/>
    </xf>
    <xf numFmtId="0" fontId="14" fillId="0" borderId="27" xfId="3" applyFont="1" applyBorder="1" applyAlignment="1">
      <alignment vertical="center" wrapText="1"/>
    </xf>
    <xf numFmtId="0" fontId="14" fillId="0" borderId="28" xfId="3" applyFont="1" applyBorder="1" applyAlignment="1">
      <alignment vertical="center" wrapText="1"/>
    </xf>
    <xf numFmtId="0" fontId="14" fillId="0" borderId="29" xfId="3" applyFont="1" applyBorder="1" applyAlignment="1">
      <alignment vertical="center" wrapText="1"/>
    </xf>
    <xf numFmtId="0" fontId="14" fillId="0" borderId="33" xfId="3" applyFont="1" applyBorder="1" applyAlignment="1">
      <alignment vertical="center" wrapText="1"/>
    </xf>
    <xf numFmtId="0" fontId="4" fillId="0" borderId="4" xfId="3" applyFont="1" applyBorder="1" applyAlignment="1">
      <alignment horizontal="left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34" xfId="3" applyFont="1" applyBorder="1" applyAlignment="1">
      <alignment horizontal="left" vertical="center" wrapText="1"/>
    </xf>
    <xf numFmtId="0" fontId="19" fillId="0" borderId="0" xfId="3" applyFont="1" applyAlignment="1" applyProtection="1">
      <alignment horizontal="right" vertical="center" wrapText="1"/>
      <protection locked="0"/>
    </xf>
    <xf numFmtId="0" fontId="6" fillId="0" borderId="1" xfId="3" applyFont="1" applyBorder="1" applyAlignment="1" applyProtection="1">
      <alignment horizontal="center" vertical="center" wrapText="1"/>
      <protection locked="0"/>
    </xf>
    <xf numFmtId="0" fontId="6" fillId="0" borderId="2" xfId="3" applyFont="1" applyBorder="1" applyAlignment="1" applyProtection="1">
      <alignment horizontal="center" vertical="center" wrapText="1"/>
      <protection locked="0"/>
    </xf>
    <xf numFmtId="0" fontId="6" fillId="0" borderId="6" xfId="3" applyFont="1" applyBorder="1" applyAlignment="1" applyProtection="1">
      <alignment horizontal="center" vertical="center" wrapText="1"/>
      <protection locked="0"/>
    </xf>
    <xf numFmtId="0" fontId="10" fillId="0" borderId="7" xfId="3" applyFont="1" applyBorder="1" applyAlignment="1" applyProtection="1">
      <alignment horizontal="left" vertical="center" wrapText="1"/>
      <protection locked="0"/>
    </xf>
    <xf numFmtId="0" fontId="10" fillId="0" borderId="2" xfId="3" applyFont="1" applyBorder="1" applyAlignment="1" applyProtection="1">
      <alignment horizontal="left" vertical="center" wrapText="1"/>
      <protection locked="0"/>
    </xf>
    <xf numFmtId="0" fontId="10" fillId="0" borderId="32" xfId="3" applyFont="1" applyBorder="1" applyAlignment="1" applyProtection="1">
      <alignment horizontal="left" vertical="center" wrapText="1"/>
      <protection locked="0"/>
    </xf>
    <xf numFmtId="0" fontId="7" fillId="0" borderId="3" xfId="3" quotePrefix="1" applyFont="1" applyBorder="1" applyAlignment="1" applyProtection="1">
      <alignment horizontal="center" vertical="center" wrapText="1"/>
      <protection locked="0"/>
    </xf>
    <xf numFmtId="0" fontId="7" fillId="0" borderId="0" xfId="3" applyFont="1" applyAlignment="1" applyProtection="1">
      <alignment horizontal="center" vertical="center" wrapText="1"/>
      <protection locked="0"/>
    </xf>
    <xf numFmtId="0" fontId="7" fillId="0" borderId="8" xfId="3" applyFont="1" applyBorder="1" applyAlignment="1" applyProtection="1">
      <alignment horizontal="center" vertical="center" wrapText="1"/>
      <protection locked="0"/>
    </xf>
    <xf numFmtId="0" fontId="5" fillId="0" borderId="28" xfId="3" applyFont="1" applyBorder="1" applyAlignment="1" applyProtection="1">
      <alignment horizontal="center" wrapText="1"/>
      <protection locked="0"/>
    </xf>
    <xf numFmtId="0" fontId="5" fillId="0" borderId="29" xfId="3" applyFont="1" applyBorder="1" applyAlignment="1" applyProtection="1">
      <alignment horizontal="center" wrapText="1"/>
      <protection locked="0"/>
    </xf>
    <xf numFmtId="0" fontId="5" fillId="0" borderId="33" xfId="3" applyFont="1" applyBorder="1" applyAlignment="1" applyProtection="1">
      <alignment horizontal="center" wrapText="1"/>
      <protection locked="0"/>
    </xf>
    <xf numFmtId="0" fontId="10" fillId="0" borderId="9" xfId="3" applyFont="1" applyBorder="1" applyAlignment="1" applyProtection="1">
      <alignment wrapText="1"/>
      <protection locked="0"/>
    </xf>
    <xf numFmtId="0" fontId="10" fillId="0" borderId="0" xfId="3" applyFont="1" applyAlignment="1" applyProtection="1">
      <alignment wrapText="1"/>
      <protection locked="0"/>
    </xf>
    <xf numFmtId="0" fontId="10" fillId="0" borderId="27" xfId="3" applyFont="1" applyBorder="1" applyAlignment="1" applyProtection="1">
      <alignment wrapText="1"/>
      <protection locked="0"/>
    </xf>
    <xf numFmtId="0" fontId="10" fillId="0" borderId="9" xfId="3" applyFont="1" applyBorder="1" applyAlignment="1" applyProtection="1">
      <alignment horizontal="left" wrapText="1"/>
      <protection locked="0"/>
    </xf>
    <xf numFmtId="0" fontId="10" fillId="0" borderId="0" xfId="3" applyFont="1" applyAlignment="1" applyProtection="1">
      <alignment horizontal="left" wrapText="1"/>
      <protection locked="0"/>
    </xf>
    <xf numFmtId="0" fontId="10" fillId="0" borderId="27" xfId="3" applyFont="1" applyBorder="1" applyAlignment="1" applyProtection="1">
      <alignment horizontal="left" wrapText="1"/>
      <protection locked="0"/>
    </xf>
    <xf numFmtId="0" fontId="10" fillId="0" borderId="5" xfId="3" applyFont="1" applyBorder="1" applyAlignment="1" applyProtection="1">
      <alignment horizontal="left" vertical="justify" wrapText="1"/>
      <protection locked="0"/>
    </xf>
    <xf numFmtId="0" fontId="10" fillId="0" borderId="34" xfId="3" applyFont="1" applyBorder="1" applyAlignment="1" applyProtection="1">
      <alignment horizontal="left" vertical="justify" wrapText="1"/>
      <protection locked="0"/>
    </xf>
    <xf numFmtId="0" fontId="5" fillId="0" borderId="7" xfId="3" applyFont="1" applyBorder="1" applyAlignment="1" applyProtection="1">
      <alignment horizontal="center" wrapText="1"/>
      <protection locked="0"/>
    </xf>
    <xf numFmtId="0" fontId="5" fillId="0" borderId="2" xfId="3" applyFont="1" applyBorder="1" applyAlignment="1" applyProtection="1">
      <alignment wrapText="1"/>
      <protection locked="0"/>
    </xf>
    <xf numFmtId="0" fontId="5" fillId="0" borderId="32" xfId="3" applyFont="1" applyBorder="1" applyAlignment="1" applyProtection="1">
      <alignment wrapText="1"/>
      <protection locked="0"/>
    </xf>
    <xf numFmtId="0" fontId="8" fillId="0" borderId="3" xfId="3" applyFont="1" applyBorder="1" applyAlignment="1" applyProtection="1">
      <alignment horizontal="center" vertical="center" wrapText="1"/>
      <protection locked="0"/>
    </xf>
    <xf numFmtId="0" fontId="8" fillId="0" borderId="0" xfId="3" applyFont="1" applyAlignment="1" applyProtection="1">
      <alignment horizontal="center" vertical="center" wrapText="1"/>
      <protection locked="0"/>
    </xf>
    <xf numFmtId="0" fontId="9" fillId="0" borderId="0" xfId="3" applyFont="1" applyAlignment="1" applyProtection="1">
      <alignment vertical="center"/>
      <protection locked="0"/>
    </xf>
    <xf numFmtId="0" fontId="9" fillId="0" borderId="8" xfId="3" applyFont="1" applyBorder="1" applyAlignment="1" applyProtection="1">
      <alignment vertical="center"/>
      <protection locked="0"/>
    </xf>
    <xf numFmtId="0" fontId="9" fillId="0" borderId="4" xfId="3" applyFont="1" applyBorder="1" applyAlignment="1" applyProtection="1">
      <alignment vertical="center"/>
      <protection locked="0"/>
    </xf>
    <xf numFmtId="0" fontId="9" fillId="0" borderId="5" xfId="3" applyFont="1" applyBorder="1" applyAlignment="1" applyProtection="1">
      <alignment vertical="center"/>
      <protection locked="0"/>
    </xf>
    <xf numFmtId="0" fontId="9" fillId="0" borderId="11" xfId="3" applyFont="1" applyBorder="1" applyAlignment="1" applyProtection="1">
      <alignment vertical="center"/>
      <protection locked="0"/>
    </xf>
    <xf numFmtId="0" fontId="5" fillId="0" borderId="5" xfId="3" applyFont="1" applyBorder="1" applyAlignment="1" applyProtection="1">
      <alignment wrapText="1"/>
      <protection locked="0"/>
    </xf>
    <xf numFmtId="0" fontId="5" fillId="0" borderId="7" xfId="3" applyFont="1" applyBorder="1" applyAlignment="1" applyProtection="1">
      <alignment wrapText="1"/>
      <protection locked="0"/>
    </xf>
    <xf numFmtId="0" fontId="5" fillId="0" borderId="6" xfId="3" applyFont="1" applyBorder="1" applyAlignment="1" applyProtection="1">
      <alignment wrapText="1"/>
      <protection locked="0"/>
    </xf>
    <xf numFmtId="0" fontId="5" fillId="0" borderId="7" xfId="3" applyFont="1" applyBorder="1" applyAlignment="1" applyProtection="1">
      <alignment horizontal="left"/>
      <protection locked="0"/>
    </xf>
    <xf numFmtId="0" fontId="5" fillId="0" borderId="2" xfId="3" applyFont="1" applyBorder="1" applyAlignment="1" applyProtection="1">
      <alignment horizontal="left"/>
      <protection locked="0"/>
    </xf>
    <xf numFmtId="0" fontId="5" fillId="0" borderId="32" xfId="3" applyFont="1" applyBorder="1" applyAlignment="1" applyProtection="1">
      <alignment horizontal="left"/>
      <protection locked="0"/>
    </xf>
    <xf numFmtId="49" fontId="10" fillId="0" borderId="9" xfId="3" applyNumberFormat="1" applyFont="1" applyBorder="1" applyAlignment="1" applyProtection="1">
      <alignment horizontal="center" vertical="center" wrapText="1"/>
      <protection locked="0"/>
    </xf>
    <xf numFmtId="49" fontId="10" fillId="0" borderId="0" xfId="3" applyNumberFormat="1" applyFont="1" applyAlignment="1" applyProtection="1">
      <alignment horizontal="center" vertical="center" wrapText="1"/>
      <protection locked="0"/>
    </xf>
    <xf numFmtId="49" fontId="10" fillId="0" borderId="8" xfId="3" applyNumberFormat="1" applyFont="1" applyBorder="1" applyAlignment="1" applyProtection="1">
      <alignment horizontal="center" vertical="center" wrapText="1"/>
      <protection locked="0"/>
    </xf>
    <xf numFmtId="0" fontId="5" fillId="0" borderId="9" xfId="3" applyFont="1" applyBorder="1" applyAlignment="1" applyProtection="1">
      <alignment wrapText="1"/>
      <protection locked="0"/>
    </xf>
    <xf numFmtId="0" fontId="5" fillId="0" borderId="0" xfId="3" applyFont="1" applyAlignment="1" applyProtection="1">
      <alignment wrapText="1"/>
      <protection locked="0"/>
    </xf>
    <xf numFmtId="0" fontId="5" fillId="0" borderId="27" xfId="3" applyFont="1" applyBorder="1" applyAlignment="1" applyProtection="1">
      <alignment wrapText="1"/>
      <protection locked="0"/>
    </xf>
    <xf numFmtId="49" fontId="5" fillId="0" borderId="17" xfId="3" applyNumberFormat="1" applyFont="1" applyBorder="1" applyAlignment="1" applyProtection="1">
      <alignment horizontal="center" vertical="center" wrapText="1"/>
      <protection locked="0"/>
    </xf>
    <xf numFmtId="49" fontId="5" fillId="0" borderId="18" xfId="3" applyNumberFormat="1" applyFont="1" applyBorder="1" applyAlignment="1" applyProtection="1">
      <alignment horizontal="center" vertical="center" wrapText="1"/>
      <protection locked="0"/>
    </xf>
    <xf numFmtId="49" fontId="5" fillId="0" borderId="24" xfId="3" applyNumberFormat="1" applyFont="1" applyBorder="1" applyAlignment="1" applyProtection="1">
      <alignment horizontal="center" vertical="center" wrapText="1"/>
      <protection locked="0"/>
    </xf>
    <xf numFmtId="49" fontId="5" fillId="0" borderId="25" xfId="3" applyNumberFormat="1" applyFont="1" applyBorder="1" applyAlignment="1" applyProtection="1">
      <alignment horizontal="center" vertical="center" wrapText="1"/>
      <protection locked="0"/>
    </xf>
    <xf numFmtId="49" fontId="5" fillId="0" borderId="18" xfId="3" applyNumberFormat="1" applyFont="1" applyBorder="1" applyAlignment="1" applyProtection="1">
      <alignment horizontal="center"/>
      <protection locked="0"/>
    </xf>
    <xf numFmtId="49" fontId="5" fillId="0" borderId="24" xfId="3" applyNumberFormat="1" applyFont="1" applyBorder="1" applyAlignment="1" applyProtection="1">
      <alignment horizontal="center"/>
      <protection locked="0"/>
    </xf>
    <xf numFmtId="49" fontId="5" fillId="0" borderId="26" xfId="3" applyNumberFormat="1" applyFont="1" applyBorder="1" applyAlignment="1" applyProtection="1">
      <alignment horizontal="center" vertical="center" wrapText="1"/>
      <protection locked="0"/>
    </xf>
    <xf numFmtId="0" fontId="10" fillId="0" borderId="1" xfId="3" applyFont="1" applyBorder="1" applyAlignment="1" applyProtection="1">
      <alignment vertical="center" wrapText="1"/>
      <protection locked="0"/>
    </xf>
    <xf numFmtId="0" fontId="10" fillId="0" borderId="2" xfId="3" applyFont="1" applyBorder="1" applyAlignment="1" applyProtection="1">
      <alignment vertical="center" wrapText="1"/>
      <protection locked="0"/>
    </xf>
    <xf numFmtId="0" fontId="10" fillId="0" borderId="6" xfId="3" applyFont="1" applyBorder="1" applyAlignment="1" applyProtection="1">
      <alignment vertical="center" wrapText="1"/>
      <protection locked="0"/>
    </xf>
    <xf numFmtId="0" fontId="10" fillId="0" borderId="3" xfId="3" applyFont="1" applyBorder="1" applyAlignment="1" applyProtection="1">
      <alignment vertical="center" wrapText="1"/>
      <protection locked="0"/>
    </xf>
    <xf numFmtId="0" fontId="10" fillId="0" borderId="0" xfId="3" applyFont="1" applyAlignment="1" applyProtection="1">
      <alignment vertical="center" wrapText="1"/>
      <protection locked="0"/>
    </xf>
    <xf numFmtId="0" fontId="10" fillId="0" borderId="8" xfId="3" applyFont="1" applyBorder="1" applyAlignment="1" applyProtection="1">
      <alignment vertical="center" wrapText="1"/>
      <protection locked="0"/>
    </xf>
    <xf numFmtId="0" fontId="10" fillId="0" borderId="4" xfId="3" applyFont="1" applyBorder="1" applyAlignment="1" applyProtection="1">
      <alignment vertical="center" wrapText="1"/>
      <protection locked="0"/>
    </xf>
    <xf numFmtId="0" fontId="10" fillId="0" borderId="5" xfId="3" applyFont="1" applyBorder="1" applyAlignment="1" applyProtection="1">
      <alignment vertical="center" wrapText="1"/>
      <protection locked="0"/>
    </xf>
    <xf numFmtId="0" fontId="10" fillId="0" borderId="11" xfId="3" applyFont="1" applyBorder="1" applyAlignment="1" applyProtection="1">
      <alignment vertical="center" wrapText="1"/>
      <protection locked="0"/>
    </xf>
    <xf numFmtId="0" fontId="11" fillId="0" borderId="7" xfId="3" applyFont="1" applyBorder="1" applyAlignment="1" applyProtection="1">
      <alignment vertical="center" wrapText="1"/>
      <protection locked="0"/>
    </xf>
    <xf numFmtId="0" fontId="11" fillId="0" borderId="2" xfId="3" applyFont="1" applyBorder="1" applyAlignment="1" applyProtection="1">
      <alignment vertical="center" wrapText="1"/>
      <protection locked="0"/>
    </xf>
    <xf numFmtId="0" fontId="11" fillId="0" borderId="6" xfId="3" applyFont="1" applyBorder="1" applyAlignment="1" applyProtection="1">
      <alignment vertical="center" wrapText="1"/>
      <protection locked="0"/>
    </xf>
    <xf numFmtId="0" fontId="11" fillId="0" borderId="9" xfId="3" applyFont="1" applyBorder="1" applyAlignment="1" applyProtection="1">
      <alignment vertical="center" wrapText="1"/>
      <protection locked="0"/>
    </xf>
    <xf numFmtId="0" fontId="11" fillId="0" borderId="0" xfId="3" applyFont="1" applyAlignment="1" applyProtection="1">
      <alignment vertical="center" wrapText="1"/>
      <protection locked="0"/>
    </xf>
    <xf numFmtId="0" fontId="11" fillId="0" borderId="8" xfId="3" applyFont="1" applyBorder="1" applyAlignment="1" applyProtection="1">
      <alignment vertical="center" wrapText="1"/>
      <protection locked="0"/>
    </xf>
    <xf numFmtId="0" fontId="11" fillId="0" borderId="0" xfId="3" applyFont="1" applyAlignment="1" applyProtection="1">
      <alignment horizontal="center" wrapText="1"/>
      <protection locked="0"/>
    </xf>
    <xf numFmtId="0" fontId="11" fillId="0" borderId="0" xfId="3" applyFont="1" applyAlignment="1" applyProtection="1">
      <alignment horizontal="center" vertical="center" wrapText="1"/>
      <protection locked="0"/>
    </xf>
    <xf numFmtId="0" fontId="11" fillId="0" borderId="0" xfId="3" applyFont="1" applyAlignment="1" applyProtection="1">
      <alignment horizontal="center"/>
      <protection locked="0"/>
    </xf>
    <xf numFmtId="0" fontId="12" fillId="0" borderId="0" xfId="3" applyFont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166" fontId="12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66" fontId="12" fillId="0" borderId="0" xfId="3" applyNumberFormat="1" applyFont="1" applyAlignment="1" applyProtection="1">
      <alignment horizontal="center" vertical="center" wrapText="1"/>
      <protection locked="0"/>
    </xf>
    <xf numFmtId="0" fontId="12" fillId="0" borderId="0" xfId="3" applyFont="1" applyAlignment="1" applyProtection="1">
      <alignment horizontal="center" vertical="center" wrapText="1"/>
      <protection locked="0"/>
    </xf>
    <xf numFmtId="2" fontId="12" fillId="0" borderId="0" xfId="3" applyNumberFormat="1" applyFont="1" applyAlignment="1" applyProtection="1">
      <alignment horizontal="right" vertical="center" wrapText="1"/>
      <protection locked="0"/>
    </xf>
    <xf numFmtId="166" fontId="14" fillId="0" borderId="0" xfId="3" applyNumberFormat="1" applyFont="1" applyAlignment="1" applyProtection="1">
      <alignment horizontal="center" vertical="center" wrapText="1"/>
      <protection locked="0"/>
    </xf>
    <xf numFmtId="0" fontId="14" fillId="0" borderId="0" xfId="3" applyFont="1" applyAlignment="1" applyProtection="1">
      <alignment horizontal="center" vertical="center" wrapText="1"/>
      <protection locked="0"/>
    </xf>
    <xf numFmtId="166" fontId="17" fillId="0" borderId="0" xfId="1" applyFont="1" applyBorder="1" applyAlignment="1" applyProtection="1">
      <alignment horizontal="center" vertical="center" wrapText="1"/>
      <protection locked="0"/>
    </xf>
    <xf numFmtId="166" fontId="4" fillId="0" borderId="0" xfId="3" applyNumberFormat="1" applyFont="1" applyAlignment="1" applyProtection="1">
      <alignment horizontal="center" vertical="center" wrapText="1"/>
      <protection locked="0"/>
    </xf>
    <xf numFmtId="0" fontId="4" fillId="0" borderId="0" xfId="3" applyFont="1" applyAlignment="1" applyProtection="1">
      <alignment horizontal="center" vertical="center" wrapText="1"/>
      <protection locked="0"/>
    </xf>
    <xf numFmtId="0" fontId="4" fillId="0" borderId="0" xfId="3" applyFont="1" applyAlignment="1" applyProtection="1">
      <alignment horizontal="left" vertical="center" wrapText="1"/>
      <protection locked="0"/>
    </xf>
    <xf numFmtId="166" fontId="4" fillId="0" borderId="0" xfId="1" applyFont="1" applyBorder="1" applyAlignment="1" applyProtection="1">
      <alignment horizontal="center" vertical="center" wrapText="1"/>
      <protection locked="0"/>
    </xf>
    <xf numFmtId="166" fontId="14" fillId="0" borderId="0" xfId="1" applyFont="1" applyBorder="1" applyAlignment="1" applyProtection="1">
      <alignment horizontal="center" vertical="center" wrapText="1"/>
      <protection locked="0"/>
    </xf>
    <xf numFmtId="0" fontId="10" fillId="0" borderId="4" xfId="3" applyFont="1" applyBorder="1" applyAlignment="1" applyProtection="1">
      <alignment horizontal="center" wrapText="1"/>
      <protection locked="0"/>
    </xf>
    <xf numFmtId="0" fontId="10" fillId="0" borderId="5" xfId="3" applyFont="1" applyBorder="1" applyAlignment="1" applyProtection="1">
      <alignment horizontal="center" wrapText="1"/>
      <protection locked="0"/>
    </xf>
    <xf numFmtId="0" fontId="15" fillId="0" borderId="5" xfId="3" applyFont="1" applyBorder="1" applyAlignment="1" applyProtection="1">
      <alignment horizontal="center"/>
      <protection locked="0"/>
    </xf>
    <xf numFmtId="0" fontId="15" fillId="0" borderId="11" xfId="3" applyFont="1" applyBorder="1" applyAlignment="1" applyProtection="1">
      <alignment horizontal="center"/>
      <protection locked="0"/>
    </xf>
    <xf numFmtId="166" fontId="11" fillId="0" borderId="30" xfId="3" applyNumberFormat="1" applyFont="1" applyBorder="1" applyAlignment="1" applyProtection="1">
      <alignment horizontal="center" wrapText="1"/>
      <protection locked="0"/>
    </xf>
    <xf numFmtId="166" fontId="11" fillId="0" borderId="31" xfId="3" applyNumberFormat="1" applyFont="1" applyBorder="1" applyAlignment="1" applyProtection="1">
      <alignment horizontal="center" wrapText="1"/>
      <protection locked="0"/>
    </xf>
    <xf numFmtId="166" fontId="11" fillId="0" borderId="36" xfId="3" applyNumberFormat="1" applyFont="1" applyBorder="1" applyAlignment="1" applyProtection="1">
      <alignment horizontal="center" wrapText="1"/>
      <protection locked="0"/>
    </xf>
    <xf numFmtId="0" fontId="5" fillId="0" borderId="0" xfId="3" applyFont="1" applyAlignment="1" applyProtection="1">
      <alignment horizontal="left" vertical="center"/>
      <protection locked="0"/>
    </xf>
    <xf numFmtId="0" fontId="5" fillId="0" borderId="2" xfId="3" applyFont="1" applyBorder="1" applyAlignment="1" applyProtection="1">
      <alignment horizontal="left" vertical="center"/>
      <protection locked="0"/>
    </xf>
    <xf numFmtId="0" fontId="5" fillId="0" borderId="27" xfId="3" applyFont="1" applyBorder="1" applyAlignment="1" applyProtection="1">
      <alignment horizontal="left"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0" fontId="5" fillId="0" borderId="0" xfId="3" applyFont="1" applyAlignment="1" applyProtection="1">
      <alignment horizontal="center"/>
      <protection locked="0"/>
    </xf>
    <xf numFmtId="0" fontId="5" fillId="0" borderId="21" xfId="3" applyFont="1" applyBorder="1" applyAlignment="1" applyProtection="1">
      <alignment horizontal="center" vertical="center" wrapText="1"/>
      <protection locked="0"/>
    </xf>
    <xf numFmtId="0" fontId="5" fillId="0" borderId="22" xfId="3" applyFont="1" applyBorder="1" applyAlignment="1" applyProtection="1">
      <alignment horizontal="center" vertical="center" wrapText="1"/>
      <protection locked="0"/>
    </xf>
    <xf numFmtId="0" fontId="5" fillId="0" borderId="10" xfId="3" applyFont="1" applyBorder="1" applyAlignment="1" applyProtection="1">
      <alignment horizontal="center" vertical="center" wrapText="1"/>
      <protection locked="0"/>
    </xf>
    <xf numFmtId="0" fontId="5" fillId="0" borderId="10" xfId="3" applyFont="1" applyBorder="1" applyAlignment="1" applyProtection="1">
      <alignment horizontal="center" wrapText="1"/>
      <protection locked="0"/>
    </xf>
    <xf numFmtId="0" fontId="5" fillId="0" borderId="10" xfId="3" applyFont="1" applyBorder="1" applyAlignment="1" applyProtection="1">
      <alignment horizontal="center"/>
      <protection locked="0"/>
    </xf>
    <xf numFmtId="0" fontId="5" fillId="0" borderId="37" xfId="3" applyFont="1" applyBorder="1" applyAlignment="1" applyProtection="1">
      <alignment horizontal="center"/>
      <protection locked="0"/>
    </xf>
    <xf numFmtId="0" fontId="5" fillId="0" borderId="39" xfId="3" applyFont="1" applyBorder="1" applyAlignment="1" applyProtection="1">
      <alignment horizontal="center" vertical="center" wrapText="1"/>
      <protection locked="0"/>
    </xf>
    <xf numFmtId="0" fontId="5" fillId="0" borderId="40" xfId="3" applyFont="1" applyBorder="1" applyAlignment="1" applyProtection="1">
      <alignment horizontal="center" vertical="center" wrapText="1"/>
      <protection locked="0"/>
    </xf>
    <xf numFmtId="0" fontId="5" fillId="0" borderId="40" xfId="3" applyFont="1" applyBorder="1" applyAlignment="1" applyProtection="1">
      <alignment vertical="center" wrapText="1"/>
      <protection locked="0"/>
    </xf>
    <xf numFmtId="0" fontId="5" fillId="0" borderId="44" xfId="3" applyFont="1" applyBorder="1" applyAlignment="1" applyProtection="1">
      <alignment vertical="center" wrapText="1"/>
      <protection locked="0"/>
    </xf>
    <xf numFmtId="0" fontId="5" fillId="0" borderId="39" xfId="3" applyFont="1" applyBorder="1" applyAlignment="1" applyProtection="1">
      <alignment horizontal="center" vertical="center"/>
      <protection locked="0"/>
    </xf>
    <xf numFmtId="0" fontId="5" fillId="0" borderId="40" xfId="3" applyFont="1" applyBorder="1" applyAlignment="1" applyProtection="1">
      <alignment horizontal="center" vertical="center"/>
      <protection locked="0"/>
    </xf>
    <xf numFmtId="0" fontId="5" fillId="0" borderId="44" xfId="3" applyFont="1" applyBorder="1" applyAlignment="1" applyProtection="1">
      <alignment horizontal="center" vertical="center"/>
      <protection locked="0"/>
    </xf>
    <xf numFmtId="0" fontId="5" fillId="0" borderId="0" xfId="3" applyFont="1" applyAlignment="1" applyProtection="1">
      <alignment horizontal="left" wrapText="1"/>
      <protection locked="0"/>
    </xf>
    <xf numFmtId="0" fontId="5" fillId="0" borderId="16" xfId="3" applyFont="1" applyBorder="1" applyAlignment="1" applyProtection="1">
      <alignment horizontal="left" vertical="center" wrapText="1"/>
      <protection locked="0"/>
    </xf>
    <xf numFmtId="0" fontId="5" fillId="0" borderId="14" xfId="3" applyFont="1" applyBorder="1" applyAlignment="1" applyProtection="1">
      <alignment horizontal="left" vertical="center" wrapText="1"/>
      <protection locked="0"/>
    </xf>
    <xf numFmtId="0" fontId="5" fillId="0" borderId="15" xfId="3" applyFont="1" applyBorder="1" applyAlignment="1" applyProtection="1">
      <alignment horizontal="left" vertical="center" wrapText="1"/>
      <protection locked="0"/>
    </xf>
    <xf numFmtId="4" fontId="5" fillId="0" borderId="16" xfId="3" applyNumberFormat="1" applyFont="1" applyBorder="1" applyAlignment="1" applyProtection="1">
      <alignment horizontal="center" wrapText="1"/>
      <protection locked="0"/>
    </xf>
    <xf numFmtId="0" fontId="5" fillId="0" borderId="14" xfId="3" applyFont="1" applyBorder="1" applyAlignment="1" applyProtection="1">
      <alignment horizontal="center" wrapText="1"/>
      <protection locked="0"/>
    </xf>
    <xf numFmtId="0" fontId="5" fillId="0" borderId="15" xfId="3" applyFont="1" applyBorder="1" applyAlignment="1" applyProtection="1">
      <alignment horizontal="center" wrapText="1"/>
      <protection locked="0"/>
    </xf>
    <xf numFmtId="0" fontId="5" fillId="0" borderId="9" xfId="3" applyFont="1" applyBorder="1" applyAlignment="1" applyProtection="1">
      <alignment horizontal="left" vertical="center" wrapText="1"/>
      <protection locked="0"/>
    </xf>
    <xf numFmtId="0" fontId="5" fillId="0" borderId="0" xfId="3" applyFont="1" applyAlignment="1" applyProtection="1">
      <alignment horizontal="left" vertical="center" wrapText="1"/>
      <protection locked="0"/>
    </xf>
    <xf numFmtId="0" fontId="5" fillId="0" borderId="8" xfId="3" applyFont="1" applyBorder="1" applyAlignment="1" applyProtection="1">
      <alignment horizontal="left" vertical="center" wrapText="1"/>
      <protection locked="0"/>
    </xf>
    <xf numFmtId="0" fontId="5" fillId="0" borderId="27" xfId="3" applyFont="1" applyBorder="1" applyAlignment="1" applyProtection="1">
      <alignment horizontal="left" vertical="center" wrapText="1"/>
      <protection locked="0"/>
    </xf>
    <xf numFmtId="0" fontId="5" fillId="0" borderId="16" xfId="3" applyFont="1" applyBorder="1" applyAlignment="1" applyProtection="1">
      <alignment horizontal="left" vertical="justify" wrapText="1"/>
      <protection locked="0"/>
    </xf>
    <xf numFmtId="0" fontId="5" fillId="0" borderId="14" xfId="3" applyFont="1" applyBorder="1" applyAlignment="1" applyProtection="1">
      <alignment horizontal="left" vertical="justify" wrapText="1"/>
      <protection locked="0"/>
    </xf>
    <xf numFmtId="0" fontId="5" fillId="0" borderId="15" xfId="3" applyFont="1" applyBorder="1" applyAlignment="1" applyProtection="1">
      <alignment horizontal="left" vertical="justify" wrapText="1"/>
      <protection locked="0"/>
    </xf>
    <xf numFmtId="0" fontId="5" fillId="0" borderId="14" xfId="3" applyFont="1" applyBorder="1" applyAlignment="1" applyProtection="1">
      <alignment wrapText="1"/>
      <protection locked="0"/>
    </xf>
    <xf numFmtId="0" fontId="5" fillId="0" borderId="35" xfId="3" applyFont="1" applyBorder="1" applyAlignment="1" applyProtection="1">
      <alignment wrapText="1"/>
      <protection locked="0"/>
    </xf>
    <xf numFmtId="0" fontId="5" fillId="0" borderId="29" xfId="3" applyFont="1" applyBorder="1" applyAlignment="1" applyProtection="1">
      <alignment horizontal="left" vertical="justify" wrapText="1"/>
      <protection locked="0"/>
    </xf>
    <xf numFmtId="0" fontId="5" fillId="0" borderId="43" xfId="3" applyFont="1" applyBorder="1" applyAlignment="1" applyProtection="1">
      <alignment horizontal="left" vertical="justify" wrapText="1"/>
      <protection locked="0"/>
    </xf>
    <xf numFmtId="0" fontId="5" fillId="0" borderId="13" xfId="3" applyFont="1" applyBorder="1" applyAlignment="1" applyProtection="1">
      <alignment horizontal="center" vertical="center" wrapText="1"/>
      <protection locked="0"/>
    </xf>
    <xf numFmtId="0" fontId="5" fillId="0" borderId="14" xfId="3" applyFont="1" applyBorder="1" applyAlignment="1" applyProtection="1">
      <alignment horizontal="center" vertical="center" wrapText="1"/>
      <protection locked="0"/>
    </xf>
    <xf numFmtId="0" fontId="5" fillId="0" borderId="4" xfId="3" applyFont="1" applyBorder="1" applyAlignment="1" applyProtection="1">
      <alignment vertical="center" wrapText="1"/>
      <protection locked="0"/>
    </xf>
    <xf numFmtId="0" fontId="5" fillId="0" borderId="5" xfId="3" applyFont="1" applyBorder="1" applyAlignment="1" applyProtection="1">
      <alignment vertical="center" wrapText="1"/>
      <protection locked="0"/>
    </xf>
    <xf numFmtId="0" fontId="5" fillId="0" borderId="12" xfId="3" applyFont="1" applyBorder="1" applyAlignment="1" applyProtection="1">
      <alignment wrapText="1"/>
      <protection locked="0"/>
    </xf>
    <xf numFmtId="0" fontId="5" fillId="0" borderId="34" xfId="3" applyFont="1" applyBorder="1" applyAlignment="1" applyProtection="1">
      <alignment wrapText="1"/>
      <protection locked="0"/>
    </xf>
    <xf numFmtId="0" fontId="5" fillId="0" borderId="15" xfId="3" applyFont="1" applyBorder="1" applyAlignment="1" applyProtection="1">
      <alignment horizontal="center" vertical="center" wrapText="1"/>
      <protection locked="0"/>
    </xf>
    <xf numFmtId="0" fontId="5" fillId="0" borderId="4" xfId="3" applyFont="1" applyBorder="1" applyAlignment="1" applyProtection="1">
      <alignment horizontal="center" vertical="center" wrapText="1"/>
      <protection locked="0"/>
    </xf>
    <xf numFmtId="0" fontId="5" fillId="0" borderId="5" xfId="3" applyFont="1" applyBorder="1" applyAlignment="1" applyProtection="1">
      <alignment horizontal="center" vertical="center" wrapText="1"/>
      <protection locked="0"/>
    </xf>
    <xf numFmtId="0" fontId="5" fillId="0" borderId="11" xfId="3" applyFont="1" applyBorder="1" applyAlignment="1" applyProtection="1">
      <alignment horizontal="center" vertical="center" wrapText="1"/>
      <protection locked="0"/>
    </xf>
    <xf numFmtId="0" fontId="5" fillId="0" borderId="16" xfId="3" applyFont="1" applyBorder="1" applyAlignment="1" applyProtection="1">
      <alignment horizontal="center" vertical="center" wrapText="1"/>
      <protection locked="0"/>
    </xf>
    <xf numFmtId="0" fontId="5" fillId="0" borderId="35" xfId="3" applyFont="1" applyBorder="1" applyAlignment="1" applyProtection="1">
      <alignment horizontal="center" vertical="center" wrapText="1"/>
      <protection locked="0"/>
    </xf>
    <xf numFmtId="0" fontId="5" fillId="0" borderId="12" xfId="3" applyFont="1" applyBorder="1" applyAlignment="1" applyProtection="1">
      <alignment horizontal="center" vertical="center" wrapText="1"/>
      <protection locked="0"/>
    </xf>
    <xf numFmtId="0" fontId="5" fillId="0" borderId="34" xfId="3" applyFont="1" applyBorder="1" applyAlignment="1" applyProtection="1">
      <alignment horizontal="center" vertical="center" wrapText="1"/>
      <protection locked="0"/>
    </xf>
    <xf numFmtId="0" fontId="5" fillId="0" borderId="9" xfId="3" applyFont="1" applyBorder="1" applyAlignment="1" applyProtection="1">
      <alignment horizontal="left" vertical="justify" wrapText="1"/>
      <protection locked="0"/>
    </xf>
    <xf numFmtId="0" fontId="5" fillId="0" borderId="0" xfId="3" applyFont="1" applyAlignment="1" applyProtection="1">
      <alignment vertical="justify" wrapText="1"/>
      <protection locked="0"/>
    </xf>
    <xf numFmtId="0" fontId="5" fillId="0" borderId="8" xfId="3" applyFont="1" applyBorder="1" applyAlignment="1" applyProtection="1">
      <alignment vertical="justify" wrapText="1"/>
      <protection locked="0"/>
    </xf>
    <xf numFmtId="0" fontId="5" fillId="0" borderId="28" xfId="3" applyFont="1" applyBorder="1" applyAlignment="1" applyProtection="1">
      <alignment vertical="justify" wrapText="1"/>
      <protection locked="0"/>
    </xf>
    <xf numFmtId="0" fontId="5" fillId="0" borderId="29" xfId="3" applyFont="1" applyBorder="1" applyAlignment="1" applyProtection="1">
      <alignment vertical="justify" wrapText="1"/>
      <protection locked="0"/>
    </xf>
    <xf numFmtId="0" fontId="5" fillId="0" borderId="43" xfId="3" applyFont="1" applyBorder="1" applyAlignment="1" applyProtection="1">
      <alignment vertical="justify" wrapText="1"/>
      <protection locked="0"/>
    </xf>
    <xf numFmtId="0" fontId="5" fillId="0" borderId="38" xfId="3" applyFont="1" applyBorder="1" applyAlignment="1" applyProtection="1">
      <alignment wrapText="1"/>
      <protection locked="0"/>
    </xf>
    <xf numFmtId="0" fontId="5" fillId="0" borderId="29" xfId="3" applyFont="1" applyBorder="1" applyAlignment="1" applyProtection="1">
      <alignment wrapText="1"/>
      <protection locked="0"/>
    </xf>
    <xf numFmtId="0" fontId="11" fillId="0" borderId="28" xfId="3" applyFont="1" applyBorder="1" applyAlignment="1" applyProtection="1">
      <alignment horizontal="center" vertical="center" wrapText="1"/>
      <protection locked="0"/>
    </xf>
    <xf numFmtId="0" fontId="11" fillId="0" borderId="29" xfId="3" applyFont="1" applyBorder="1" applyAlignment="1" applyProtection="1">
      <alignment horizontal="center" vertical="center" wrapText="1"/>
      <protection locked="0"/>
    </xf>
    <xf numFmtId="0" fontId="11" fillId="0" borderId="43" xfId="3" applyFont="1" applyBorder="1" applyAlignment="1" applyProtection="1">
      <alignment horizontal="center" vertical="center" wrapText="1"/>
      <protection locked="0"/>
    </xf>
    <xf numFmtId="0" fontId="5" fillId="0" borderId="41" xfId="3" applyFont="1" applyBorder="1" applyAlignment="1" applyProtection="1">
      <alignment vertical="justify" wrapText="1"/>
      <protection locked="0"/>
    </xf>
    <xf numFmtId="0" fontId="5" fillId="0" borderId="42" xfId="3" applyFont="1" applyBorder="1" applyAlignment="1" applyProtection="1">
      <alignment vertical="justify" wrapText="1"/>
      <protection locked="0"/>
    </xf>
    <xf numFmtId="0" fontId="5" fillId="0" borderId="45" xfId="3" applyFont="1" applyBorder="1" applyAlignment="1" applyProtection="1">
      <alignment vertical="justify" wrapText="1"/>
      <protection locked="0"/>
    </xf>
    <xf numFmtId="0" fontId="5" fillId="0" borderId="3" xfId="3" applyFont="1" applyBorder="1" applyAlignment="1" applyProtection="1">
      <alignment horizontal="center" vertical="center" wrapText="1"/>
      <protection locked="0"/>
    </xf>
    <xf numFmtId="0" fontId="5" fillId="0" borderId="0" xfId="3" applyFont="1" applyAlignment="1" applyProtection="1">
      <alignment horizontal="center" vertical="center" wrapText="1"/>
      <protection locked="0"/>
    </xf>
    <xf numFmtId="0" fontId="5" fillId="0" borderId="38" xfId="3" applyFont="1" applyBorder="1" applyAlignment="1" applyProtection="1">
      <alignment horizontal="center" vertical="center" wrapText="1"/>
      <protection locked="0"/>
    </xf>
    <xf numFmtId="0" fontId="5" fillId="0" borderId="29" xfId="3" applyFont="1" applyBorder="1" applyAlignment="1" applyProtection="1">
      <alignment horizontal="center" vertical="center" wrapText="1"/>
      <protection locked="0"/>
    </xf>
    <xf numFmtId="166" fontId="11" fillId="0" borderId="9" xfId="3" applyNumberFormat="1" applyFont="1" applyBorder="1" applyAlignment="1" applyProtection="1">
      <alignment horizontal="center" vertical="center" wrapText="1"/>
      <protection locked="0"/>
    </xf>
    <xf numFmtId="0" fontId="11" fillId="0" borderId="27" xfId="3" applyFont="1" applyBorder="1" applyAlignment="1" applyProtection="1">
      <alignment horizontal="center" vertical="center" wrapText="1"/>
      <protection locked="0"/>
    </xf>
    <xf numFmtId="0" fontId="11" fillId="0" borderId="9" xfId="3" applyFont="1" applyBorder="1" applyAlignment="1" applyProtection="1">
      <alignment horizontal="center" vertical="center" wrapText="1"/>
      <protection locked="0"/>
    </xf>
    <xf numFmtId="0" fontId="10" fillId="0" borderId="13" xfId="3" applyFont="1" applyBorder="1" applyAlignment="1" applyProtection="1">
      <alignment horizontal="left" vertical="center" wrapText="1"/>
      <protection locked="0"/>
    </xf>
    <xf numFmtId="0" fontId="10" fillId="0" borderId="14" xfId="3" applyFont="1" applyBorder="1" applyAlignment="1" applyProtection="1">
      <alignment horizontal="left" vertical="center" wrapText="1"/>
      <protection locked="0"/>
    </xf>
    <xf numFmtId="0" fontId="10" fillId="0" borderId="15" xfId="3" applyFont="1" applyBorder="1" applyAlignment="1" applyProtection="1">
      <alignment horizontal="left" vertical="center" wrapText="1"/>
      <protection locked="0"/>
    </xf>
    <xf numFmtId="0" fontId="10" fillId="0" borderId="4" xfId="3" applyFont="1" applyBorder="1" applyAlignment="1" applyProtection="1">
      <alignment horizontal="left" vertical="center" wrapText="1"/>
      <protection locked="0"/>
    </xf>
    <xf numFmtId="0" fontId="10" fillId="0" borderId="5" xfId="3" applyFont="1" applyBorder="1" applyAlignment="1" applyProtection="1">
      <alignment horizontal="left" vertical="center" wrapText="1"/>
      <protection locked="0"/>
    </xf>
    <xf numFmtId="0" fontId="10" fillId="0" borderId="11" xfId="3" applyFont="1" applyBorder="1" applyAlignment="1" applyProtection="1">
      <alignment horizontal="left" vertical="center" wrapText="1"/>
      <protection locked="0"/>
    </xf>
    <xf numFmtId="0" fontId="12" fillId="0" borderId="16" xfId="3" applyFont="1" applyBorder="1" applyAlignment="1" applyProtection="1">
      <alignment horizontal="left" vertical="center" wrapText="1"/>
      <protection locked="0"/>
    </xf>
    <xf numFmtId="0" fontId="12" fillId="0" borderId="14" xfId="3" applyFont="1" applyBorder="1" applyAlignment="1" applyProtection="1">
      <alignment horizontal="left" vertical="center" wrapText="1"/>
      <protection locked="0"/>
    </xf>
    <xf numFmtId="0" fontId="12" fillId="0" borderId="35" xfId="3" applyFont="1" applyBorder="1" applyAlignment="1" applyProtection="1">
      <alignment horizontal="left" vertical="center" wrapText="1"/>
      <protection locked="0"/>
    </xf>
    <xf numFmtId="0" fontId="12" fillId="0" borderId="12" xfId="3" applyFont="1" applyBorder="1" applyAlignment="1" applyProtection="1">
      <alignment horizontal="left" vertical="center" wrapText="1"/>
      <protection locked="0"/>
    </xf>
    <xf numFmtId="0" fontId="12" fillId="0" borderId="5" xfId="3" applyFont="1" applyBorder="1" applyAlignment="1" applyProtection="1">
      <alignment horizontal="left" vertical="center" wrapText="1"/>
      <protection locked="0"/>
    </xf>
    <xf numFmtId="0" fontId="12" fillId="0" borderId="34" xfId="3" applyFont="1" applyBorder="1" applyAlignment="1" applyProtection="1">
      <alignment horizontal="left" vertical="center" wrapText="1"/>
      <protection locked="0"/>
    </xf>
    <xf numFmtId="0" fontId="12" fillId="0" borderId="3" xfId="3" applyFont="1" applyBorder="1" applyAlignment="1" applyProtection="1">
      <alignment horizontal="left" vertical="center" wrapText="1" indent="1"/>
      <protection locked="0"/>
    </xf>
    <xf numFmtId="0" fontId="12" fillId="0" borderId="0" xfId="3" applyFont="1" applyAlignment="1" applyProtection="1">
      <alignment horizontal="left" vertical="center" wrapText="1" indent="1"/>
      <protection locked="0"/>
    </xf>
    <xf numFmtId="0" fontId="12" fillId="0" borderId="8" xfId="3" applyFont="1" applyBorder="1" applyAlignment="1" applyProtection="1">
      <alignment horizontal="left" vertical="center" wrapText="1" indent="1"/>
      <protection locked="0"/>
    </xf>
    <xf numFmtId="0" fontId="11" fillId="0" borderId="16" xfId="3" applyFont="1" applyBorder="1" applyAlignment="1" applyProtection="1">
      <alignment horizontal="center" vertical="center"/>
      <protection locked="0"/>
    </xf>
    <xf numFmtId="0" fontId="12" fillId="0" borderId="14" xfId="3" applyFont="1" applyBorder="1" applyAlignment="1" applyProtection="1">
      <alignment horizontal="center" vertical="center"/>
      <protection locked="0"/>
    </xf>
    <xf numFmtId="0" fontId="12" fillId="0" borderId="35" xfId="3" applyFont="1" applyBorder="1" applyAlignment="1" applyProtection="1">
      <alignment horizontal="center" vertical="center"/>
      <protection locked="0"/>
    </xf>
    <xf numFmtId="0" fontId="12" fillId="0" borderId="28" xfId="3" applyFont="1" applyBorder="1" applyAlignment="1" applyProtection="1">
      <alignment horizontal="center" vertical="center"/>
      <protection locked="0"/>
    </xf>
    <xf numFmtId="0" fontId="12" fillId="0" borderId="29" xfId="3" applyFont="1" applyBorder="1" applyAlignment="1" applyProtection="1">
      <alignment horizontal="center" vertical="center"/>
      <protection locked="0"/>
    </xf>
    <xf numFmtId="0" fontId="12" fillId="0" borderId="33" xfId="3" applyFont="1" applyBorder="1" applyAlignment="1" applyProtection="1">
      <alignment horizontal="center" vertical="center"/>
      <protection locked="0"/>
    </xf>
    <xf numFmtId="0" fontId="5" fillId="0" borderId="0" xfId="3" applyFont="1" applyAlignment="1" applyProtection="1">
      <alignment vertical="center" wrapText="1"/>
      <protection locked="0"/>
    </xf>
    <xf numFmtId="0" fontId="5" fillId="0" borderId="38" xfId="3" applyFont="1" applyBorder="1" applyAlignment="1" applyProtection="1">
      <alignment vertical="center" wrapText="1"/>
      <protection locked="0"/>
    </xf>
    <xf numFmtId="0" fontId="5" fillId="0" borderId="29" xfId="3" applyFont="1" applyBorder="1" applyAlignment="1" applyProtection="1">
      <alignment vertical="center" wrapText="1"/>
      <protection locked="0"/>
    </xf>
    <xf numFmtId="0" fontId="5" fillId="0" borderId="8" xfId="3" applyFont="1" applyBorder="1" applyAlignment="1" applyProtection="1">
      <alignment horizontal="center" vertical="center" wrapText="1"/>
      <protection locked="0"/>
    </xf>
    <xf numFmtId="0" fontId="5" fillId="0" borderId="43" xfId="3" applyFont="1" applyBorder="1" applyAlignment="1" applyProtection="1">
      <alignment horizontal="center" vertical="center" wrapText="1"/>
      <protection locked="0"/>
    </xf>
    <xf numFmtId="0" fontId="5" fillId="0" borderId="14" xfId="3" applyFont="1" applyBorder="1" applyAlignment="1" applyProtection="1">
      <alignment vertical="center" wrapText="1"/>
      <protection locked="0"/>
    </xf>
    <xf numFmtId="0" fontId="5" fillId="0" borderId="28" xfId="3" applyFont="1" applyBorder="1" applyAlignment="1" applyProtection="1">
      <alignment wrapText="1"/>
      <protection locked="0"/>
    </xf>
    <xf numFmtId="0" fontId="5" fillId="0" borderId="33" xfId="3" applyFont="1" applyBorder="1" applyAlignment="1" applyProtection="1">
      <alignment wrapText="1"/>
      <protection locked="0"/>
    </xf>
    <xf numFmtId="0" fontId="5" fillId="0" borderId="28" xfId="3" applyFont="1" applyBorder="1" applyAlignment="1" applyProtection="1">
      <alignment horizontal="center" vertical="center" wrapText="1"/>
      <protection locked="0"/>
    </xf>
    <xf numFmtId="0" fontId="5" fillId="0" borderId="33" xfId="3" applyFont="1" applyBorder="1" applyAlignment="1" applyProtection="1">
      <alignment horizontal="center" vertical="center" wrapText="1"/>
      <protection locked="0"/>
    </xf>
    <xf numFmtId="0" fontId="5" fillId="0" borderId="16" xfId="3" applyFont="1" applyBorder="1" applyAlignment="1" applyProtection="1">
      <alignment horizontal="center"/>
      <protection locked="0"/>
    </xf>
    <xf numFmtId="0" fontId="5" fillId="0" borderId="14" xfId="3" applyFont="1" applyBorder="1" applyAlignment="1" applyProtection="1">
      <alignment horizontal="center"/>
      <protection locked="0"/>
    </xf>
    <xf numFmtId="0" fontId="5" fillId="0" borderId="15" xfId="3" applyFont="1" applyBorder="1" applyAlignment="1" applyProtection="1">
      <alignment horizontal="center"/>
      <protection locked="0"/>
    </xf>
    <xf numFmtId="0" fontId="5" fillId="0" borderId="9" xfId="3" applyFont="1" applyBorder="1" applyAlignment="1" applyProtection="1">
      <alignment horizontal="center"/>
      <protection locked="0"/>
    </xf>
    <xf numFmtId="0" fontId="5" fillId="0" borderId="8" xfId="3" applyFont="1" applyBorder="1" applyAlignment="1" applyProtection="1">
      <alignment horizontal="center"/>
      <protection locked="0"/>
    </xf>
    <xf numFmtId="0" fontId="4" fillId="0" borderId="13" xfId="3" applyFont="1" applyBorder="1" applyAlignment="1" applyProtection="1">
      <alignment horizontal="center" vertical="center" wrapText="1"/>
      <protection hidden="1"/>
    </xf>
    <xf numFmtId="0" fontId="4" fillId="0" borderId="14" xfId="3" applyFont="1" applyBorder="1" applyAlignment="1" applyProtection="1">
      <alignment horizontal="center" vertical="center" wrapText="1"/>
      <protection hidden="1"/>
    </xf>
    <xf numFmtId="0" fontId="4" fillId="0" borderId="35" xfId="3" applyFont="1" applyBorder="1" applyAlignment="1" applyProtection="1">
      <alignment horizontal="center" vertical="center" wrapText="1"/>
      <protection hidden="1"/>
    </xf>
    <xf numFmtId="0" fontId="4" fillId="0" borderId="3" xfId="3" applyFont="1" applyBorder="1" applyAlignment="1" applyProtection="1">
      <alignment horizontal="center" vertical="center" wrapText="1"/>
      <protection hidden="1"/>
    </xf>
    <xf numFmtId="0" fontId="4" fillId="0" borderId="0" xfId="3" applyFont="1" applyAlignment="1" applyProtection="1">
      <alignment horizontal="center" vertical="center" wrapText="1"/>
      <protection hidden="1"/>
    </xf>
    <xf numFmtId="0" fontId="4" fillId="0" borderId="27" xfId="3" applyFont="1" applyBorder="1" applyAlignment="1" applyProtection="1">
      <alignment horizontal="center" vertical="center" wrapText="1"/>
      <protection hidden="1"/>
    </xf>
    <xf numFmtId="0" fontId="4" fillId="0" borderId="38" xfId="3" applyFont="1" applyBorder="1" applyAlignment="1" applyProtection="1">
      <alignment horizontal="center" vertical="center" wrapText="1"/>
      <protection hidden="1"/>
    </xf>
    <xf numFmtId="0" fontId="4" fillId="0" borderId="29" xfId="3" applyFont="1" applyBorder="1" applyAlignment="1" applyProtection="1">
      <alignment horizontal="center" vertical="center" wrapText="1"/>
      <protection hidden="1"/>
    </xf>
    <xf numFmtId="0" fontId="4" fillId="0" borderId="33" xfId="3" applyFont="1" applyBorder="1" applyAlignment="1" applyProtection="1">
      <alignment horizontal="center" vertical="center" wrapText="1"/>
      <protection hidden="1"/>
    </xf>
    <xf numFmtId="0" fontId="11" fillId="0" borderId="16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1" fillId="0" borderId="35" xfId="3" applyFont="1" applyBorder="1" applyAlignment="1">
      <alignment horizontal="center" vertical="center" wrapText="1"/>
    </xf>
    <xf numFmtId="0" fontId="11" fillId="0" borderId="28" xfId="3" applyFont="1" applyBorder="1" applyAlignment="1">
      <alignment horizontal="center" vertical="center" wrapText="1"/>
    </xf>
    <xf numFmtId="0" fontId="11" fillId="0" borderId="29" xfId="3" applyFont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5" fillId="0" borderId="3" xfId="3" applyFont="1" applyBorder="1" applyAlignment="1" applyProtection="1">
      <alignment wrapText="1"/>
      <protection locked="0"/>
    </xf>
    <xf numFmtId="0" fontId="10" fillId="0" borderId="18" xfId="3" applyFont="1" applyBorder="1" applyAlignment="1" applyProtection="1">
      <alignment vertical="justify" wrapText="1"/>
      <protection locked="0"/>
    </xf>
    <xf numFmtId="0" fontId="12" fillId="0" borderId="28" xfId="3" applyFont="1" applyBorder="1" applyAlignment="1">
      <alignment horizontal="center" vertical="center" wrapText="1"/>
    </xf>
    <xf numFmtId="0" fontId="12" fillId="0" borderId="29" xfId="3" applyFont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9" xfId="3" applyFont="1" applyBorder="1" applyAlignment="1" applyProtection="1">
      <alignment horizontal="center" vertical="center" wrapText="1"/>
      <protection locked="0"/>
    </xf>
    <xf numFmtId="0" fontId="12" fillId="0" borderId="40" xfId="3" applyFont="1" applyBorder="1" applyAlignment="1" applyProtection="1">
      <alignment horizontal="center" vertical="center" wrapText="1"/>
      <protection locked="0"/>
    </xf>
    <xf numFmtId="0" fontId="12" fillId="0" borderId="44" xfId="3" applyFont="1" applyBorder="1" applyAlignment="1" applyProtection="1">
      <alignment horizontal="center" vertical="center" wrapText="1"/>
      <protection locked="0"/>
    </xf>
    <xf numFmtId="0" fontId="32" fillId="0" borderId="57" xfId="3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/>
    </xf>
    <xf numFmtId="0" fontId="32" fillId="0" borderId="23" xfId="3" applyFont="1" applyBorder="1" applyAlignment="1">
      <alignment horizontal="center" vertical="center"/>
    </xf>
    <xf numFmtId="0" fontId="48" fillId="0" borderId="57" xfId="3" applyFont="1" applyBorder="1" applyAlignment="1">
      <alignment horizontal="left" vertical="center"/>
    </xf>
    <xf numFmtId="0" fontId="48" fillId="0" borderId="53" xfId="3" applyFont="1" applyBorder="1" applyAlignment="1">
      <alignment horizontal="left" vertical="center"/>
    </xf>
    <xf numFmtId="0" fontId="48" fillId="0" borderId="23" xfId="3" applyFont="1" applyBorder="1" applyAlignment="1">
      <alignment horizontal="left" vertical="center"/>
    </xf>
    <xf numFmtId="0" fontId="30" fillId="0" borderId="57" xfId="3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0" borderId="23" xfId="3" applyFont="1" applyBorder="1" applyAlignment="1">
      <alignment horizontal="center" vertical="center" wrapText="1"/>
    </xf>
    <xf numFmtId="0" fontId="83" fillId="0" borderId="0" xfId="3" quotePrefix="1" applyFont="1" applyAlignment="1">
      <alignment horizontal="center" vertical="center"/>
    </xf>
    <xf numFmtId="0" fontId="83" fillId="0" borderId="0" xfId="3" applyFont="1" applyAlignment="1">
      <alignment horizontal="center" vertical="center"/>
    </xf>
    <xf numFmtId="0" fontId="40" fillId="0" borderId="57" xfId="3" applyFont="1" applyBorder="1" applyAlignment="1">
      <alignment horizontal="center" vertical="center"/>
    </xf>
    <xf numFmtId="0" fontId="40" fillId="0" borderId="53" xfId="3" applyFont="1" applyBorder="1" applyAlignment="1">
      <alignment horizontal="center" vertical="center"/>
    </xf>
    <xf numFmtId="0" fontId="40" fillId="0" borderId="23" xfId="3" applyFont="1" applyBorder="1" applyAlignment="1">
      <alignment horizontal="center" vertical="center"/>
    </xf>
    <xf numFmtId="0" fontId="47" fillId="0" borderId="76" xfId="3" applyFont="1" applyBorder="1" applyAlignment="1">
      <alignment horizontal="center" vertical="center"/>
    </xf>
    <xf numFmtId="0" fontId="47" fillId="0" borderId="77" xfId="3" applyFont="1" applyBorder="1" applyAlignment="1">
      <alignment horizontal="center" vertical="center"/>
    </xf>
    <xf numFmtId="0" fontId="47" fillId="0" borderId="60" xfId="3" applyFont="1" applyBorder="1" applyAlignment="1">
      <alignment horizontal="center" vertical="center"/>
    </xf>
    <xf numFmtId="0" fontId="47" fillId="0" borderId="78" xfId="3" applyFont="1" applyBorder="1" applyAlignment="1">
      <alignment horizontal="center" vertical="center"/>
    </xf>
    <xf numFmtId="0" fontId="47" fillId="0" borderId="60" xfId="3" applyFont="1" applyBorder="1" applyAlignment="1">
      <alignment horizontal="center" vertical="center" wrapText="1"/>
    </xf>
    <xf numFmtId="0" fontId="47" fillId="0" borderId="78" xfId="3" applyFont="1" applyBorder="1" applyAlignment="1">
      <alignment horizontal="center" vertical="center" wrapText="1"/>
    </xf>
    <xf numFmtId="0" fontId="51" fillId="0" borderId="60" xfId="3" applyFont="1" applyBorder="1" applyAlignment="1">
      <alignment horizontal="center" vertical="center" wrapText="1"/>
    </xf>
    <xf numFmtId="0" fontId="51" fillId="0" borderId="78" xfId="3" applyFont="1" applyBorder="1" applyAlignment="1">
      <alignment horizontal="center" vertical="center" wrapText="1"/>
    </xf>
    <xf numFmtId="0" fontId="86" fillId="0" borderId="57" xfId="3" applyFont="1" applyBorder="1" applyAlignment="1">
      <alignment horizontal="center" vertical="center"/>
    </xf>
    <xf numFmtId="0" fontId="86" fillId="0" borderId="23" xfId="3" applyFont="1" applyBorder="1" applyAlignment="1">
      <alignment horizontal="center" vertical="center"/>
    </xf>
    <xf numFmtId="166" fontId="36" fillId="0" borderId="57" xfId="2" applyFont="1" applyBorder="1" applyAlignment="1">
      <alignment horizontal="left" vertical="center"/>
    </xf>
    <xf numFmtId="166" fontId="36" fillId="0" borderId="53" xfId="2" applyFont="1" applyBorder="1" applyAlignment="1">
      <alignment horizontal="left" vertical="center"/>
    </xf>
    <xf numFmtId="166" fontId="36" fillId="0" borderId="23" xfId="2" applyFont="1" applyBorder="1" applyAlignment="1">
      <alignment horizontal="left" vertical="center"/>
    </xf>
    <xf numFmtId="0" fontId="32" fillId="0" borderId="57" xfId="3" applyFont="1" applyBorder="1" applyAlignment="1">
      <alignment horizontal="center" vertical="center" wrapText="1"/>
    </xf>
    <xf numFmtId="166" fontId="36" fillId="0" borderId="57" xfId="2" applyFont="1" applyBorder="1" applyAlignment="1">
      <alignment horizontal="center" vertical="center"/>
    </xf>
    <xf numFmtId="166" fontId="36" fillId="0" borderId="53" xfId="2" applyFont="1" applyBorder="1" applyAlignment="1">
      <alignment horizontal="center" vertical="center"/>
    </xf>
    <xf numFmtId="166" fontId="36" fillId="0" borderId="23" xfId="2" applyFont="1" applyBorder="1" applyAlignment="1">
      <alignment horizontal="center" vertical="center"/>
    </xf>
    <xf numFmtId="0" fontId="2" fillId="0" borderId="53" xfId="0" applyFont="1" applyBorder="1"/>
    <xf numFmtId="0" fontId="2" fillId="0" borderId="23" xfId="0" applyFont="1" applyBorder="1"/>
    <xf numFmtId="0" fontId="51" fillId="0" borderId="57" xfId="3" applyFont="1" applyBorder="1" applyAlignment="1">
      <alignment horizontal="center" vertical="center" wrapText="1"/>
    </xf>
    <xf numFmtId="0" fontId="51" fillId="0" borderId="53" xfId="3" applyFont="1" applyBorder="1" applyAlignment="1">
      <alignment horizontal="center" vertical="center" wrapText="1"/>
    </xf>
    <xf numFmtId="0" fontId="32" fillId="0" borderId="83" xfId="3" applyFont="1" applyBorder="1" applyAlignment="1">
      <alignment horizontal="left" vertical="top" wrapText="1"/>
    </xf>
    <xf numFmtId="0" fontId="60" fillId="0" borderId="85" xfId="3" applyFont="1" applyBorder="1"/>
    <xf numFmtId="0" fontId="60" fillId="0" borderId="93" xfId="3" applyFont="1" applyBorder="1"/>
    <xf numFmtId="0" fontId="27" fillId="0" borderId="0" xfId="3" applyFont="1" applyAlignment="1">
      <alignment horizontal="center" vertical="center"/>
    </xf>
    <xf numFmtId="0" fontId="29" fillId="0" borderId="0" xfId="3" quotePrefix="1" applyFont="1" applyAlignment="1">
      <alignment horizontal="center" vertical="center"/>
    </xf>
    <xf numFmtId="166" fontId="12" fillId="0" borderId="29" xfId="1" applyFont="1" applyBorder="1" applyAlignment="1" applyProtection="1">
      <alignment horizontal="center" vertical="center" wrapText="1"/>
      <protection locked="0"/>
    </xf>
    <xf numFmtId="0" fontId="0" fillId="0" borderId="29" xfId="0" applyBorder="1" applyAlignment="1">
      <alignment horizontal="center" vertical="center" wrapText="1"/>
    </xf>
    <xf numFmtId="0" fontId="4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43" fillId="0" borderId="0" xfId="3" quotePrefix="1" applyFont="1" applyAlignment="1">
      <alignment horizontal="center" vertical="center"/>
    </xf>
    <xf numFmtId="0" fontId="46" fillId="0" borderId="82" xfId="3" applyFont="1" applyBorder="1" applyAlignment="1">
      <alignment horizontal="center" vertical="center"/>
    </xf>
    <xf numFmtId="166" fontId="32" fillId="0" borderId="57" xfId="2" applyFont="1" applyBorder="1" applyAlignment="1">
      <alignment horizontal="center" vertical="center"/>
    </xf>
    <xf numFmtId="166" fontId="32" fillId="0" borderId="53" xfId="2" applyFont="1" applyBorder="1" applyAlignment="1">
      <alignment horizontal="center" vertical="center"/>
    </xf>
    <xf numFmtId="166" fontId="32" fillId="0" borderId="23" xfId="2" applyFont="1" applyBorder="1" applyAlignment="1">
      <alignment horizontal="center" vertical="center"/>
    </xf>
    <xf numFmtId="166" fontId="32" fillId="0" borderId="15" xfId="2" applyFont="1" applyBorder="1" applyAlignment="1">
      <alignment horizontal="center" vertical="center"/>
    </xf>
    <xf numFmtId="166" fontId="32" fillId="0" borderId="8" xfId="2" applyFont="1" applyBorder="1" applyAlignment="1">
      <alignment horizontal="center" vertical="center"/>
    </xf>
    <xf numFmtId="166" fontId="32" fillId="0" borderId="43" xfId="2" applyFont="1" applyBorder="1" applyAlignment="1">
      <alignment horizontal="center" vertical="center"/>
    </xf>
    <xf numFmtId="166" fontId="29" fillId="0" borderId="57" xfId="2" applyFont="1" applyBorder="1" applyAlignment="1">
      <alignment horizontal="left" vertical="center"/>
    </xf>
    <xf numFmtId="166" fontId="29" fillId="0" borderId="53" xfId="2" applyFont="1" applyBorder="1" applyAlignment="1">
      <alignment horizontal="left" vertical="center"/>
    </xf>
    <xf numFmtId="166" fontId="29" fillId="0" borderId="23" xfId="2" applyFont="1" applyBorder="1" applyAlignment="1">
      <alignment horizontal="left" vertical="center"/>
    </xf>
    <xf numFmtId="0" fontId="46" fillId="0" borderId="57" xfId="3" quotePrefix="1" applyFont="1" applyBorder="1" applyAlignment="1">
      <alignment horizontal="center" vertical="center"/>
    </xf>
    <xf numFmtId="0" fontId="46" fillId="0" borderId="53" xfId="3" applyFont="1" applyBorder="1" applyAlignment="1">
      <alignment horizontal="center" vertical="center"/>
    </xf>
    <xf numFmtId="0" fontId="46" fillId="0" borderId="23" xfId="3" applyFont="1" applyBorder="1" applyAlignment="1">
      <alignment horizontal="center" vertical="center"/>
    </xf>
    <xf numFmtId="0" fontId="72" fillId="0" borderId="0" xfId="3" applyFont="1" applyAlignment="1">
      <alignment horizontal="center" vertical="center"/>
    </xf>
    <xf numFmtId="0" fontId="32" fillId="0" borderId="98" xfId="3" applyFont="1" applyBorder="1" applyAlignment="1">
      <alignment horizontal="left" vertical="center"/>
    </xf>
    <xf numFmtId="0" fontId="32" fillId="0" borderId="99" xfId="3" applyFont="1" applyBorder="1" applyAlignment="1">
      <alignment horizontal="left" vertical="center"/>
    </xf>
    <xf numFmtId="0" fontId="29" fillId="0" borderId="83" xfId="3" applyFont="1" applyBorder="1" applyAlignment="1">
      <alignment horizontal="left" vertical="center"/>
    </xf>
    <xf numFmtId="0" fontId="29" fillId="0" borderId="88" xfId="3" applyFont="1" applyBorder="1" applyAlignment="1">
      <alignment horizontal="left" vertical="center"/>
    </xf>
    <xf numFmtId="0" fontId="70" fillId="0" borderId="0" xfId="3" applyFont="1" applyAlignment="1">
      <alignment horizontal="center" vertical="center"/>
    </xf>
  </cellXfs>
  <cellStyles count="234">
    <cellStyle name="Comma" xfId="1" builtinId="3"/>
    <cellStyle name="Comma 2" xfId="2" xr:uid="{00000000-0005-0000-0000-000001000000}"/>
    <cellStyle name="Comma 2 2" xfId="9" xr:uid="{00000000-0005-0000-0000-000002000000}"/>
    <cellStyle name="Comma 2 2 2" xfId="10" xr:uid="{00000000-0005-0000-0000-000003000000}"/>
    <cellStyle name="Comma 2 2 3" xfId="11" xr:uid="{00000000-0005-0000-0000-000004000000}"/>
    <cellStyle name="Comma 2 3" xfId="12" xr:uid="{00000000-0005-0000-0000-000005000000}"/>
    <cellStyle name="Comma 3" xfId="6" xr:uid="{00000000-0005-0000-0000-000006000000}"/>
    <cellStyle name="Comma 3 2" xfId="13" xr:uid="{00000000-0005-0000-0000-000007000000}"/>
    <cellStyle name="Comma 3 2 2" xfId="14" xr:uid="{00000000-0005-0000-0000-000008000000}"/>
    <cellStyle name="Comma 3 2 2 2" xfId="15" xr:uid="{00000000-0005-0000-0000-000009000000}"/>
    <cellStyle name="Comma 3 2 2 2 2" xfId="16" xr:uid="{00000000-0005-0000-0000-00000A000000}"/>
    <cellStyle name="Comma 3 2 2 2 2 2" xfId="17" xr:uid="{00000000-0005-0000-0000-00000B000000}"/>
    <cellStyle name="Comma 3 2 2 2 3" xfId="18" xr:uid="{00000000-0005-0000-0000-00000C000000}"/>
    <cellStyle name="Comma 3 2 2 3" xfId="19" xr:uid="{00000000-0005-0000-0000-00000D000000}"/>
    <cellStyle name="Comma 3 2 2 3 2" xfId="20" xr:uid="{00000000-0005-0000-0000-00000E000000}"/>
    <cellStyle name="Comma 3 2 2 3 2 2" xfId="21" xr:uid="{00000000-0005-0000-0000-00000F000000}"/>
    <cellStyle name="Comma 3 2 2 3 2 2 2" xfId="22" xr:uid="{00000000-0005-0000-0000-000010000000}"/>
    <cellStyle name="Comma 3 2 3" xfId="23" xr:uid="{00000000-0005-0000-0000-000011000000}"/>
    <cellStyle name="Comma 3 2 4" xfId="24" xr:uid="{00000000-0005-0000-0000-000012000000}"/>
    <cellStyle name="Comma 3 3" xfId="25" xr:uid="{00000000-0005-0000-0000-000013000000}"/>
    <cellStyle name="Comma 3 3 2" xfId="26" xr:uid="{00000000-0005-0000-0000-000014000000}"/>
    <cellStyle name="Comma 3 3 2 2" xfId="27" xr:uid="{00000000-0005-0000-0000-000015000000}"/>
    <cellStyle name="Comma 3 3 2 2 2" xfId="28" xr:uid="{00000000-0005-0000-0000-000016000000}"/>
    <cellStyle name="Comma 3 3 2 3" xfId="29" xr:uid="{00000000-0005-0000-0000-000017000000}"/>
    <cellStyle name="Comma 3 4" xfId="30" xr:uid="{00000000-0005-0000-0000-000018000000}"/>
    <cellStyle name="Comma 3 4 2" xfId="31" xr:uid="{00000000-0005-0000-0000-000019000000}"/>
    <cellStyle name="Comma 3 4 2 2" xfId="32" xr:uid="{00000000-0005-0000-0000-00001A000000}"/>
    <cellStyle name="Comma 3 4 2 2 2" xfId="33" xr:uid="{00000000-0005-0000-0000-00001B000000}"/>
    <cellStyle name="Comma 3 4 2 2 2 2" xfId="34" xr:uid="{00000000-0005-0000-0000-00001C000000}"/>
    <cellStyle name="Comma 3 4 2 2 2 2 2" xfId="35" xr:uid="{00000000-0005-0000-0000-00001D000000}"/>
    <cellStyle name="Comma 3 4 2 2 2 2 2 2" xfId="36" xr:uid="{00000000-0005-0000-0000-00001E000000}"/>
    <cellStyle name="Comma 3 4 2 2 2 2 2 3" xfId="37" xr:uid="{00000000-0005-0000-0000-00001F000000}"/>
    <cellStyle name="Comma 3 4 2 2 2 2 3" xfId="38" xr:uid="{00000000-0005-0000-0000-000020000000}"/>
    <cellStyle name="Comma 3 4 2 2 2 2 3 2" xfId="39" xr:uid="{00000000-0005-0000-0000-000021000000}"/>
    <cellStyle name="Comma 3 4 2 2 2 2 3 2 2" xfId="40" xr:uid="{00000000-0005-0000-0000-000022000000}"/>
    <cellStyle name="Comma 3 4 2 2 2 2 3 2 2 2" xfId="41" xr:uid="{00000000-0005-0000-0000-000023000000}"/>
    <cellStyle name="Comma 3 4 2 2 2 2 3 2 2 2 2" xfId="42" xr:uid="{00000000-0005-0000-0000-000024000000}"/>
    <cellStyle name="Comma 3 4 2 2 2 2 3 2 2 2 2 2" xfId="43" xr:uid="{00000000-0005-0000-0000-000025000000}"/>
    <cellStyle name="Comma 3 4 2 2 2 2 3 2 2 2 2 3" xfId="44" xr:uid="{00000000-0005-0000-0000-000026000000}"/>
    <cellStyle name="Comma 3 4 2 2 3" xfId="45" xr:uid="{00000000-0005-0000-0000-000027000000}"/>
    <cellStyle name="Comma 3 4 2 2 3 2" xfId="46" xr:uid="{00000000-0005-0000-0000-000028000000}"/>
    <cellStyle name="Comma 3 4 2 2 3 2 2" xfId="47" xr:uid="{00000000-0005-0000-0000-000029000000}"/>
    <cellStyle name="Comma 3 4 2 2 3 2 3" xfId="48" xr:uid="{00000000-0005-0000-0000-00002A000000}"/>
    <cellStyle name="Comma 3 4 2 2 3 3" xfId="49" xr:uid="{00000000-0005-0000-0000-00002B000000}"/>
    <cellStyle name="Comma 3 4 2 2 3 3 2" xfId="50" xr:uid="{00000000-0005-0000-0000-00002C000000}"/>
    <cellStyle name="Comma 3 4 2 2 3 3 2 2" xfId="51" xr:uid="{00000000-0005-0000-0000-00002D000000}"/>
    <cellStyle name="Comma 3 4 2 2 3 3 2 2 2" xfId="52" xr:uid="{00000000-0005-0000-0000-00002E000000}"/>
    <cellStyle name="Comma 3 4 2 2 3 3 2 2 2 2" xfId="53" xr:uid="{00000000-0005-0000-0000-00002F000000}"/>
    <cellStyle name="Comma 3 4 2 2 3 3 2 2 2 2 2" xfId="54" xr:uid="{00000000-0005-0000-0000-000030000000}"/>
    <cellStyle name="Comma 3 4 2 2 3 3 2 2 2 2 3" xfId="55" xr:uid="{00000000-0005-0000-0000-000031000000}"/>
    <cellStyle name="Comma 3 5" xfId="56" xr:uid="{00000000-0005-0000-0000-000032000000}"/>
    <cellStyle name="Comma 3 5 2" xfId="57" xr:uid="{00000000-0005-0000-0000-000033000000}"/>
    <cellStyle name="Comma 3 6" xfId="58" xr:uid="{00000000-0005-0000-0000-000034000000}"/>
    <cellStyle name="Comma 3 7" xfId="59" xr:uid="{00000000-0005-0000-0000-000035000000}"/>
    <cellStyle name="Comma 3 7 2" xfId="60" xr:uid="{00000000-0005-0000-0000-000036000000}"/>
    <cellStyle name="Comma 3 7 2 2" xfId="61" xr:uid="{00000000-0005-0000-0000-000037000000}"/>
    <cellStyle name="Comma 3 7 2 3" xfId="62" xr:uid="{00000000-0005-0000-0000-000038000000}"/>
    <cellStyle name="Comma 3 7 2 3 2" xfId="63" xr:uid="{00000000-0005-0000-0000-000039000000}"/>
    <cellStyle name="Comma 3 7 2 3 2 2" xfId="64" xr:uid="{00000000-0005-0000-0000-00003A000000}"/>
    <cellStyle name="Comma 3 7 2 3 2 2 2" xfId="65" xr:uid="{00000000-0005-0000-0000-00003B000000}"/>
    <cellStyle name="Comma 3 7 2 3 2 2 2 2" xfId="66" xr:uid="{00000000-0005-0000-0000-00003C000000}"/>
    <cellStyle name="Comma 3 7 2 3 2 2 2 2 2" xfId="67" xr:uid="{00000000-0005-0000-0000-00003D000000}"/>
    <cellStyle name="Comma 3 7 2 3 2 2 2 2 2 2" xfId="68" xr:uid="{00000000-0005-0000-0000-00003E000000}"/>
    <cellStyle name="Comma 3 7 2 3 2 2 2 2 2 2 2" xfId="69" xr:uid="{00000000-0005-0000-0000-00003F000000}"/>
    <cellStyle name="Comma 3 7 2 3 2 2 2 2 2 2 2 2" xfId="70" xr:uid="{00000000-0005-0000-0000-000040000000}"/>
    <cellStyle name="Comma 3 7 3" xfId="71" xr:uid="{00000000-0005-0000-0000-000041000000}"/>
    <cellStyle name="Comma 3 7 3 2" xfId="72" xr:uid="{00000000-0005-0000-0000-000042000000}"/>
    <cellStyle name="Comma 3 7 3 2 2" xfId="73" xr:uid="{00000000-0005-0000-0000-000043000000}"/>
    <cellStyle name="Comma 3 8" xfId="74" xr:uid="{00000000-0005-0000-0000-000044000000}"/>
    <cellStyle name="Comma 3 9" xfId="75" xr:uid="{00000000-0005-0000-0000-000045000000}"/>
    <cellStyle name="Comma 4" xfId="8" xr:uid="{00000000-0005-0000-0000-000046000000}"/>
    <cellStyle name="Comma 4 2" xfId="76" xr:uid="{00000000-0005-0000-0000-000047000000}"/>
    <cellStyle name="Comma 4 2 2" xfId="77" xr:uid="{00000000-0005-0000-0000-000048000000}"/>
    <cellStyle name="Comma 4 2 2 2" xfId="78" xr:uid="{00000000-0005-0000-0000-000049000000}"/>
    <cellStyle name="Comma 4 2 2 3" xfId="79" xr:uid="{00000000-0005-0000-0000-00004A000000}"/>
    <cellStyle name="Comma 4 2 3" xfId="80" xr:uid="{00000000-0005-0000-0000-00004B000000}"/>
    <cellStyle name="Comma 4 2 3 2" xfId="81" xr:uid="{00000000-0005-0000-0000-00004C000000}"/>
    <cellStyle name="Comma 4 2 3 2 2" xfId="82" xr:uid="{00000000-0005-0000-0000-00004D000000}"/>
    <cellStyle name="Comma 4 2 3 2 2 2" xfId="83" xr:uid="{00000000-0005-0000-0000-00004E000000}"/>
    <cellStyle name="Comma 5" xfId="84" xr:uid="{00000000-0005-0000-0000-00004F000000}"/>
    <cellStyle name="Comma 5 2" xfId="85" xr:uid="{00000000-0005-0000-0000-000050000000}"/>
    <cellStyle name="Comma 5 2 2" xfId="86" xr:uid="{00000000-0005-0000-0000-000051000000}"/>
    <cellStyle name="Comma 6" xfId="87" xr:uid="{00000000-0005-0000-0000-000052000000}"/>
    <cellStyle name="Comma 7" xfId="88" xr:uid="{00000000-0005-0000-0000-000053000000}"/>
    <cellStyle name="Comma 8" xfId="89" xr:uid="{00000000-0005-0000-0000-000054000000}"/>
    <cellStyle name="Comma 9" xfId="90" xr:uid="{00000000-0005-0000-0000-000055000000}"/>
    <cellStyle name="Currency 2" xfId="91" xr:uid="{00000000-0005-0000-0000-000056000000}"/>
    <cellStyle name="Grey" xfId="92" xr:uid="{00000000-0005-0000-0000-000057000000}"/>
    <cellStyle name="Input [yellow]" xfId="93" xr:uid="{00000000-0005-0000-0000-000058000000}"/>
    <cellStyle name="Normal" xfId="0" builtinId="0"/>
    <cellStyle name="Normal - Style1" xfId="94" xr:uid="{00000000-0005-0000-0000-00005A000000}"/>
    <cellStyle name="Normal 10" xfId="95" xr:uid="{00000000-0005-0000-0000-00005B000000}"/>
    <cellStyle name="Normal 10 2" xfId="96" xr:uid="{00000000-0005-0000-0000-00005C000000}"/>
    <cellStyle name="Normal 11" xfId="97" xr:uid="{00000000-0005-0000-0000-00005D000000}"/>
    <cellStyle name="Normal 12" xfId="98" xr:uid="{00000000-0005-0000-0000-00005E000000}"/>
    <cellStyle name="Normal 13" xfId="99" xr:uid="{00000000-0005-0000-0000-00005F000000}"/>
    <cellStyle name="Normal 14" xfId="7" xr:uid="{00000000-0005-0000-0000-000060000000}"/>
    <cellStyle name="Normal 2" xfId="3" xr:uid="{00000000-0005-0000-0000-000061000000}"/>
    <cellStyle name="Normal 2 10" xfId="100" xr:uid="{00000000-0005-0000-0000-000062000000}"/>
    <cellStyle name="Normal 2 2" xfId="101" xr:uid="{00000000-0005-0000-0000-000063000000}"/>
    <cellStyle name="Normal 2 2 2" xfId="102" xr:uid="{00000000-0005-0000-0000-000064000000}"/>
    <cellStyle name="Normal 2 2 3" xfId="103" xr:uid="{00000000-0005-0000-0000-000065000000}"/>
    <cellStyle name="Normal 2 2 3 2" xfId="104" xr:uid="{00000000-0005-0000-0000-000066000000}"/>
    <cellStyle name="Normal 2 2 4" xfId="105" xr:uid="{00000000-0005-0000-0000-000067000000}"/>
    <cellStyle name="Normal 2 3" xfId="106" xr:uid="{00000000-0005-0000-0000-000068000000}"/>
    <cellStyle name="Normal 2 3 2" xfId="107" xr:uid="{00000000-0005-0000-0000-000069000000}"/>
    <cellStyle name="Normal 2 3 2 2" xfId="108" xr:uid="{00000000-0005-0000-0000-00006A000000}"/>
    <cellStyle name="Normal 2 3 2 2 2" xfId="109" xr:uid="{00000000-0005-0000-0000-00006B000000}"/>
    <cellStyle name="Normal 2 3 2 2 3" xfId="110" xr:uid="{00000000-0005-0000-0000-00006C000000}"/>
    <cellStyle name="Normal 2 3 2 3" xfId="111" xr:uid="{00000000-0005-0000-0000-00006D000000}"/>
    <cellStyle name="Normal 2 3 2 3 2" xfId="112" xr:uid="{00000000-0005-0000-0000-00006E000000}"/>
    <cellStyle name="Normal 2 3 2 3 2 2" xfId="113" xr:uid="{00000000-0005-0000-0000-00006F000000}"/>
    <cellStyle name="Normal 2 3 2 3 2 2 2" xfId="114" xr:uid="{00000000-0005-0000-0000-000070000000}"/>
    <cellStyle name="Normal 2 4" xfId="115" xr:uid="{00000000-0005-0000-0000-000071000000}"/>
    <cellStyle name="Normal 2 4 2" xfId="116" xr:uid="{00000000-0005-0000-0000-000072000000}"/>
    <cellStyle name="Normal 2 4 2 2" xfId="117" xr:uid="{00000000-0005-0000-0000-000073000000}"/>
    <cellStyle name="Normal 2 4 2 2 2" xfId="118" xr:uid="{00000000-0005-0000-0000-000074000000}"/>
    <cellStyle name="Normal 2 4 2 2 2 2" xfId="119" xr:uid="{00000000-0005-0000-0000-000075000000}"/>
    <cellStyle name="Normal 2 4 2 2 2 2 2" xfId="120" xr:uid="{00000000-0005-0000-0000-000076000000}"/>
    <cellStyle name="Normal 2 4 2 2 2 2 2 2" xfId="121" xr:uid="{00000000-0005-0000-0000-000077000000}"/>
    <cellStyle name="Normal 2 4 2 2 2 2 2 3" xfId="122" xr:uid="{00000000-0005-0000-0000-000078000000}"/>
    <cellStyle name="Normal 2 4 2 2 2 2 3" xfId="123" xr:uid="{00000000-0005-0000-0000-000079000000}"/>
    <cellStyle name="Normal 2 4 2 2 2 2 3 2" xfId="124" xr:uid="{00000000-0005-0000-0000-00007A000000}"/>
    <cellStyle name="Normal 2 4 2 2 2 2 3 2 2" xfId="125" xr:uid="{00000000-0005-0000-0000-00007B000000}"/>
    <cellStyle name="Normal 2 4 2 2 2 2 3 2 2 2" xfId="126" xr:uid="{00000000-0005-0000-0000-00007C000000}"/>
    <cellStyle name="Normal 2 4 2 2 2 2 3 2 2 2 2" xfId="127" xr:uid="{00000000-0005-0000-0000-00007D000000}"/>
    <cellStyle name="Normal 2 4 2 2 2 2 3 2 2 3" xfId="128" xr:uid="{00000000-0005-0000-0000-00007E000000}"/>
    <cellStyle name="Normal 2 4 2 2 2 2 3 2 2 3 2" xfId="129" xr:uid="{00000000-0005-0000-0000-00007F000000}"/>
    <cellStyle name="Normal 2 4 2 2 2 2 3 2 2 3 2 2" xfId="130" xr:uid="{00000000-0005-0000-0000-000080000000}"/>
    <cellStyle name="Normal 2 4 2 2 2 2 3 2 2 3 2 3" xfId="131" xr:uid="{00000000-0005-0000-0000-000081000000}"/>
    <cellStyle name="Normal 2 4 2 2 3" xfId="132" xr:uid="{00000000-0005-0000-0000-000082000000}"/>
    <cellStyle name="Normal 2 4 2 2 3 2" xfId="133" xr:uid="{00000000-0005-0000-0000-000083000000}"/>
    <cellStyle name="Normal 2 4 2 2 3 2 2" xfId="134" xr:uid="{00000000-0005-0000-0000-000084000000}"/>
    <cellStyle name="Normal 2 4 2 2 3 2 2 2" xfId="135" xr:uid="{00000000-0005-0000-0000-000085000000}"/>
    <cellStyle name="Normal 2 4 2 2 3 2 3" xfId="136" xr:uid="{00000000-0005-0000-0000-000086000000}"/>
    <cellStyle name="Normal 2 4 2 2 3 3" xfId="137" xr:uid="{00000000-0005-0000-0000-000087000000}"/>
    <cellStyle name="Normal 2 4 2 2 3 3 2" xfId="138" xr:uid="{00000000-0005-0000-0000-000088000000}"/>
    <cellStyle name="Normal 2 4 2 2 3 3 2 2" xfId="139" xr:uid="{00000000-0005-0000-0000-000089000000}"/>
    <cellStyle name="Normal 2 4 2 2 3 3 2 2 2" xfId="140" xr:uid="{00000000-0005-0000-0000-00008A000000}"/>
    <cellStyle name="Normal 2 4 2 2 3 3 2 2 2 2" xfId="141" xr:uid="{00000000-0005-0000-0000-00008B000000}"/>
    <cellStyle name="Normal 2 4 2 2 3 3 2 2 2 2 2" xfId="142" xr:uid="{00000000-0005-0000-0000-00008C000000}"/>
    <cellStyle name="Normal 2 4 2 2 3 3 2 2 2 2 3" xfId="143" xr:uid="{00000000-0005-0000-0000-00008D000000}"/>
    <cellStyle name="Normal 2 4 3" xfId="144" xr:uid="{00000000-0005-0000-0000-00008E000000}"/>
    <cellStyle name="Normal 2 5" xfId="145" xr:uid="{00000000-0005-0000-0000-00008F000000}"/>
    <cellStyle name="Normal 2 5 2" xfId="146" xr:uid="{00000000-0005-0000-0000-000090000000}"/>
    <cellStyle name="Normal 2 6" xfId="147" xr:uid="{00000000-0005-0000-0000-000091000000}"/>
    <cellStyle name="Normal 2 7" xfId="148" xr:uid="{00000000-0005-0000-0000-000092000000}"/>
    <cellStyle name="Normal 2 7 2" xfId="149" xr:uid="{00000000-0005-0000-0000-000093000000}"/>
    <cellStyle name="Normal 2 7 2 2" xfId="150" xr:uid="{00000000-0005-0000-0000-000094000000}"/>
    <cellStyle name="Normal 2 7 2 3" xfId="151" xr:uid="{00000000-0005-0000-0000-000095000000}"/>
    <cellStyle name="Normal 2 7 2 3 2" xfId="152" xr:uid="{00000000-0005-0000-0000-000096000000}"/>
    <cellStyle name="Normal 2 7 2 3 2 2" xfId="153" xr:uid="{00000000-0005-0000-0000-000097000000}"/>
    <cellStyle name="Normal 2 7 2 3 2 2 2" xfId="154" xr:uid="{00000000-0005-0000-0000-000098000000}"/>
    <cellStyle name="Normal 2 7 2 3 2 2 2 2" xfId="155" xr:uid="{00000000-0005-0000-0000-000099000000}"/>
    <cellStyle name="Normal 2 7 2 3 2 2 2 2 2" xfId="156" xr:uid="{00000000-0005-0000-0000-00009A000000}"/>
    <cellStyle name="Normal 2 7 2 3 2 2 2 2 2 2" xfId="157" xr:uid="{00000000-0005-0000-0000-00009B000000}"/>
    <cellStyle name="Normal 2 7 2 3 2 2 2 2 2 2 2" xfId="158" xr:uid="{00000000-0005-0000-0000-00009C000000}"/>
    <cellStyle name="Normal 2 7 2 3 2 2 2 2 2 2 2 2" xfId="159" xr:uid="{00000000-0005-0000-0000-00009D000000}"/>
    <cellStyle name="Normal 2 7 3" xfId="160" xr:uid="{00000000-0005-0000-0000-00009E000000}"/>
    <cellStyle name="Normal 2 7 3 2" xfId="161" xr:uid="{00000000-0005-0000-0000-00009F000000}"/>
    <cellStyle name="Normal 2 7 3 2 2" xfId="162" xr:uid="{00000000-0005-0000-0000-0000A0000000}"/>
    <cellStyle name="Normal 2 8" xfId="163" xr:uid="{00000000-0005-0000-0000-0000A1000000}"/>
    <cellStyle name="Normal 2 8 2" xfId="164" xr:uid="{00000000-0005-0000-0000-0000A2000000}"/>
    <cellStyle name="Normal 2 9" xfId="165" xr:uid="{00000000-0005-0000-0000-0000A3000000}"/>
    <cellStyle name="Normal 3" xfId="4" xr:uid="{00000000-0005-0000-0000-0000A4000000}"/>
    <cellStyle name="Normal 3 2" xfId="166" xr:uid="{00000000-0005-0000-0000-0000A5000000}"/>
    <cellStyle name="Normal 3 3" xfId="167" xr:uid="{00000000-0005-0000-0000-0000A6000000}"/>
    <cellStyle name="Normal 4" xfId="5" xr:uid="{00000000-0005-0000-0000-0000A7000000}"/>
    <cellStyle name="Normal 5" xfId="168" xr:uid="{00000000-0005-0000-0000-0000A8000000}"/>
    <cellStyle name="Normal 6" xfId="169" xr:uid="{00000000-0005-0000-0000-0000A9000000}"/>
    <cellStyle name="Normal 6 2" xfId="170" xr:uid="{00000000-0005-0000-0000-0000AA000000}"/>
    <cellStyle name="Normal 6 2 2" xfId="171" xr:uid="{00000000-0005-0000-0000-0000AB000000}"/>
    <cellStyle name="Normal 6 2 2 2" xfId="172" xr:uid="{00000000-0005-0000-0000-0000AC000000}"/>
    <cellStyle name="Normal 6 2 2 2 2" xfId="173" xr:uid="{00000000-0005-0000-0000-0000AD000000}"/>
    <cellStyle name="Normal 6 2 2 2 2 2" xfId="174" xr:uid="{00000000-0005-0000-0000-0000AE000000}"/>
    <cellStyle name="Normal 6 2 2 2 3" xfId="175" xr:uid="{00000000-0005-0000-0000-0000AF000000}"/>
    <cellStyle name="Normal 6 2 2 2 4" xfId="176" xr:uid="{00000000-0005-0000-0000-0000B0000000}"/>
    <cellStyle name="Normal 6 2 2 3" xfId="177" xr:uid="{00000000-0005-0000-0000-0000B1000000}"/>
    <cellStyle name="Normal 6 2 2 3 2" xfId="178" xr:uid="{00000000-0005-0000-0000-0000B2000000}"/>
    <cellStyle name="Normal 6 2 2 3 2 2" xfId="179" xr:uid="{00000000-0005-0000-0000-0000B3000000}"/>
    <cellStyle name="Normal 6 2 2 3 2 3" xfId="180" xr:uid="{00000000-0005-0000-0000-0000B4000000}"/>
    <cellStyle name="Normal 6 2 2 3 2 3 2" xfId="181" xr:uid="{00000000-0005-0000-0000-0000B5000000}"/>
    <cellStyle name="Normal 6 2 2 3 2 3 2 2" xfId="182" xr:uid="{00000000-0005-0000-0000-0000B6000000}"/>
    <cellStyle name="Normal 6 2 2 3 2 3 2 2 2" xfId="183" xr:uid="{00000000-0005-0000-0000-0000B7000000}"/>
    <cellStyle name="Normal 6 2 2 3 2 3 2 2 2 2" xfId="184" xr:uid="{00000000-0005-0000-0000-0000B8000000}"/>
    <cellStyle name="Normal 6 2 3" xfId="185" xr:uid="{00000000-0005-0000-0000-0000B9000000}"/>
    <cellStyle name="Normal 6 2 3 2" xfId="186" xr:uid="{00000000-0005-0000-0000-0000BA000000}"/>
    <cellStyle name="Normal 6 3" xfId="187" xr:uid="{00000000-0005-0000-0000-0000BB000000}"/>
    <cellStyle name="Normal 6 3 2" xfId="188" xr:uid="{00000000-0005-0000-0000-0000BC000000}"/>
    <cellStyle name="Normal 6 4" xfId="189" xr:uid="{00000000-0005-0000-0000-0000BD000000}"/>
    <cellStyle name="Normal 6 4 2" xfId="190" xr:uid="{00000000-0005-0000-0000-0000BE000000}"/>
    <cellStyle name="Normal 6 4 2 2" xfId="191" xr:uid="{00000000-0005-0000-0000-0000BF000000}"/>
    <cellStyle name="Normal 6 4 3" xfId="192" xr:uid="{00000000-0005-0000-0000-0000C0000000}"/>
    <cellStyle name="Normal 6 4 3 2" xfId="193" xr:uid="{00000000-0005-0000-0000-0000C1000000}"/>
    <cellStyle name="Normal 6 4 3 2 2" xfId="194" xr:uid="{00000000-0005-0000-0000-0000C2000000}"/>
    <cellStyle name="Normal 6 4 3 2 2 2" xfId="195" xr:uid="{00000000-0005-0000-0000-0000C3000000}"/>
    <cellStyle name="Normal 6 4 3 2 2 2 2" xfId="196" xr:uid="{00000000-0005-0000-0000-0000C4000000}"/>
    <cellStyle name="Normal 6 4 3 2 2 2 2 2" xfId="197" xr:uid="{00000000-0005-0000-0000-0000C5000000}"/>
    <cellStyle name="Normal 6 4 3 2 2 2 2 2 2" xfId="198" xr:uid="{00000000-0005-0000-0000-0000C6000000}"/>
    <cellStyle name="Normal 6 4 3 2 2 2 2 2 2 2" xfId="199" xr:uid="{00000000-0005-0000-0000-0000C7000000}"/>
    <cellStyle name="Normal 7" xfId="200" xr:uid="{00000000-0005-0000-0000-0000C8000000}"/>
    <cellStyle name="Normal 7 2" xfId="201" xr:uid="{00000000-0005-0000-0000-0000C9000000}"/>
    <cellStyle name="Normal 7 2 2" xfId="202" xr:uid="{00000000-0005-0000-0000-0000CA000000}"/>
    <cellStyle name="Normal 7 2 2 2" xfId="203" xr:uid="{00000000-0005-0000-0000-0000CB000000}"/>
    <cellStyle name="Normal 7 2 2 2 2" xfId="204" xr:uid="{00000000-0005-0000-0000-0000CC000000}"/>
    <cellStyle name="Normal 7 2 2 2 2 2" xfId="205" xr:uid="{00000000-0005-0000-0000-0000CD000000}"/>
    <cellStyle name="Normal 7 2 2 3" xfId="206" xr:uid="{00000000-0005-0000-0000-0000CE000000}"/>
    <cellStyle name="Normal 7 2 2 3 2" xfId="207" xr:uid="{00000000-0005-0000-0000-0000CF000000}"/>
    <cellStyle name="Normal 7 2 2 3 2 2" xfId="208" xr:uid="{00000000-0005-0000-0000-0000D0000000}"/>
    <cellStyle name="Normal 7 2 2 3 2 3" xfId="209" xr:uid="{00000000-0005-0000-0000-0000D1000000}"/>
    <cellStyle name="Normal 7 2 2 3 2 3 2" xfId="210" xr:uid="{00000000-0005-0000-0000-0000D2000000}"/>
    <cellStyle name="Normal 7 2 2 3 2 3 2 2" xfId="211" xr:uid="{00000000-0005-0000-0000-0000D3000000}"/>
    <cellStyle name="Normal 7 2 2 3 2 3 2 2 2" xfId="212" xr:uid="{00000000-0005-0000-0000-0000D4000000}"/>
    <cellStyle name="Normal 7 2 2 3 2 3 2 2 2 2" xfId="213" xr:uid="{00000000-0005-0000-0000-0000D5000000}"/>
    <cellStyle name="Normal 7 2 3" xfId="214" xr:uid="{00000000-0005-0000-0000-0000D6000000}"/>
    <cellStyle name="Normal 7 2 3 2" xfId="215" xr:uid="{00000000-0005-0000-0000-0000D7000000}"/>
    <cellStyle name="Normal 7 2 4" xfId="216" xr:uid="{00000000-0005-0000-0000-0000D8000000}"/>
    <cellStyle name="Normal 7 2 5" xfId="217" xr:uid="{00000000-0005-0000-0000-0000D9000000}"/>
    <cellStyle name="Normal 7 2 5 2" xfId="218" xr:uid="{00000000-0005-0000-0000-0000DA000000}"/>
    <cellStyle name="Normal 7 2 5 2 2" xfId="219" xr:uid="{00000000-0005-0000-0000-0000DB000000}"/>
    <cellStyle name="Normal 8" xfId="220" xr:uid="{00000000-0005-0000-0000-0000DC000000}"/>
    <cellStyle name="Normal 8 2" xfId="221" xr:uid="{00000000-0005-0000-0000-0000DD000000}"/>
    <cellStyle name="Normal 8 2 2" xfId="222" xr:uid="{00000000-0005-0000-0000-0000DE000000}"/>
    <cellStyle name="Normal 8 2 2 2" xfId="223" xr:uid="{00000000-0005-0000-0000-0000DF000000}"/>
    <cellStyle name="Normal 8 2 2 3" xfId="224" xr:uid="{00000000-0005-0000-0000-0000E0000000}"/>
    <cellStyle name="Normal 8 2 3" xfId="225" xr:uid="{00000000-0005-0000-0000-0000E1000000}"/>
    <cellStyle name="Normal 8 2 3 2" xfId="226" xr:uid="{00000000-0005-0000-0000-0000E2000000}"/>
    <cellStyle name="Normal 8 2 3 2 2" xfId="227" xr:uid="{00000000-0005-0000-0000-0000E3000000}"/>
    <cellStyle name="Normal 8 2 3 2 2 2" xfId="228" xr:uid="{00000000-0005-0000-0000-0000E4000000}"/>
    <cellStyle name="Normal 9" xfId="229" xr:uid="{00000000-0005-0000-0000-0000E5000000}"/>
    <cellStyle name="Normal 9 2" xfId="230" xr:uid="{00000000-0005-0000-0000-0000E6000000}"/>
    <cellStyle name="Normal 9 2 2" xfId="231" xr:uid="{00000000-0005-0000-0000-0000E7000000}"/>
    <cellStyle name="Normal 9 2 2 2" xfId="232" xr:uid="{00000000-0005-0000-0000-0000E8000000}"/>
    <cellStyle name="Percent [2]" xfId="233" xr:uid="{00000000-0005-0000-0000-0000E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34522</xdr:colOff>
      <xdr:row>39</xdr:row>
      <xdr:rowOff>4320822</xdr:rowOff>
    </xdr:from>
    <xdr:to>
      <xdr:col>40</xdr:col>
      <xdr:colOff>533239</xdr:colOff>
      <xdr:row>41</xdr:row>
      <xdr:rowOff>39475</xdr:rowOff>
    </xdr:to>
    <xdr:pic>
      <xdr:nvPicPr>
        <xdr:cNvPr id="2" name="Picture 1" descr="MATA.png">
          <a:extLst>
            <a:ext uri="{FF2B5EF4-FFF2-40B4-BE49-F238E27FC236}">
              <a16:creationId xmlns:a16="http://schemas.microsoft.com/office/drawing/2014/main" id="{6A8BCFE4-A929-4513-BFA9-BC136BB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561772" y="10869260"/>
          <a:ext cx="1094031" cy="457340"/>
        </a:xfrm>
        <a:prstGeom prst="rect">
          <a:avLst/>
        </a:prstGeom>
      </xdr:spPr>
    </xdr:pic>
    <xdr:clientData/>
  </xdr:twoCellAnchor>
  <xdr:twoCellAnchor>
    <xdr:from>
      <xdr:col>0</xdr:col>
      <xdr:colOff>163287</xdr:colOff>
      <xdr:row>0</xdr:row>
      <xdr:rowOff>108856</xdr:rowOff>
    </xdr:from>
    <xdr:to>
      <xdr:col>1</xdr:col>
      <xdr:colOff>1333502</xdr:colOff>
      <xdr:row>4</xdr:row>
      <xdr:rowOff>136069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EF02DAC-86EE-46F2-A3D1-7B87AF70C6DD}"/>
            </a:ext>
          </a:extLst>
        </xdr:cNvPr>
        <xdr:cNvGrpSpPr/>
      </xdr:nvGrpSpPr>
      <xdr:grpSpPr>
        <a:xfrm>
          <a:off x="163287" y="108856"/>
          <a:ext cx="1578429" cy="775606"/>
          <a:chOff x="0" y="0"/>
          <a:chExt cx="1045021" cy="51498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4D6AB1F-B3F2-C278-65CC-05961F2ECC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5255A96-CEE9-B88A-536D-C93023B2F7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0036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136074</xdr:colOff>
      <xdr:row>0</xdr:row>
      <xdr:rowOff>0</xdr:rowOff>
    </xdr:from>
    <xdr:to>
      <xdr:col>31</xdr:col>
      <xdr:colOff>3438</xdr:colOff>
      <xdr:row>6</xdr:row>
      <xdr:rowOff>1632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2C676B-7FDA-477D-AAD5-4AA94B1A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0024" y="0"/>
          <a:ext cx="1102683" cy="1061838"/>
        </a:xfrm>
        <a:prstGeom prst="rect">
          <a:avLst/>
        </a:prstGeom>
      </xdr:spPr>
    </xdr:pic>
    <xdr:clientData/>
  </xdr:twoCellAnchor>
  <xdr:twoCellAnchor editAs="oneCell">
    <xdr:from>
      <xdr:col>46</xdr:col>
      <xdr:colOff>233014</xdr:colOff>
      <xdr:row>40</xdr:row>
      <xdr:rowOff>185088</xdr:rowOff>
    </xdr:from>
    <xdr:to>
      <xdr:col>47</xdr:col>
      <xdr:colOff>170577</xdr:colOff>
      <xdr:row>44</xdr:row>
      <xdr:rowOff>101847</xdr:rowOff>
    </xdr:to>
    <xdr:pic>
      <xdr:nvPicPr>
        <xdr:cNvPr id="7" name="Picture 6" descr="ANGELO MARQUEZ.png">
          <a:extLst>
            <a:ext uri="{FF2B5EF4-FFF2-40B4-BE49-F238E27FC236}">
              <a16:creationId xmlns:a16="http://schemas.microsoft.com/office/drawing/2014/main" id="{34DEEE91-A75C-4AA4-8A82-1CD04B6F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927452" y="11257901"/>
          <a:ext cx="532874" cy="726384"/>
        </a:xfrm>
        <a:prstGeom prst="rect">
          <a:avLst/>
        </a:prstGeom>
      </xdr:spPr>
    </xdr:pic>
    <xdr:clientData/>
  </xdr:twoCellAnchor>
  <xdr:twoCellAnchor editAs="oneCell">
    <xdr:from>
      <xdr:col>1</xdr:col>
      <xdr:colOff>1306286</xdr:colOff>
      <xdr:row>48</xdr:row>
      <xdr:rowOff>176892</xdr:rowOff>
    </xdr:from>
    <xdr:to>
      <xdr:col>2</xdr:col>
      <xdr:colOff>49682</xdr:colOff>
      <xdr:row>51</xdr:row>
      <xdr:rowOff>4902</xdr:rowOff>
    </xdr:to>
    <xdr:pic>
      <xdr:nvPicPr>
        <xdr:cNvPr id="8" name="Picture 7" descr="MATA.png">
          <a:extLst>
            <a:ext uri="{FF2B5EF4-FFF2-40B4-BE49-F238E27FC236}">
              <a16:creationId xmlns:a16="http://schemas.microsoft.com/office/drawing/2014/main" id="{6A8BCFE4-A929-4513-BFA9-BC136BB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0" y="13198928"/>
          <a:ext cx="1138253" cy="440331"/>
        </a:xfrm>
        <a:prstGeom prst="rect">
          <a:avLst/>
        </a:prstGeom>
      </xdr:spPr>
    </xdr:pic>
    <xdr:clientData/>
  </xdr:twoCellAnchor>
  <xdr:twoCellAnchor editAs="oneCell">
    <xdr:from>
      <xdr:col>19</xdr:col>
      <xdr:colOff>76027</xdr:colOff>
      <xdr:row>47</xdr:row>
      <xdr:rowOff>164123</xdr:rowOff>
    </xdr:from>
    <xdr:to>
      <xdr:col>21</xdr:col>
      <xdr:colOff>176876</xdr:colOff>
      <xdr:row>51</xdr:row>
      <xdr:rowOff>53668</xdr:rowOff>
    </xdr:to>
    <xdr:pic>
      <xdr:nvPicPr>
        <xdr:cNvPr id="9" name="Picture 8" descr="ANGELO MARQUEZ.png">
          <a:extLst>
            <a:ext uri="{FF2B5EF4-FFF2-40B4-BE49-F238E27FC236}">
              <a16:creationId xmlns:a16="http://schemas.microsoft.com/office/drawing/2014/main" id="{34DEEE91-A75C-4AA4-8A82-1CD04B6F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48527" y="12982052"/>
          <a:ext cx="577099" cy="705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229844</xdr:colOff>
      <xdr:row>1</xdr:row>
      <xdr:rowOff>20953</xdr:rowOff>
    </xdr:from>
    <xdr:to>
      <xdr:col>3</xdr:col>
      <xdr:colOff>229914</xdr:colOff>
      <xdr:row>3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9" y="182878"/>
          <a:ext cx="638245" cy="569598"/>
        </a:xfrm>
        <a:prstGeom prst="rect">
          <a:avLst/>
        </a:prstGeom>
      </xdr:spPr>
    </xdr:pic>
    <xdr:clientData/>
  </xdr:twoCellAnchor>
  <xdr:twoCellAnchor editAs="oneCell">
    <xdr:from>
      <xdr:col>0</xdr:col>
      <xdr:colOff>93280</xdr:colOff>
      <xdr:row>1</xdr:row>
      <xdr:rowOff>10511</xdr:rowOff>
    </xdr:from>
    <xdr:to>
      <xdr:col>1</xdr:col>
      <xdr:colOff>206700</xdr:colOff>
      <xdr:row>3</xdr:row>
      <xdr:rowOff>187132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0" y="172436"/>
          <a:ext cx="637295" cy="576671"/>
        </a:xfrm>
        <a:prstGeom prst="rect">
          <a:avLst/>
        </a:prstGeom>
      </xdr:spPr>
    </xdr:pic>
    <xdr:clientData/>
  </xdr:twoCellAnchor>
  <xdr:oneCellAnchor>
    <xdr:from>
      <xdr:col>3</xdr:col>
      <xdr:colOff>275897</xdr:colOff>
      <xdr:row>0</xdr:row>
      <xdr:rowOff>91966</xdr:rowOff>
    </xdr:from>
    <xdr:ext cx="3081613" cy="8756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437947" y="91966"/>
          <a:ext cx="3081613" cy="875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Republic of the Philippines</a:t>
          </a:r>
          <a:endParaRPr lang="en-US" sz="1000">
            <a:solidFill>
              <a:schemeClr val="tx1"/>
            </a:solidFill>
            <a:effectLst/>
            <a:latin typeface="+mj-lt"/>
            <a:ea typeface="+mn-ea"/>
            <a:cs typeface="+mn-cs"/>
          </a:endParaRPr>
        </a:p>
        <a:p>
          <a:r>
            <a:rPr lang="en-US" sz="100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OFFICE OF THE PRESIDENT</a:t>
          </a:r>
        </a:p>
        <a:p>
          <a:r>
            <a:rPr lang="en-US" sz="1050" b="1">
              <a:solidFill>
                <a:schemeClr val="tx1"/>
              </a:solidFill>
              <a:effectLst/>
              <a:latin typeface="Trajan Pro" panose="02020502050506020301" pitchFamily="18" charset="0"/>
              <a:ea typeface="+mn-ea"/>
              <a:cs typeface="+mn-cs"/>
            </a:rPr>
            <a:t>national irrigation administration</a:t>
          </a:r>
          <a:endParaRPr lang="en-US" sz="1050">
            <a:solidFill>
              <a:schemeClr val="tx1"/>
            </a:solidFill>
            <a:effectLst/>
            <a:latin typeface="Trajan Pro" panose="02020502050506020301" pitchFamily="18" charset="0"/>
            <a:ea typeface="+mn-ea"/>
            <a:cs typeface="+mn-cs"/>
          </a:endParaRPr>
        </a:p>
        <a:p>
          <a:r>
            <a:rPr lang="en-PH" sz="900">
              <a:solidFill>
                <a:schemeClr val="tx1"/>
              </a:solidFill>
              <a:effectLst/>
              <a:latin typeface="Trajan Pro" panose="02020502050506020301" pitchFamily="18" charset="0"/>
              <a:ea typeface="+mn-ea"/>
              <a:cs typeface="+mn-cs"/>
            </a:rPr>
            <a:t>ALBAY-CATANDUANES IMO</a:t>
          </a:r>
          <a:endParaRPr lang="en-US" sz="900">
            <a:solidFill>
              <a:schemeClr val="tx1"/>
            </a:solidFill>
            <a:effectLst/>
            <a:latin typeface="Trajan Pro" panose="02020502050506020301" pitchFamily="18" charset="0"/>
            <a:ea typeface="+mn-ea"/>
            <a:cs typeface="+mn-cs"/>
          </a:endParaRPr>
        </a:p>
        <a:p>
          <a:endParaRPr lang="en-US" sz="1100" kern="1200">
            <a:latin typeface="+mj-lt"/>
          </a:endParaRPr>
        </a:p>
      </xdr:txBody>
    </xdr:sp>
    <xdr:clientData/>
  </xdr:oneCellAnchor>
  <xdr:twoCellAnchor editAs="oneCell">
    <xdr:from>
      <xdr:col>9</xdr:col>
      <xdr:colOff>397248</xdr:colOff>
      <xdr:row>0</xdr:row>
      <xdr:rowOff>66675</xdr:rowOff>
    </xdr:from>
    <xdr:to>
      <xdr:col>10</xdr:col>
      <xdr:colOff>619125</xdr:colOff>
      <xdr:row>4</xdr:row>
      <xdr:rowOff>68836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97798" y="66675"/>
          <a:ext cx="707652" cy="783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57150</xdr:rowOff>
    </xdr:from>
    <xdr:to>
      <xdr:col>5</xdr:col>
      <xdr:colOff>534029</xdr:colOff>
      <xdr:row>33</xdr:row>
      <xdr:rowOff>103385</xdr:rowOff>
    </xdr:to>
    <xdr:pic>
      <xdr:nvPicPr>
        <xdr:cNvPr id="6" name="Picture 5" descr="ANGELO MARQUEZ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52650" y="5724525"/>
          <a:ext cx="534029" cy="722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58142</xdr:colOff>
      <xdr:row>0</xdr:row>
      <xdr:rowOff>105456</xdr:rowOff>
    </xdr:from>
    <xdr:to>
      <xdr:col>7</xdr:col>
      <xdr:colOff>108471</xdr:colOff>
      <xdr:row>4</xdr:row>
      <xdr:rowOff>18232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67" y="105456"/>
          <a:ext cx="621829" cy="589051"/>
        </a:xfrm>
        <a:prstGeom prst="rect">
          <a:avLst/>
        </a:prstGeom>
      </xdr:spPr>
    </xdr:pic>
    <xdr:clientData/>
  </xdr:twoCellAnchor>
  <xdr:twoCellAnchor editAs="oneCell">
    <xdr:from>
      <xdr:col>0</xdr:col>
      <xdr:colOff>134742</xdr:colOff>
      <xdr:row>0</xdr:row>
      <xdr:rowOff>97970</xdr:rowOff>
    </xdr:from>
    <xdr:to>
      <xdr:col>4</xdr:col>
      <xdr:colOff>42148</xdr:colOff>
      <xdr:row>4</xdr:row>
      <xdr:rowOff>16327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42" y="97970"/>
          <a:ext cx="640831" cy="594632"/>
        </a:xfrm>
        <a:prstGeom prst="rect">
          <a:avLst/>
        </a:prstGeom>
      </xdr:spPr>
    </xdr:pic>
    <xdr:clientData/>
  </xdr:twoCellAnchor>
  <xdr:oneCellAnchor>
    <xdr:from>
      <xdr:col>7</xdr:col>
      <xdr:colOff>170447</xdr:colOff>
      <xdr:row>0</xdr:row>
      <xdr:rowOff>30425</xdr:rowOff>
    </xdr:from>
    <xdr:ext cx="3081613" cy="7102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475372" y="30425"/>
          <a:ext cx="3081613" cy="710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Republic of the Philippines</a:t>
          </a:r>
          <a:endParaRPr lang="en-US" sz="1000">
            <a:solidFill>
              <a:schemeClr val="tx1"/>
            </a:solidFill>
            <a:effectLst/>
            <a:latin typeface="+mj-lt"/>
            <a:ea typeface="+mn-ea"/>
            <a:cs typeface="+mn-cs"/>
          </a:endParaRPr>
        </a:p>
        <a:p>
          <a:r>
            <a:rPr lang="en-US" sz="100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OFFICE OF THE PRESIDENT</a:t>
          </a:r>
        </a:p>
        <a:p>
          <a:r>
            <a:rPr lang="en-US" sz="1050" b="1">
              <a:solidFill>
                <a:schemeClr val="tx1"/>
              </a:solidFill>
              <a:effectLst/>
              <a:latin typeface="Trajan Pro" panose="02020502050506020301" pitchFamily="18" charset="0"/>
              <a:ea typeface="+mn-ea"/>
              <a:cs typeface="+mn-cs"/>
            </a:rPr>
            <a:t>national irrigation administration</a:t>
          </a:r>
          <a:endParaRPr lang="en-US" sz="1050">
            <a:solidFill>
              <a:schemeClr val="tx1"/>
            </a:solidFill>
            <a:effectLst/>
            <a:latin typeface="Trajan Pro" panose="02020502050506020301" pitchFamily="18" charset="0"/>
            <a:ea typeface="+mn-ea"/>
            <a:cs typeface="+mn-cs"/>
          </a:endParaRPr>
        </a:p>
        <a:p>
          <a:r>
            <a:rPr lang="it-IT" sz="900">
              <a:solidFill>
                <a:schemeClr val="tx1"/>
              </a:solidFill>
              <a:effectLst/>
              <a:latin typeface="Trajan Pro" panose="02020502050506020301" pitchFamily="18" charset="0"/>
              <a:ea typeface="+mn-ea"/>
              <a:cs typeface="+mn-cs"/>
            </a:rPr>
            <a:t>ALBAY-CATANDUANES IMO</a:t>
          </a:r>
          <a:endParaRPr lang="en-US" sz="900">
            <a:solidFill>
              <a:schemeClr val="tx1"/>
            </a:solidFill>
            <a:effectLst/>
            <a:latin typeface="Trajan Pro" panose="02020502050506020301" pitchFamily="18" charset="0"/>
            <a:ea typeface="+mn-ea"/>
            <a:cs typeface="+mn-cs"/>
          </a:endParaRPr>
        </a:p>
      </xdr:txBody>
    </xdr:sp>
    <xdr:clientData/>
  </xdr:oneCellAnchor>
  <xdr:twoCellAnchor editAs="oneCell">
    <xdr:from>
      <xdr:col>22</xdr:col>
      <xdr:colOff>161925</xdr:colOff>
      <xdr:row>0</xdr:row>
      <xdr:rowOff>24782</xdr:rowOff>
    </xdr:from>
    <xdr:to>
      <xdr:col>26</xdr:col>
      <xdr:colOff>92367</xdr:colOff>
      <xdr:row>4</xdr:row>
      <xdr:rowOff>132827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24525" y="24782"/>
          <a:ext cx="730542" cy="784320"/>
        </a:xfrm>
        <a:prstGeom prst="rect">
          <a:avLst/>
        </a:prstGeom>
      </xdr:spPr>
    </xdr:pic>
    <xdr:clientData/>
  </xdr:twoCellAnchor>
  <xdr:twoCellAnchor editAs="oneCell">
    <xdr:from>
      <xdr:col>16</xdr:col>
      <xdr:colOff>742950</xdr:colOff>
      <xdr:row>24</xdr:row>
      <xdr:rowOff>114300</xdr:rowOff>
    </xdr:from>
    <xdr:to>
      <xdr:col>17</xdr:col>
      <xdr:colOff>94008</xdr:colOff>
      <xdr:row>27</xdr:row>
      <xdr:rowOff>95250</xdr:rowOff>
    </xdr:to>
    <xdr:pic>
      <xdr:nvPicPr>
        <xdr:cNvPr id="6" name="Picture 5" descr="ANGELO MARQUEZ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848100" y="4819650"/>
          <a:ext cx="408333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80597</xdr:colOff>
      <xdr:row>2</xdr:row>
      <xdr:rowOff>153106</xdr:rowOff>
    </xdr:from>
    <xdr:to>
      <xdr:col>1</xdr:col>
      <xdr:colOff>144641</xdr:colOff>
      <xdr:row>5</xdr:row>
      <xdr:rowOff>46433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" y="558800"/>
          <a:ext cx="661670" cy="6457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1</xdr:row>
      <xdr:rowOff>44823</xdr:rowOff>
    </xdr:from>
    <xdr:to>
      <xdr:col>3</xdr:col>
      <xdr:colOff>73148</xdr:colOff>
      <xdr:row>5</xdr:row>
      <xdr:rowOff>129176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" y="170815"/>
          <a:ext cx="964565" cy="932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1267502</xdr:colOff>
      <xdr:row>49</xdr:row>
      <xdr:rowOff>86369</xdr:rowOff>
    </xdr:from>
    <xdr:to>
      <xdr:col>2</xdr:col>
      <xdr:colOff>130582</xdr:colOff>
      <xdr:row>52</xdr:row>
      <xdr:rowOff>139212</xdr:rowOff>
    </xdr:to>
    <xdr:pic>
      <xdr:nvPicPr>
        <xdr:cNvPr id="2" name="Picture 1" descr="MATA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7077" y="12383144"/>
          <a:ext cx="1263380" cy="567193"/>
        </a:xfrm>
        <a:prstGeom prst="rect">
          <a:avLst/>
        </a:prstGeom>
      </xdr:spPr>
    </xdr:pic>
    <xdr:clientData/>
  </xdr:twoCellAnchor>
  <xdr:twoCellAnchor editAs="oneCell">
    <xdr:from>
      <xdr:col>19</xdr:col>
      <xdr:colOff>136071</xdr:colOff>
      <xdr:row>48</xdr:row>
      <xdr:rowOff>106162</xdr:rowOff>
    </xdr:from>
    <xdr:to>
      <xdr:col>20</xdr:col>
      <xdr:colOff>195087</xdr:colOff>
      <xdr:row>52</xdr:row>
      <xdr:rowOff>185426</xdr:rowOff>
    </xdr:to>
    <xdr:pic>
      <xdr:nvPicPr>
        <xdr:cNvPr id="3" name="Picture 2" descr="ANGELO MARQUEZ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94271" y="12241012"/>
          <a:ext cx="535266" cy="755539"/>
        </a:xfrm>
        <a:prstGeom prst="rect">
          <a:avLst/>
        </a:prstGeom>
      </xdr:spPr>
    </xdr:pic>
    <xdr:clientData/>
  </xdr:twoCellAnchor>
  <xdr:twoCellAnchor>
    <xdr:from>
      <xdr:col>0</xdr:col>
      <xdr:colOff>163287</xdr:colOff>
      <xdr:row>0</xdr:row>
      <xdr:rowOff>108856</xdr:rowOff>
    </xdr:from>
    <xdr:to>
      <xdr:col>1</xdr:col>
      <xdr:colOff>1333502</xdr:colOff>
      <xdr:row>4</xdr:row>
      <xdr:rowOff>136069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/>
      </xdr:nvGrpSpPr>
      <xdr:grpSpPr>
        <a:xfrm>
          <a:off x="163287" y="108856"/>
          <a:ext cx="1551215" cy="775606"/>
          <a:chOff x="0" y="0"/>
          <a:chExt cx="1045021" cy="51498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0036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381000</xdr:colOff>
      <xdr:row>0</xdr:row>
      <xdr:rowOff>0</xdr:rowOff>
    </xdr:from>
    <xdr:to>
      <xdr:col>28</xdr:col>
      <xdr:colOff>1483681</xdr:colOff>
      <xdr:row>5</xdr:row>
      <xdr:rowOff>118863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0" y="0"/>
          <a:ext cx="1102681" cy="10618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1</xdr:row>
      <xdr:rowOff>44823</xdr:rowOff>
    </xdr:from>
    <xdr:to>
      <xdr:col>3</xdr:col>
      <xdr:colOff>73148</xdr:colOff>
      <xdr:row>5</xdr:row>
      <xdr:rowOff>129176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168648"/>
          <a:ext cx="994831" cy="9320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1178219</xdr:colOff>
      <xdr:row>76</xdr:row>
      <xdr:rowOff>139272</xdr:rowOff>
    </xdr:from>
    <xdr:to>
      <xdr:col>2</xdr:col>
      <xdr:colOff>38098</xdr:colOff>
      <xdr:row>80</xdr:row>
      <xdr:rowOff>89079</xdr:rowOff>
    </xdr:to>
    <xdr:pic>
      <xdr:nvPicPr>
        <xdr:cNvPr id="2" name="Picture 1" descr="MATA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92837" y="13507890"/>
          <a:ext cx="1257937" cy="577336"/>
        </a:xfrm>
        <a:prstGeom prst="rect">
          <a:avLst/>
        </a:prstGeom>
      </xdr:spPr>
    </xdr:pic>
    <xdr:clientData/>
  </xdr:twoCellAnchor>
  <xdr:twoCellAnchor editAs="oneCell">
    <xdr:from>
      <xdr:col>17</xdr:col>
      <xdr:colOff>239328</xdr:colOff>
      <xdr:row>75</xdr:row>
      <xdr:rowOff>112059</xdr:rowOff>
    </xdr:from>
    <xdr:to>
      <xdr:col>20</xdr:col>
      <xdr:colOff>35444</xdr:colOff>
      <xdr:row>80</xdr:row>
      <xdr:rowOff>80865</xdr:rowOff>
    </xdr:to>
    <xdr:pic>
      <xdr:nvPicPr>
        <xdr:cNvPr id="3" name="Picture 2" descr="ANGELO MARQUEZ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5504" y="13323794"/>
          <a:ext cx="535705" cy="7532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80597</xdr:colOff>
      <xdr:row>2</xdr:row>
      <xdr:rowOff>153106</xdr:rowOff>
    </xdr:from>
    <xdr:to>
      <xdr:col>1</xdr:col>
      <xdr:colOff>144641</xdr:colOff>
      <xdr:row>5</xdr:row>
      <xdr:rowOff>46433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7" y="543631"/>
          <a:ext cx="683169" cy="6458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1</xdr:row>
      <xdr:rowOff>44823</xdr:rowOff>
    </xdr:from>
    <xdr:to>
      <xdr:col>3</xdr:col>
      <xdr:colOff>73148</xdr:colOff>
      <xdr:row>5</xdr:row>
      <xdr:rowOff>129176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168648"/>
          <a:ext cx="994831" cy="932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DMIN_JOJO/JOJO%20FILES/2024/Payroll%202024/JOb%20Order/Payroll-Job-Order-October%201-15,%202024.xlsx" TargetMode="External"/><Relationship Id="rId1" Type="http://schemas.openxmlformats.org/officeDocument/2006/relationships/externalLinkPath" Target="/ADMIN_JOJO/JOJO%20FILES/2024/Payroll%202024/JOb%20Order/Payroll-Job-Order-October%201-15,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MEBOOK (1-15)-D&amp;6"/>
      <sheetName val="SUMMARY (1-15)-D&amp;6"/>
      <sheetName val="BUR - Gross-D&amp;6"/>
      <sheetName val="DV - BIR-D&amp;6"/>
      <sheetName val="DV - SSS-D&amp;6"/>
      <sheetName val="TIMEBOOK (1-15)-E"/>
      <sheetName val="SUMMARY (1-15)-E"/>
      <sheetName val="BUR - Gross-D&amp;6 (2)"/>
      <sheetName val="DV - BIR-E"/>
      <sheetName val="Reminders"/>
      <sheetName val="Accounts"/>
    </sheetNames>
    <sheetDataSet>
      <sheetData sheetId="0">
        <row r="13">
          <cell r="Y13" t="str">
            <v>BIR</v>
          </cell>
          <cell r="Z13" t="str">
            <v>HDMF</v>
          </cell>
        </row>
        <row r="14">
          <cell r="Y14" t="str">
            <v>SSS</v>
          </cell>
          <cell r="Z14" t="str">
            <v>HDMF-MPL</v>
          </cell>
        </row>
        <row r="15">
          <cell r="Y15" t="str">
            <v>NIAMPCO-ML</v>
          </cell>
        </row>
        <row r="39">
          <cell r="Y39">
            <v>0</v>
          </cell>
        </row>
        <row r="40">
          <cell r="Y40">
            <v>0</v>
          </cell>
          <cell r="Z40">
            <v>0</v>
          </cell>
        </row>
        <row r="49">
          <cell r="X49" t="str">
            <v>VILMA M. MANLANGIT</v>
          </cell>
        </row>
        <row r="50">
          <cell r="X50" t="str">
            <v>SCDO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67"/>
  <sheetViews>
    <sheetView tabSelected="1" view="pageLayout" topLeftCell="A46" zoomScale="70" zoomScaleNormal="55" zoomScalePageLayoutView="70" workbookViewId="0">
      <selection activeCell="AD37" sqref="AD37:AD39"/>
    </sheetView>
  </sheetViews>
  <sheetFormatPr defaultColWidth="9" defaultRowHeight="12.75"/>
  <cols>
    <col min="1" max="1" width="5.7109375" style="184" customWidth="1"/>
    <col min="2" max="2" width="33.7109375" style="184" customWidth="1"/>
    <col min="3" max="3" width="21.5703125" style="184" customWidth="1"/>
    <col min="4" max="6" width="3.5703125" style="184" customWidth="1"/>
    <col min="7" max="7" width="4" style="184" customWidth="1"/>
    <col min="8" max="8" width="3.5703125" style="184" customWidth="1"/>
    <col min="9" max="9" width="4.140625" style="184" customWidth="1"/>
    <col min="10" max="10" width="3.5703125" style="184" customWidth="1"/>
    <col min="11" max="11" width="4" style="184" customWidth="1"/>
    <col min="12" max="19" width="3.5703125" style="184" customWidth="1"/>
    <col min="20" max="20" width="6.7109375" style="184" customWidth="1"/>
    <col min="21" max="21" width="10.5703125" style="184" hidden="1" customWidth="1"/>
    <col min="22" max="22" width="13.85546875" style="347" customWidth="1"/>
    <col min="23" max="23" width="20.42578125" style="347" customWidth="1"/>
    <col min="24" max="24" width="18.28515625" style="347" customWidth="1"/>
    <col min="25" max="25" width="21" style="347" bestFit="1" customWidth="1"/>
    <col min="26" max="26" width="20.42578125" style="347" customWidth="1"/>
    <col min="27" max="27" width="22.85546875" style="222" customWidth="1"/>
    <col min="28" max="28" width="18.85546875" style="222" customWidth="1"/>
    <col min="29" max="29" width="19.140625" style="347" customWidth="1"/>
    <col min="30" max="30" width="21" style="347" bestFit="1" customWidth="1"/>
    <col min="31" max="31" width="18.28515625" style="347" customWidth="1"/>
    <col min="32" max="32" width="4.42578125" style="184" customWidth="1"/>
    <col min="33" max="33" width="18" style="184" customWidth="1"/>
    <col min="34" max="36" width="9" style="184"/>
    <col min="37" max="37" width="12.85546875" style="184" customWidth="1"/>
    <col min="38" max="259" width="9" style="184"/>
    <col min="260" max="260" width="2.5703125" style="184" customWidth="1"/>
    <col min="261" max="261" width="27.5703125" style="184" customWidth="1"/>
    <col min="262" max="262" width="16.140625" style="184" customWidth="1"/>
    <col min="263" max="278" width="3.5703125" style="184" customWidth="1"/>
    <col min="279" max="279" width="5.5703125" style="184" customWidth="1"/>
    <col min="280" max="280" width="11.5703125" style="184" customWidth="1"/>
    <col min="281" max="281" width="15.7109375" style="184" customWidth="1"/>
    <col min="282" max="284" width="13.42578125" style="184" customWidth="1"/>
    <col min="285" max="285" width="15.7109375" style="184" customWidth="1"/>
    <col min="286" max="286" width="16.140625" style="184" customWidth="1"/>
    <col min="287" max="287" width="9" style="184"/>
    <col min="288" max="288" width="13" style="184" customWidth="1"/>
    <col min="289" max="515" width="9" style="184"/>
    <col min="516" max="516" width="2.5703125" style="184" customWidth="1"/>
    <col min="517" max="517" width="27.5703125" style="184" customWidth="1"/>
    <col min="518" max="518" width="16.140625" style="184" customWidth="1"/>
    <col min="519" max="534" width="3.5703125" style="184" customWidth="1"/>
    <col min="535" max="535" width="5.5703125" style="184" customWidth="1"/>
    <col min="536" max="536" width="11.5703125" style="184" customWidth="1"/>
    <col min="537" max="537" width="15.7109375" style="184" customWidth="1"/>
    <col min="538" max="540" width="13.42578125" style="184" customWidth="1"/>
    <col min="541" max="541" width="15.7109375" style="184" customWidth="1"/>
    <col min="542" max="542" width="16.140625" style="184" customWidth="1"/>
    <col min="543" max="543" width="9" style="184"/>
    <col min="544" max="544" width="13" style="184" customWidth="1"/>
    <col min="545" max="771" width="9" style="184"/>
    <col min="772" max="772" width="2.5703125" style="184" customWidth="1"/>
    <col min="773" max="773" width="27.5703125" style="184" customWidth="1"/>
    <col min="774" max="774" width="16.140625" style="184" customWidth="1"/>
    <col min="775" max="790" width="3.5703125" style="184" customWidth="1"/>
    <col min="791" max="791" width="5.5703125" style="184" customWidth="1"/>
    <col min="792" max="792" width="11.5703125" style="184" customWidth="1"/>
    <col min="793" max="793" width="15.7109375" style="184" customWidth="1"/>
    <col min="794" max="796" width="13.42578125" style="184" customWidth="1"/>
    <col min="797" max="797" width="15.7109375" style="184" customWidth="1"/>
    <col min="798" max="798" width="16.140625" style="184" customWidth="1"/>
    <col min="799" max="799" width="9" style="184"/>
    <col min="800" max="800" width="13" style="184" customWidth="1"/>
    <col min="801" max="1027" width="9" style="184"/>
    <col min="1028" max="1028" width="2.5703125" style="184" customWidth="1"/>
    <col min="1029" max="1029" width="27.5703125" style="184" customWidth="1"/>
    <col min="1030" max="1030" width="16.140625" style="184" customWidth="1"/>
    <col min="1031" max="1046" width="3.5703125" style="184" customWidth="1"/>
    <col min="1047" max="1047" width="5.5703125" style="184" customWidth="1"/>
    <col min="1048" max="1048" width="11.5703125" style="184" customWidth="1"/>
    <col min="1049" max="1049" width="15.7109375" style="184" customWidth="1"/>
    <col min="1050" max="1052" width="13.42578125" style="184" customWidth="1"/>
    <col min="1053" max="1053" width="15.7109375" style="184" customWidth="1"/>
    <col min="1054" max="1054" width="16.140625" style="184" customWidth="1"/>
    <col min="1055" max="1055" width="9" style="184"/>
    <col min="1056" max="1056" width="13" style="184" customWidth="1"/>
    <col min="1057" max="1283" width="9" style="184"/>
    <col min="1284" max="1284" width="2.5703125" style="184" customWidth="1"/>
    <col min="1285" max="1285" width="27.5703125" style="184" customWidth="1"/>
    <col min="1286" max="1286" width="16.140625" style="184" customWidth="1"/>
    <col min="1287" max="1302" width="3.5703125" style="184" customWidth="1"/>
    <col min="1303" max="1303" width="5.5703125" style="184" customWidth="1"/>
    <col min="1304" max="1304" width="11.5703125" style="184" customWidth="1"/>
    <col min="1305" max="1305" width="15.7109375" style="184" customWidth="1"/>
    <col min="1306" max="1308" width="13.42578125" style="184" customWidth="1"/>
    <col min="1309" max="1309" width="15.7109375" style="184" customWidth="1"/>
    <col min="1310" max="1310" width="16.140625" style="184" customWidth="1"/>
    <col min="1311" max="1311" width="9" style="184"/>
    <col min="1312" max="1312" width="13" style="184" customWidth="1"/>
    <col min="1313" max="1539" width="9" style="184"/>
    <col min="1540" max="1540" width="2.5703125" style="184" customWidth="1"/>
    <col min="1541" max="1541" width="27.5703125" style="184" customWidth="1"/>
    <col min="1542" max="1542" width="16.140625" style="184" customWidth="1"/>
    <col min="1543" max="1558" width="3.5703125" style="184" customWidth="1"/>
    <col min="1559" max="1559" width="5.5703125" style="184" customWidth="1"/>
    <col min="1560" max="1560" width="11.5703125" style="184" customWidth="1"/>
    <col min="1561" max="1561" width="15.7109375" style="184" customWidth="1"/>
    <col min="1562" max="1564" width="13.42578125" style="184" customWidth="1"/>
    <col min="1565" max="1565" width="15.7109375" style="184" customWidth="1"/>
    <col min="1566" max="1566" width="16.140625" style="184" customWidth="1"/>
    <col min="1567" max="1567" width="9" style="184"/>
    <col min="1568" max="1568" width="13" style="184" customWidth="1"/>
    <col min="1569" max="1795" width="9" style="184"/>
    <col min="1796" max="1796" width="2.5703125" style="184" customWidth="1"/>
    <col min="1797" max="1797" width="27.5703125" style="184" customWidth="1"/>
    <col min="1798" max="1798" width="16.140625" style="184" customWidth="1"/>
    <col min="1799" max="1814" width="3.5703125" style="184" customWidth="1"/>
    <col min="1815" max="1815" width="5.5703125" style="184" customWidth="1"/>
    <col min="1816" max="1816" width="11.5703125" style="184" customWidth="1"/>
    <col min="1817" max="1817" width="15.7109375" style="184" customWidth="1"/>
    <col min="1818" max="1820" width="13.42578125" style="184" customWidth="1"/>
    <col min="1821" max="1821" width="15.7109375" style="184" customWidth="1"/>
    <col min="1822" max="1822" width="16.140625" style="184" customWidth="1"/>
    <col min="1823" max="1823" width="9" style="184"/>
    <col min="1824" max="1824" width="13" style="184" customWidth="1"/>
    <col min="1825" max="2051" width="9" style="184"/>
    <col min="2052" max="2052" width="2.5703125" style="184" customWidth="1"/>
    <col min="2053" max="2053" width="27.5703125" style="184" customWidth="1"/>
    <col min="2054" max="2054" width="16.140625" style="184" customWidth="1"/>
    <col min="2055" max="2070" width="3.5703125" style="184" customWidth="1"/>
    <col min="2071" max="2071" width="5.5703125" style="184" customWidth="1"/>
    <col min="2072" max="2072" width="11.5703125" style="184" customWidth="1"/>
    <col min="2073" max="2073" width="15.7109375" style="184" customWidth="1"/>
    <col min="2074" max="2076" width="13.42578125" style="184" customWidth="1"/>
    <col min="2077" max="2077" width="15.7109375" style="184" customWidth="1"/>
    <col min="2078" max="2078" width="16.140625" style="184" customWidth="1"/>
    <col min="2079" max="2079" width="9" style="184"/>
    <col min="2080" max="2080" width="13" style="184" customWidth="1"/>
    <col min="2081" max="2307" width="9" style="184"/>
    <col min="2308" max="2308" width="2.5703125" style="184" customWidth="1"/>
    <col min="2309" max="2309" width="27.5703125" style="184" customWidth="1"/>
    <col min="2310" max="2310" width="16.140625" style="184" customWidth="1"/>
    <col min="2311" max="2326" width="3.5703125" style="184" customWidth="1"/>
    <col min="2327" max="2327" width="5.5703125" style="184" customWidth="1"/>
    <col min="2328" max="2328" width="11.5703125" style="184" customWidth="1"/>
    <col min="2329" max="2329" width="15.7109375" style="184" customWidth="1"/>
    <col min="2330" max="2332" width="13.42578125" style="184" customWidth="1"/>
    <col min="2333" max="2333" width="15.7109375" style="184" customWidth="1"/>
    <col min="2334" max="2334" width="16.140625" style="184" customWidth="1"/>
    <col min="2335" max="2335" width="9" style="184"/>
    <col min="2336" max="2336" width="13" style="184" customWidth="1"/>
    <col min="2337" max="2563" width="9" style="184"/>
    <col min="2564" max="2564" width="2.5703125" style="184" customWidth="1"/>
    <col min="2565" max="2565" width="27.5703125" style="184" customWidth="1"/>
    <col min="2566" max="2566" width="16.140625" style="184" customWidth="1"/>
    <col min="2567" max="2582" width="3.5703125" style="184" customWidth="1"/>
    <col min="2583" max="2583" width="5.5703125" style="184" customWidth="1"/>
    <col min="2584" max="2584" width="11.5703125" style="184" customWidth="1"/>
    <col min="2585" max="2585" width="15.7109375" style="184" customWidth="1"/>
    <col min="2586" max="2588" width="13.42578125" style="184" customWidth="1"/>
    <col min="2589" max="2589" width="15.7109375" style="184" customWidth="1"/>
    <col min="2590" max="2590" width="16.140625" style="184" customWidth="1"/>
    <col min="2591" max="2591" width="9" style="184"/>
    <col min="2592" max="2592" width="13" style="184" customWidth="1"/>
    <col min="2593" max="2819" width="9" style="184"/>
    <col min="2820" max="2820" width="2.5703125" style="184" customWidth="1"/>
    <col min="2821" max="2821" width="27.5703125" style="184" customWidth="1"/>
    <col min="2822" max="2822" width="16.140625" style="184" customWidth="1"/>
    <col min="2823" max="2838" width="3.5703125" style="184" customWidth="1"/>
    <col min="2839" max="2839" width="5.5703125" style="184" customWidth="1"/>
    <col min="2840" max="2840" width="11.5703125" style="184" customWidth="1"/>
    <col min="2841" max="2841" width="15.7109375" style="184" customWidth="1"/>
    <col min="2842" max="2844" width="13.42578125" style="184" customWidth="1"/>
    <col min="2845" max="2845" width="15.7109375" style="184" customWidth="1"/>
    <col min="2846" max="2846" width="16.140625" style="184" customWidth="1"/>
    <col min="2847" max="2847" width="9" style="184"/>
    <col min="2848" max="2848" width="13" style="184" customWidth="1"/>
    <col min="2849" max="3075" width="9" style="184"/>
    <col min="3076" max="3076" width="2.5703125" style="184" customWidth="1"/>
    <col min="3077" max="3077" width="27.5703125" style="184" customWidth="1"/>
    <col min="3078" max="3078" width="16.140625" style="184" customWidth="1"/>
    <col min="3079" max="3094" width="3.5703125" style="184" customWidth="1"/>
    <col min="3095" max="3095" width="5.5703125" style="184" customWidth="1"/>
    <col min="3096" max="3096" width="11.5703125" style="184" customWidth="1"/>
    <col min="3097" max="3097" width="15.7109375" style="184" customWidth="1"/>
    <col min="3098" max="3100" width="13.42578125" style="184" customWidth="1"/>
    <col min="3101" max="3101" width="15.7109375" style="184" customWidth="1"/>
    <col min="3102" max="3102" width="16.140625" style="184" customWidth="1"/>
    <col min="3103" max="3103" width="9" style="184"/>
    <col min="3104" max="3104" width="13" style="184" customWidth="1"/>
    <col min="3105" max="3331" width="9" style="184"/>
    <col min="3332" max="3332" width="2.5703125" style="184" customWidth="1"/>
    <col min="3333" max="3333" width="27.5703125" style="184" customWidth="1"/>
    <col min="3334" max="3334" width="16.140625" style="184" customWidth="1"/>
    <col min="3335" max="3350" width="3.5703125" style="184" customWidth="1"/>
    <col min="3351" max="3351" width="5.5703125" style="184" customWidth="1"/>
    <col min="3352" max="3352" width="11.5703125" style="184" customWidth="1"/>
    <col min="3353" max="3353" width="15.7109375" style="184" customWidth="1"/>
    <col min="3354" max="3356" width="13.42578125" style="184" customWidth="1"/>
    <col min="3357" max="3357" width="15.7109375" style="184" customWidth="1"/>
    <col min="3358" max="3358" width="16.140625" style="184" customWidth="1"/>
    <col min="3359" max="3359" width="9" style="184"/>
    <col min="3360" max="3360" width="13" style="184" customWidth="1"/>
    <col min="3361" max="3587" width="9" style="184"/>
    <col min="3588" max="3588" width="2.5703125" style="184" customWidth="1"/>
    <col min="3589" max="3589" width="27.5703125" style="184" customWidth="1"/>
    <col min="3590" max="3590" width="16.140625" style="184" customWidth="1"/>
    <col min="3591" max="3606" width="3.5703125" style="184" customWidth="1"/>
    <col min="3607" max="3607" width="5.5703125" style="184" customWidth="1"/>
    <col min="3608" max="3608" width="11.5703125" style="184" customWidth="1"/>
    <col min="3609" max="3609" width="15.7109375" style="184" customWidth="1"/>
    <col min="3610" max="3612" width="13.42578125" style="184" customWidth="1"/>
    <col min="3613" max="3613" width="15.7109375" style="184" customWidth="1"/>
    <col min="3614" max="3614" width="16.140625" style="184" customWidth="1"/>
    <col min="3615" max="3615" width="9" style="184"/>
    <col min="3616" max="3616" width="13" style="184" customWidth="1"/>
    <col min="3617" max="3843" width="9" style="184"/>
    <col min="3844" max="3844" width="2.5703125" style="184" customWidth="1"/>
    <col min="3845" max="3845" width="27.5703125" style="184" customWidth="1"/>
    <col min="3846" max="3846" width="16.140625" style="184" customWidth="1"/>
    <col min="3847" max="3862" width="3.5703125" style="184" customWidth="1"/>
    <col min="3863" max="3863" width="5.5703125" style="184" customWidth="1"/>
    <col min="3864" max="3864" width="11.5703125" style="184" customWidth="1"/>
    <col min="3865" max="3865" width="15.7109375" style="184" customWidth="1"/>
    <col min="3866" max="3868" width="13.42578125" style="184" customWidth="1"/>
    <col min="3869" max="3869" width="15.7109375" style="184" customWidth="1"/>
    <col min="3870" max="3870" width="16.140625" style="184" customWidth="1"/>
    <col min="3871" max="3871" width="9" style="184"/>
    <col min="3872" max="3872" width="13" style="184" customWidth="1"/>
    <col min="3873" max="4099" width="9" style="184"/>
    <col min="4100" max="4100" width="2.5703125" style="184" customWidth="1"/>
    <col min="4101" max="4101" width="27.5703125" style="184" customWidth="1"/>
    <col min="4102" max="4102" width="16.140625" style="184" customWidth="1"/>
    <col min="4103" max="4118" width="3.5703125" style="184" customWidth="1"/>
    <col min="4119" max="4119" width="5.5703125" style="184" customWidth="1"/>
    <col min="4120" max="4120" width="11.5703125" style="184" customWidth="1"/>
    <col min="4121" max="4121" width="15.7109375" style="184" customWidth="1"/>
    <col min="4122" max="4124" width="13.42578125" style="184" customWidth="1"/>
    <col min="4125" max="4125" width="15.7109375" style="184" customWidth="1"/>
    <col min="4126" max="4126" width="16.140625" style="184" customWidth="1"/>
    <col min="4127" max="4127" width="9" style="184"/>
    <col min="4128" max="4128" width="13" style="184" customWidth="1"/>
    <col min="4129" max="4355" width="9" style="184"/>
    <col min="4356" max="4356" width="2.5703125" style="184" customWidth="1"/>
    <col min="4357" max="4357" width="27.5703125" style="184" customWidth="1"/>
    <col min="4358" max="4358" width="16.140625" style="184" customWidth="1"/>
    <col min="4359" max="4374" width="3.5703125" style="184" customWidth="1"/>
    <col min="4375" max="4375" width="5.5703125" style="184" customWidth="1"/>
    <col min="4376" max="4376" width="11.5703125" style="184" customWidth="1"/>
    <col min="4377" max="4377" width="15.7109375" style="184" customWidth="1"/>
    <col min="4378" max="4380" width="13.42578125" style="184" customWidth="1"/>
    <col min="4381" max="4381" width="15.7109375" style="184" customWidth="1"/>
    <col min="4382" max="4382" width="16.140625" style="184" customWidth="1"/>
    <col min="4383" max="4383" width="9" style="184"/>
    <col min="4384" max="4384" width="13" style="184" customWidth="1"/>
    <col min="4385" max="4611" width="9" style="184"/>
    <col min="4612" max="4612" width="2.5703125" style="184" customWidth="1"/>
    <col min="4613" max="4613" width="27.5703125" style="184" customWidth="1"/>
    <col min="4614" max="4614" width="16.140625" style="184" customWidth="1"/>
    <col min="4615" max="4630" width="3.5703125" style="184" customWidth="1"/>
    <col min="4631" max="4631" width="5.5703125" style="184" customWidth="1"/>
    <col min="4632" max="4632" width="11.5703125" style="184" customWidth="1"/>
    <col min="4633" max="4633" width="15.7109375" style="184" customWidth="1"/>
    <col min="4634" max="4636" width="13.42578125" style="184" customWidth="1"/>
    <col min="4637" max="4637" width="15.7109375" style="184" customWidth="1"/>
    <col min="4638" max="4638" width="16.140625" style="184" customWidth="1"/>
    <col min="4639" max="4639" width="9" style="184"/>
    <col min="4640" max="4640" width="13" style="184" customWidth="1"/>
    <col min="4641" max="4867" width="9" style="184"/>
    <col min="4868" max="4868" width="2.5703125" style="184" customWidth="1"/>
    <col min="4869" max="4869" width="27.5703125" style="184" customWidth="1"/>
    <col min="4870" max="4870" width="16.140625" style="184" customWidth="1"/>
    <col min="4871" max="4886" width="3.5703125" style="184" customWidth="1"/>
    <col min="4887" max="4887" width="5.5703125" style="184" customWidth="1"/>
    <col min="4888" max="4888" width="11.5703125" style="184" customWidth="1"/>
    <col min="4889" max="4889" width="15.7109375" style="184" customWidth="1"/>
    <col min="4890" max="4892" width="13.42578125" style="184" customWidth="1"/>
    <col min="4893" max="4893" width="15.7109375" style="184" customWidth="1"/>
    <col min="4894" max="4894" width="16.140625" style="184" customWidth="1"/>
    <col min="4895" max="4895" width="9" style="184"/>
    <col min="4896" max="4896" width="13" style="184" customWidth="1"/>
    <col min="4897" max="5123" width="9" style="184"/>
    <col min="5124" max="5124" width="2.5703125" style="184" customWidth="1"/>
    <col min="5125" max="5125" width="27.5703125" style="184" customWidth="1"/>
    <col min="5126" max="5126" width="16.140625" style="184" customWidth="1"/>
    <col min="5127" max="5142" width="3.5703125" style="184" customWidth="1"/>
    <col min="5143" max="5143" width="5.5703125" style="184" customWidth="1"/>
    <col min="5144" max="5144" width="11.5703125" style="184" customWidth="1"/>
    <col min="5145" max="5145" width="15.7109375" style="184" customWidth="1"/>
    <col min="5146" max="5148" width="13.42578125" style="184" customWidth="1"/>
    <col min="5149" max="5149" width="15.7109375" style="184" customWidth="1"/>
    <col min="5150" max="5150" width="16.140625" style="184" customWidth="1"/>
    <col min="5151" max="5151" width="9" style="184"/>
    <col min="5152" max="5152" width="13" style="184" customWidth="1"/>
    <col min="5153" max="5379" width="9" style="184"/>
    <col min="5380" max="5380" width="2.5703125" style="184" customWidth="1"/>
    <col min="5381" max="5381" width="27.5703125" style="184" customWidth="1"/>
    <col min="5382" max="5382" width="16.140625" style="184" customWidth="1"/>
    <col min="5383" max="5398" width="3.5703125" style="184" customWidth="1"/>
    <col min="5399" max="5399" width="5.5703125" style="184" customWidth="1"/>
    <col min="5400" max="5400" width="11.5703125" style="184" customWidth="1"/>
    <col min="5401" max="5401" width="15.7109375" style="184" customWidth="1"/>
    <col min="5402" max="5404" width="13.42578125" style="184" customWidth="1"/>
    <col min="5405" max="5405" width="15.7109375" style="184" customWidth="1"/>
    <col min="5406" max="5406" width="16.140625" style="184" customWidth="1"/>
    <col min="5407" max="5407" width="9" style="184"/>
    <col min="5408" max="5408" width="13" style="184" customWidth="1"/>
    <col min="5409" max="5635" width="9" style="184"/>
    <col min="5636" max="5636" width="2.5703125" style="184" customWidth="1"/>
    <col min="5637" max="5637" width="27.5703125" style="184" customWidth="1"/>
    <col min="5638" max="5638" width="16.140625" style="184" customWidth="1"/>
    <col min="5639" max="5654" width="3.5703125" style="184" customWidth="1"/>
    <col min="5655" max="5655" width="5.5703125" style="184" customWidth="1"/>
    <col min="5656" max="5656" width="11.5703125" style="184" customWidth="1"/>
    <col min="5657" max="5657" width="15.7109375" style="184" customWidth="1"/>
    <col min="5658" max="5660" width="13.42578125" style="184" customWidth="1"/>
    <col min="5661" max="5661" width="15.7109375" style="184" customWidth="1"/>
    <col min="5662" max="5662" width="16.140625" style="184" customWidth="1"/>
    <col min="5663" max="5663" width="9" style="184"/>
    <col min="5664" max="5664" width="13" style="184" customWidth="1"/>
    <col min="5665" max="5891" width="9" style="184"/>
    <col min="5892" max="5892" width="2.5703125" style="184" customWidth="1"/>
    <col min="5893" max="5893" width="27.5703125" style="184" customWidth="1"/>
    <col min="5894" max="5894" width="16.140625" style="184" customWidth="1"/>
    <col min="5895" max="5910" width="3.5703125" style="184" customWidth="1"/>
    <col min="5911" max="5911" width="5.5703125" style="184" customWidth="1"/>
    <col min="5912" max="5912" width="11.5703125" style="184" customWidth="1"/>
    <col min="5913" max="5913" width="15.7109375" style="184" customWidth="1"/>
    <col min="5914" max="5916" width="13.42578125" style="184" customWidth="1"/>
    <col min="5917" max="5917" width="15.7109375" style="184" customWidth="1"/>
    <col min="5918" max="5918" width="16.140625" style="184" customWidth="1"/>
    <col min="5919" max="5919" width="9" style="184"/>
    <col min="5920" max="5920" width="13" style="184" customWidth="1"/>
    <col min="5921" max="6147" width="9" style="184"/>
    <col min="6148" max="6148" width="2.5703125" style="184" customWidth="1"/>
    <col min="6149" max="6149" width="27.5703125" style="184" customWidth="1"/>
    <col min="6150" max="6150" width="16.140625" style="184" customWidth="1"/>
    <col min="6151" max="6166" width="3.5703125" style="184" customWidth="1"/>
    <col min="6167" max="6167" width="5.5703125" style="184" customWidth="1"/>
    <col min="6168" max="6168" width="11.5703125" style="184" customWidth="1"/>
    <col min="6169" max="6169" width="15.7109375" style="184" customWidth="1"/>
    <col min="6170" max="6172" width="13.42578125" style="184" customWidth="1"/>
    <col min="6173" max="6173" width="15.7109375" style="184" customWidth="1"/>
    <col min="6174" max="6174" width="16.140625" style="184" customWidth="1"/>
    <col min="6175" max="6175" width="9" style="184"/>
    <col min="6176" max="6176" width="13" style="184" customWidth="1"/>
    <col min="6177" max="6403" width="9" style="184"/>
    <col min="6404" max="6404" width="2.5703125" style="184" customWidth="1"/>
    <col min="6405" max="6405" width="27.5703125" style="184" customWidth="1"/>
    <col min="6406" max="6406" width="16.140625" style="184" customWidth="1"/>
    <col min="6407" max="6422" width="3.5703125" style="184" customWidth="1"/>
    <col min="6423" max="6423" width="5.5703125" style="184" customWidth="1"/>
    <col min="6424" max="6424" width="11.5703125" style="184" customWidth="1"/>
    <col min="6425" max="6425" width="15.7109375" style="184" customWidth="1"/>
    <col min="6426" max="6428" width="13.42578125" style="184" customWidth="1"/>
    <col min="6429" max="6429" width="15.7109375" style="184" customWidth="1"/>
    <col min="6430" max="6430" width="16.140625" style="184" customWidth="1"/>
    <col min="6431" max="6431" width="9" style="184"/>
    <col min="6432" max="6432" width="13" style="184" customWidth="1"/>
    <col min="6433" max="6659" width="9" style="184"/>
    <col min="6660" max="6660" width="2.5703125" style="184" customWidth="1"/>
    <col min="6661" max="6661" width="27.5703125" style="184" customWidth="1"/>
    <col min="6662" max="6662" width="16.140625" style="184" customWidth="1"/>
    <col min="6663" max="6678" width="3.5703125" style="184" customWidth="1"/>
    <col min="6679" max="6679" width="5.5703125" style="184" customWidth="1"/>
    <col min="6680" max="6680" width="11.5703125" style="184" customWidth="1"/>
    <col min="6681" max="6681" width="15.7109375" style="184" customWidth="1"/>
    <col min="6682" max="6684" width="13.42578125" style="184" customWidth="1"/>
    <col min="6685" max="6685" width="15.7109375" style="184" customWidth="1"/>
    <col min="6686" max="6686" width="16.140625" style="184" customWidth="1"/>
    <col min="6687" max="6687" width="9" style="184"/>
    <col min="6688" max="6688" width="13" style="184" customWidth="1"/>
    <col min="6689" max="6915" width="9" style="184"/>
    <col min="6916" max="6916" width="2.5703125" style="184" customWidth="1"/>
    <col min="6917" max="6917" width="27.5703125" style="184" customWidth="1"/>
    <col min="6918" max="6918" width="16.140625" style="184" customWidth="1"/>
    <col min="6919" max="6934" width="3.5703125" style="184" customWidth="1"/>
    <col min="6935" max="6935" width="5.5703125" style="184" customWidth="1"/>
    <col min="6936" max="6936" width="11.5703125" style="184" customWidth="1"/>
    <col min="6937" max="6937" width="15.7109375" style="184" customWidth="1"/>
    <col min="6938" max="6940" width="13.42578125" style="184" customWidth="1"/>
    <col min="6941" max="6941" width="15.7109375" style="184" customWidth="1"/>
    <col min="6942" max="6942" width="16.140625" style="184" customWidth="1"/>
    <col min="6943" max="6943" width="9" style="184"/>
    <col min="6944" max="6944" width="13" style="184" customWidth="1"/>
    <col min="6945" max="7171" width="9" style="184"/>
    <col min="7172" max="7172" width="2.5703125" style="184" customWidth="1"/>
    <col min="7173" max="7173" width="27.5703125" style="184" customWidth="1"/>
    <col min="7174" max="7174" width="16.140625" style="184" customWidth="1"/>
    <col min="7175" max="7190" width="3.5703125" style="184" customWidth="1"/>
    <col min="7191" max="7191" width="5.5703125" style="184" customWidth="1"/>
    <col min="7192" max="7192" width="11.5703125" style="184" customWidth="1"/>
    <col min="7193" max="7193" width="15.7109375" style="184" customWidth="1"/>
    <col min="7194" max="7196" width="13.42578125" style="184" customWidth="1"/>
    <col min="7197" max="7197" width="15.7109375" style="184" customWidth="1"/>
    <col min="7198" max="7198" width="16.140625" style="184" customWidth="1"/>
    <col min="7199" max="7199" width="9" style="184"/>
    <col min="7200" max="7200" width="13" style="184" customWidth="1"/>
    <col min="7201" max="7427" width="9" style="184"/>
    <col min="7428" max="7428" width="2.5703125" style="184" customWidth="1"/>
    <col min="7429" max="7429" width="27.5703125" style="184" customWidth="1"/>
    <col min="7430" max="7430" width="16.140625" style="184" customWidth="1"/>
    <col min="7431" max="7446" width="3.5703125" style="184" customWidth="1"/>
    <col min="7447" max="7447" width="5.5703125" style="184" customWidth="1"/>
    <col min="7448" max="7448" width="11.5703125" style="184" customWidth="1"/>
    <col min="7449" max="7449" width="15.7109375" style="184" customWidth="1"/>
    <col min="7450" max="7452" width="13.42578125" style="184" customWidth="1"/>
    <col min="7453" max="7453" width="15.7109375" style="184" customWidth="1"/>
    <col min="7454" max="7454" width="16.140625" style="184" customWidth="1"/>
    <col min="7455" max="7455" width="9" style="184"/>
    <col min="7456" max="7456" width="13" style="184" customWidth="1"/>
    <col min="7457" max="7683" width="9" style="184"/>
    <col min="7684" max="7684" width="2.5703125" style="184" customWidth="1"/>
    <col min="7685" max="7685" width="27.5703125" style="184" customWidth="1"/>
    <col min="7686" max="7686" width="16.140625" style="184" customWidth="1"/>
    <col min="7687" max="7702" width="3.5703125" style="184" customWidth="1"/>
    <col min="7703" max="7703" width="5.5703125" style="184" customWidth="1"/>
    <col min="7704" max="7704" width="11.5703125" style="184" customWidth="1"/>
    <col min="7705" max="7705" width="15.7109375" style="184" customWidth="1"/>
    <col min="7706" max="7708" width="13.42578125" style="184" customWidth="1"/>
    <col min="7709" max="7709" width="15.7109375" style="184" customWidth="1"/>
    <col min="7710" max="7710" width="16.140625" style="184" customWidth="1"/>
    <col min="7711" max="7711" width="9" style="184"/>
    <col min="7712" max="7712" width="13" style="184" customWidth="1"/>
    <col min="7713" max="7939" width="9" style="184"/>
    <col min="7940" max="7940" width="2.5703125" style="184" customWidth="1"/>
    <col min="7941" max="7941" width="27.5703125" style="184" customWidth="1"/>
    <col min="7942" max="7942" width="16.140625" style="184" customWidth="1"/>
    <col min="7943" max="7958" width="3.5703125" style="184" customWidth="1"/>
    <col min="7959" max="7959" width="5.5703125" style="184" customWidth="1"/>
    <col min="7960" max="7960" width="11.5703125" style="184" customWidth="1"/>
    <col min="7961" max="7961" width="15.7109375" style="184" customWidth="1"/>
    <col min="7962" max="7964" width="13.42578125" style="184" customWidth="1"/>
    <col min="7965" max="7965" width="15.7109375" style="184" customWidth="1"/>
    <col min="7966" max="7966" width="16.140625" style="184" customWidth="1"/>
    <col min="7967" max="7967" width="9" style="184"/>
    <col min="7968" max="7968" width="13" style="184" customWidth="1"/>
    <col min="7969" max="8195" width="9" style="184"/>
    <col min="8196" max="8196" width="2.5703125" style="184" customWidth="1"/>
    <col min="8197" max="8197" width="27.5703125" style="184" customWidth="1"/>
    <col min="8198" max="8198" width="16.140625" style="184" customWidth="1"/>
    <col min="8199" max="8214" width="3.5703125" style="184" customWidth="1"/>
    <col min="8215" max="8215" width="5.5703125" style="184" customWidth="1"/>
    <col min="8216" max="8216" width="11.5703125" style="184" customWidth="1"/>
    <col min="8217" max="8217" width="15.7109375" style="184" customWidth="1"/>
    <col min="8218" max="8220" width="13.42578125" style="184" customWidth="1"/>
    <col min="8221" max="8221" width="15.7109375" style="184" customWidth="1"/>
    <col min="8222" max="8222" width="16.140625" style="184" customWidth="1"/>
    <col min="8223" max="8223" width="9" style="184"/>
    <col min="8224" max="8224" width="13" style="184" customWidth="1"/>
    <col min="8225" max="8451" width="9" style="184"/>
    <col min="8452" max="8452" width="2.5703125" style="184" customWidth="1"/>
    <col min="8453" max="8453" width="27.5703125" style="184" customWidth="1"/>
    <col min="8454" max="8454" width="16.140625" style="184" customWidth="1"/>
    <col min="8455" max="8470" width="3.5703125" style="184" customWidth="1"/>
    <col min="8471" max="8471" width="5.5703125" style="184" customWidth="1"/>
    <col min="8472" max="8472" width="11.5703125" style="184" customWidth="1"/>
    <col min="8473" max="8473" width="15.7109375" style="184" customWidth="1"/>
    <col min="8474" max="8476" width="13.42578125" style="184" customWidth="1"/>
    <col min="8477" max="8477" width="15.7109375" style="184" customWidth="1"/>
    <col min="8478" max="8478" width="16.140625" style="184" customWidth="1"/>
    <col min="8479" max="8479" width="9" style="184"/>
    <col min="8480" max="8480" width="13" style="184" customWidth="1"/>
    <col min="8481" max="8707" width="9" style="184"/>
    <col min="8708" max="8708" width="2.5703125" style="184" customWidth="1"/>
    <col min="8709" max="8709" width="27.5703125" style="184" customWidth="1"/>
    <col min="8710" max="8710" width="16.140625" style="184" customWidth="1"/>
    <col min="8711" max="8726" width="3.5703125" style="184" customWidth="1"/>
    <col min="8727" max="8727" width="5.5703125" style="184" customWidth="1"/>
    <col min="8728" max="8728" width="11.5703125" style="184" customWidth="1"/>
    <col min="8729" max="8729" width="15.7109375" style="184" customWidth="1"/>
    <col min="8730" max="8732" width="13.42578125" style="184" customWidth="1"/>
    <col min="8733" max="8733" width="15.7109375" style="184" customWidth="1"/>
    <col min="8734" max="8734" width="16.140625" style="184" customWidth="1"/>
    <col min="8735" max="8735" width="9" style="184"/>
    <col min="8736" max="8736" width="13" style="184" customWidth="1"/>
    <col min="8737" max="8963" width="9" style="184"/>
    <col min="8964" max="8964" width="2.5703125" style="184" customWidth="1"/>
    <col min="8965" max="8965" width="27.5703125" style="184" customWidth="1"/>
    <col min="8966" max="8966" width="16.140625" style="184" customWidth="1"/>
    <col min="8967" max="8982" width="3.5703125" style="184" customWidth="1"/>
    <col min="8983" max="8983" width="5.5703125" style="184" customWidth="1"/>
    <col min="8984" max="8984" width="11.5703125" style="184" customWidth="1"/>
    <col min="8985" max="8985" width="15.7109375" style="184" customWidth="1"/>
    <col min="8986" max="8988" width="13.42578125" style="184" customWidth="1"/>
    <col min="8989" max="8989" width="15.7109375" style="184" customWidth="1"/>
    <col min="8990" max="8990" width="16.140625" style="184" customWidth="1"/>
    <col min="8991" max="8991" width="9" style="184"/>
    <col min="8992" max="8992" width="13" style="184" customWidth="1"/>
    <col min="8993" max="9219" width="9" style="184"/>
    <col min="9220" max="9220" width="2.5703125" style="184" customWidth="1"/>
    <col min="9221" max="9221" width="27.5703125" style="184" customWidth="1"/>
    <col min="9222" max="9222" width="16.140625" style="184" customWidth="1"/>
    <col min="9223" max="9238" width="3.5703125" style="184" customWidth="1"/>
    <col min="9239" max="9239" width="5.5703125" style="184" customWidth="1"/>
    <col min="9240" max="9240" width="11.5703125" style="184" customWidth="1"/>
    <col min="9241" max="9241" width="15.7109375" style="184" customWidth="1"/>
    <col min="9242" max="9244" width="13.42578125" style="184" customWidth="1"/>
    <col min="9245" max="9245" width="15.7109375" style="184" customWidth="1"/>
    <col min="9246" max="9246" width="16.140625" style="184" customWidth="1"/>
    <col min="9247" max="9247" width="9" style="184"/>
    <col min="9248" max="9248" width="13" style="184" customWidth="1"/>
    <col min="9249" max="9475" width="9" style="184"/>
    <col min="9476" max="9476" width="2.5703125" style="184" customWidth="1"/>
    <col min="9477" max="9477" width="27.5703125" style="184" customWidth="1"/>
    <col min="9478" max="9478" width="16.140625" style="184" customWidth="1"/>
    <col min="9479" max="9494" width="3.5703125" style="184" customWidth="1"/>
    <col min="9495" max="9495" width="5.5703125" style="184" customWidth="1"/>
    <col min="9496" max="9496" width="11.5703125" style="184" customWidth="1"/>
    <col min="9497" max="9497" width="15.7109375" style="184" customWidth="1"/>
    <col min="9498" max="9500" width="13.42578125" style="184" customWidth="1"/>
    <col min="9501" max="9501" width="15.7109375" style="184" customWidth="1"/>
    <col min="9502" max="9502" width="16.140625" style="184" customWidth="1"/>
    <col min="9503" max="9503" width="9" style="184"/>
    <col min="9504" max="9504" width="13" style="184" customWidth="1"/>
    <col min="9505" max="9731" width="9" style="184"/>
    <col min="9732" max="9732" width="2.5703125" style="184" customWidth="1"/>
    <col min="9733" max="9733" width="27.5703125" style="184" customWidth="1"/>
    <col min="9734" max="9734" width="16.140625" style="184" customWidth="1"/>
    <col min="9735" max="9750" width="3.5703125" style="184" customWidth="1"/>
    <col min="9751" max="9751" width="5.5703125" style="184" customWidth="1"/>
    <col min="9752" max="9752" width="11.5703125" style="184" customWidth="1"/>
    <col min="9753" max="9753" width="15.7109375" style="184" customWidth="1"/>
    <col min="9754" max="9756" width="13.42578125" style="184" customWidth="1"/>
    <col min="9757" max="9757" width="15.7109375" style="184" customWidth="1"/>
    <col min="9758" max="9758" width="16.140625" style="184" customWidth="1"/>
    <col min="9759" max="9759" width="9" style="184"/>
    <col min="9760" max="9760" width="13" style="184" customWidth="1"/>
    <col min="9761" max="9987" width="9" style="184"/>
    <col min="9988" max="9988" width="2.5703125" style="184" customWidth="1"/>
    <col min="9989" max="9989" width="27.5703125" style="184" customWidth="1"/>
    <col min="9990" max="9990" width="16.140625" style="184" customWidth="1"/>
    <col min="9991" max="10006" width="3.5703125" style="184" customWidth="1"/>
    <col min="10007" max="10007" width="5.5703125" style="184" customWidth="1"/>
    <col min="10008" max="10008" width="11.5703125" style="184" customWidth="1"/>
    <col min="10009" max="10009" width="15.7109375" style="184" customWidth="1"/>
    <col min="10010" max="10012" width="13.42578125" style="184" customWidth="1"/>
    <col min="10013" max="10013" width="15.7109375" style="184" customWidth="1"/>
    <col min="10014" max="10014" width="16.140625" style="184" customWidth="1"/>
    <col min="10015" max="10015" width="9" style="184"/>
    <col min="10016" max="10016" width="13" style="184" customWidth="1"/>
    <col min="10017" max="10243" width="9" style="184"/>
    <col min="10244" max="10244" width="2.5703125" style="184" customWidth="1"/>
    <col min="10245" max="10245" width="27.5703125" style="184" customWidth="1"/>
    <col min="10246" max="10246" width="16.140625" style="184" customWidth="1"/>
    <col min="10247" max="10262" width="3.5703125" style="184" customWidth="1"/>
    <col min="10263" max="10263" width="5.5703125" style="184" customWidth="1"/>
    <col min="10264" max="10264" width="11.5703125" style="184" customWidth="1"/>
    <col min="10265" max="10265" width="15.7109375" style="184" customWidth="1"/>
    <col min="10266" max="10268" width="13.42578125" style="184" customWidth="1"/>
    <col min="10269" max="10269" width="15.7109375" style="184" customWidth="1"/>
    <col min="10270" max="10270" width="16.140625" style="184" customWidth="1"/>
    <col min="10271" max="10271" width="9" style="184"/>
    <col min="10272" max="10272" width="13" style="184" customWidth="1"/>
    <col min="10273" max="10499" width="9" style="184"/>
    <col min="10500" max="10500" width="2.5703125" style="184" customWidth="1"/>
    <col min="10501" max="10501" width="27.5703125" style="184" customWidth="1"/>
    <col min="10502" max="10502" width="16.140625" style="184" customWidth="1"/>
    <col min="10503" max="10518" width="3.5703125" style="184" customWidth="1"/>
    <col min="10519" max="10519" width="5.5703125" style="184" customWidth="1"/>
    <col min="10520" max="10520" width="11.5703125" style="184" customWidth="1"/>
    <col min="10521" max="10521" width="15.7109375" style="184" customWidth="1"/>
    <col min="10522" max="10524" width="13.42578125" style="184" customWidth="1"/>
    <col min="10525" max="10525" width="15.7109375" style="184" customWidth="1"/>
    <col min="10526" max="10526" width="16.140625" style="184" customWidth="1"/>
    <col min="10527" max="10527" width="9" style="184"/>
    <col min="10528" max="10528" width="13" style="184" customWidth="1"/>
    <col min="10529" max="10755" width="9" style="184"/>
    <col min="10756" max="10756" width="2.5703125" style="184" customWidth="1"/>
    <col min="10757" max="10757" width="27.5703125" style="184" customWidth="1"/>
    <col min="10758" max="10758" width="16.140625" style="184" customWidth="1"/>
    <col min="10759" max="10774" width="3.5703125" style="184" customWidth="1"/>
    <col min="10775" max="10775" width="5.5703125" style="184" customWidth="1"/>
    <col min="10776" max="10776" width="11.5703125" style="184" customWidth="1"/>
    <col min="10777" max="10777" width="15.7109375" style="184" customWidth="1"/>
    <col min="10778" max="10780" width="13.42578125" style="184" customWidth="1"/>
    <col min="10781" max="10781" width="15.7109375" style="184" customWidth="1"/>
    <col min="10782" max="10782" width="16.140625" style="184" customWidth="1"/>
    <col min="10783" max="10783" width="9" style="184"/>
    <col min="10784" max="10784" width="13" style="184" customWidth="1"/>
    <col min="10785" max="11011" width="9" style="184"/>
    <col min="11012" max="11012" width="2.5703125" style="184" customWidth="1"/>
    <col min="11013" max="11013" width="27.5703125" style="184" customWidth="1"/>
    <col min="11014" max="11014" width="16.140625" style="184" customWidth="1"/>
    <col min="11015" max="11030" width="3.5703125" style="184" customWidth="1"/>
    <col min="11031" max="11031" width="5.5703125" style="184" customWidth="1"/>
    <col min="11032" max="11032" width="11.5703125" style="184" customWidth="1"/>
    <col min="11033" max="11033" width="15.7109375" style="184" customWidth="1"/>
    <col min="11034" max="11036" width="13.42578125" style="184" customWidth="1"/>
    <col min="11037" max="11037" width="15.7109375" style="184" customWidth="1"/>
    <col min="11038" max="11038" width="16.140625" style="184" customWidth="1"/>
    <col min="11039" max="11039" width="9" style="184"/>
    <col min="11040" max="11040" width="13" style="184" customWidth="1"/>
    <col min="11041" max="11267" width="9" style="184"/>
    <col min="11268" max="11268" width="2.5703125" style="184" customWidth="1"/>
    <col min="11269" max="11269" width="27.5703125" style="184" customWidth="1"/>
    <col min="11270" max="11270" width="16.140625" style="184" customWidth="1"/>
    <col min="11271" max="11286" width="3.5703125" style="184" customWidth="1"/>
    <col min="11287" max="11287" width="5.5703125" style="184" customWidth="1"/>
    <col min="11288" max="11288" width="11.5703125" style="184" customWidth="1"/>
    <col min="11289" max="11289" width="15.7109375" style="184" customWidth="1"/>
    <col min="11290" max="11292" width="13.42578125" style="184" customWidth="1"/>
    <col min="11293" max="11293" width="15.7109375" style="184" customWidth="1"/>
    <col min="11294" max="11294" width="16.140625" style="184" customWidth="1"/>
    <col min="11295" max="11295" width="9" style="184"/>
    <col min="11296" max="11296" width="13" style="184" customWidth="1"/>
    <col min="11297" max="11523" width="9" style="184"/>
    <col min="11524" max="11524" width="2.5703125" style="184" customWidth="1"/>
    <col min="11525" max="11525" width="27.5703125" style="184" customWidth="1"/>
    <col min="11526" max="11526" width="16.140625" style="184" customWidth="1"/>
    <col min="11527" max="11542" width="3.5703125" style="184" customWidth="1"/>
    <col min="11543" max="11543" width="5.5703125" style="184" customWidth="1"/>
    <col min="11544" max="11544" width="11.5703125" style="184" customWidth="1"/>
    <col min="11545" max="11545" width="15.7109375" style="184" customWidth="1"/>
    <col min="11546" max="11548" width="13.42578125" style="184" customWidth="1"/>
    <col min="11549" max="11549" width="15.7109375" style="184" customWidth="1"/>
    <col min="11550" max="11550" width="16.140625" style="184" customWidth="1"/>
    <col min="11551" max="11551" width="9" style="184"/>
    <col min="11552" max="11552" width="13" style="184" customWidth="1"/>
    <col min="11553" max="11779" width="9" style="184"/>
    <col min="11780" max="11780" width="2.5703125" style="184" customWidth="1"/>
    <col min="11781" max="11781" width="27.5703125" style="184" customWidth="1"/>
    <col min="11782" max="11782" width="16.140625" style="184" customWidth="1"/>
    <col min="11783" max="11798" width="3.5703125" style="184" customWidth="1"/>
    <col min="11799" max="11799" width="5.5703125" style="184" customWidth="1"/>
    <col min="11800" max="11800" width="11.5703125" style="184" customWidth="1"/>
    <col min="11801" max="11801" width="15.7109375" style="184" customWidth="1"/>
    <col min="11802" max="11804" width="13.42578125" style="184" customWidth="1"/>
    <col min="11805" max="11805" width="15.7109375" style="184" customWidth="1"/>
    <col min="11806" max="11806" width="16.140625" style="184" customWidth="1"/>
    <col min="11807" max="11807" width="9" style="184"/>
    <col min="11808" max="11808" width="13" style="184" customWidth="1"/>
    <col min="11809" max="12035" width="9" style="184"/>
    <col min="12036" max="12036" width="2.5703125" style="184" customWidth="1"/>
    <col min="12037" max="12037" width="27.5703125" style="184" customWidth="1"/>
    <col min="12038" max="12038" width="16.140625" style="184" customWidth="1"/>
    <col min="12039" max="12054" width="3.5703125" style="184" customWidth="1"/>
    <col min="12055" max="12055" width="5.5703125" style="184" customWidth="1"/>
    <col min="12056" max="12056" width="11.5703125" style="184" customWidth="1"/>
    <col min="12057" max="12057" width="15.7109375" style="184" customWidth="1"/>
    <col min="12058" max="12060" width="13.42578125" style="184" customWidth="1"/>
    <col min="12061" max="12061" width="15.7109375" style="184" customWidth="1"/>
    <col min="12062" max="12062" width="16.140625" style="184" customWidth="1"/>
    <col min="12063" max="12063" width="9" style="184"/>
    <col min="12064" max="12064" width="13" style="184" customWidth="1"/>
    <col min="12065" max="12291" width="9" style="184"/>
    <col min="12292" max="12292" width="2.5703125" style="184" customWidth="1"/>
    <col min="12293" max="12293" width="27.5703125" style="184" customWidth="1"/>
    <col min="12294" max="12294" width="16.140625" style="184" customWidth="1"/>
    <col min="12295" max="12310" width="3.5703125" style="184" customWidth="1"/>
    <col min="12311" max="12311" width="5.5703125" style="184" customWidth="1"/>
    <col min="12312" max="12312" width="11.5703125" style="184" customWidth="1"/>
    <col min="12313" max="12313" width="15.7109375" style="184" customWidth="1"/>
    <col min="12314" max="12316" width="13.42578125" style="184" customWidth="1"/>
    <col min="12317" max="12317" width="15.7109375" style="184" customWidth="1"/>
    <col min="12318" max="12318" width="16.140625" style="184" customWidth="1"/>
    <col min="12319" max="12319" width="9" style="184"/>
    <col min="12320" max="12320" width="13" style="184" customWidth="1"/>
    <col min="12321" max="12547" width="9" style="184"/>
    <col min="12548" max="12548" width="2.5703125" style="184" customWidth="1"/>
    <col min="12549" max="12549" width="27.5703125" style="184" customWidth="1"/>
    <col min="12550" max="12550" width="16.140625" style="184" customWidth="1"/>
    <col min="12551" max="12566" width="3.5703125" style="184" customWidth="1"/>
    <col min="12567" max="12567" width="5.5703125" style="184" customWidth="1"/>
    <col min="12568" max="12568" width="11.5703125" style="184" customWidth="1"/>
    <col min="12569" max="12569" width="15.7109375" style="184" customWidth="1"/>
    <col min="12570" max="12572" width="13.42578125" style="184" customWidth="1"/>
    <col min="12573" max="12573" width="15.7109375" style="184" customWidth="1"/>
    <col min="12574" max="12574" width="16.140625" style="184" customWidth="1"/>
    <col min="12575" max="12575" width="9" style="184"/>
    <col min="12576" max="12576" width="13" style="184" customWidth="1"/>
    <col min="12577" max="12803" width="9" style="184"/>
    <col min="12804" max="12804" width="2.5703125" style="184" customWidth="1"/>
    <col min="12805" max="12805" width="27.5703125" style="184" customWidth="1"/>
    <col min="12806" max="12806" width="16.140625" style="184" customWidth="1"/>
    <col min="12807" max="12822" width="3.5703125" style="184" customWidth="1"/>
    <col min="12823" max="12823" width="5.5703125" style="184" customWidth="1"/>
    <col min="12824" max="12824" width="11.5703125" style="184" customWidth="1"/>
    <col min="12825" max="12825" width="15.7109375" style="184" customWidth="1"/>
    <col min="12826" max="12828" width="13.42578125" style="184" customWidth="1"/>
    <col min="12829" max="12829" width="15.7109375" style="184" customWidth="1"/>
    <col min="12830" max="12830" width="16.140625" style="184" customWidth="1"/>
    <col min="12831" max="12831" width="9" style="184"/>
    <col min="12832" max="12832" width="13" style="184" customWidth="1"/>
    <col min="12833" max="13059" width="9" style="184"/>
    <col min="13060" max="13060" width="2.5703125" style="184" customWidth="1"/>
    <col min="13061" max="13061" width="27.5703125" style="184" customWidth="1"/>
    <col min="13062" max="13062" width="16.140625" style="184" customWidth="1"/>
    <col min="13063" max="13078" width="3.5703125" style="184" customWidth="1"/>
    <col min="13079" max="13079" width="5.5703125" style="184" customWidth="1"/>
    <col min="13080" max="13080" width="11.5703125" style="184" customWidth="1"/>
    <col min="13081" max="13081" width="15.7109375" style="184" customWidth="1"/>
    <col min="13082" max="13084" width="13.42578125" style="184" customWidth="1"/>
    <col min="13085" max="13085" width="15.7109375" style="184" customWidth="1"/>
    <col min="13086" max="13086" width="16.140625" style="184" customWidth="1"/>
    <col min="13087" max="13087" width="9" style="184"/>
    <col min="13088" max="13088" width="13" style="184" customWidth="1"/>
    <col min="13089" max="13315" width="9" style="184"/>
    <col min="13316" max="13316" width="2.5703125" style="184" customWidth="1"/>
    <col min="13317" max="13317" width="27.5703125" style="184" customWidth="1"/>
    <col min="13318" max="13318" width="16.140625" style="184" customWidth="1"/>
    <col min="13319" max="13334" width="3.5703125" style="184" customWidth="1"/>
    <col min="13335" max="13335" width="5.5703125" style="184" customWidth="1"/>
    <col min="13336" max="13336" width="11.5703125" style="184" customWidth="1"/>
    <col min="13337" max="13337" width="15.7109375" style="184" customWidth="1"/>
    <col min="13338" max="13340" width="13.42578125" style="184" customWidth="1"/>
    <col min="13341" max="13341" width="15.7109375" style="184" customWidth="1"/>
    <col min="13342" max="13342" width="16.140625" style="184" customWidth="1"/>
    <col min="13343" max="13343" width="9" style="184"/>
    <col min="13344" max="13344" width="13" style="184" customWidth="1"/>
    <col min="13345" max="13571" width="9" style="184"/>
    <col min="13572" max="13572" width="2.5703125" style="184" customWidth="1"/>
    <col min="13573" max="13573" width="27.5703125" style="184" customWidth="1"/>
    <col min="13574" max="13574" width="16.140625" style="184" customWidth="1"/>
    <col min="13575" max="13590" width="3.5703125" style="184" customWidth="1"/>
    <col min="13591" max="13591" width="5.5703125" style="184" customWidth="1"/>
    <col min="13592" max="13592" width="11.5703125" style="184" customWidth="1"/>
    <col min="13593" max="13593" width="15.7109375" style="184" customWidth="1"/>
    <col min="13594" max="13596" width="13.42578125" style="184" customWidth="1"/>
    <col min="13597" max="13597" width="15.7109375" style="184" customWidth="1"/>
    <col min="13598" max="13598" width="16.140625" style="184" customWidth="1"/>
    <col min="13599" max="13599" width="9" style="184"/>
    <col min="13600" max="13600" width="13" style="184" customWidth="1"/>
    <col min="13601" max="13827" width="9" style="184"/>
    <col min="13828" max="13828" width="2.5703125" style="184" customWidth="1"/>
    <col min="13829" max="13829" width="27.5703125" style="184" customWidth="1"/>
    <col min="13830" max="13830" width="16.140625" style="184" customWidth="1"/>
    <col min="13831" max="13846" width="3.5703125" style="184" customWidth="1"/>
    <col min="13847" max="13847" width="5.5703125" style="184" customWidth="1"/>
    <col min="13848" max="13848" width="11.5703125" style="184" customWidth="1"/>
    <col min="13849" max="13849" width="15.7109375" style="184" customWidth="1"/>
    <col min="13850" max="13852" width="13.42578125" style="184" customWidth="1"/>
    <col min="13853" max="13853" width="15.7109375" style="184" customWidth="1"/>
    <col min="13854" max="13854" width="16.140625" style="184" customWidth="1"/>
    <col min="13855" max="13855" width="9" style="184"/>
    <col min="13856" max="13856" width="13" style="184" customWidth="1"/>
    <col min="13857" max="14083" width="9" style="184"/>
    <col min="14084" max="14084" width="2.5703125" style="184" customWidth="1"/>
    <col min="14085" max="14085" width="27.5703125" style="184" customWidth="1"/>
    <col min="14086" max="14086" width="16.140625" style="184" customWidth="1"/>
    <col min="14087" max="14102" width="3.5703125" style="184" customWidth="1"/>
    <col min="14103" max="14103" width="5.5703125" style="184" customWidth="1"/>
    <col min="14104" max="14104" width="11.5703125" style="184" customWidth="1"/>
    <col min="14105" max="14105" width="15.7109375" style="184" customWidth="1"/>
    <col min="14106" max="14108" width="13.42578125" style="184" customWidth="1"/>
    <col min="14109" max="14109" width="15.7109375" style="184" customWidth="1"/>
    <col min="14110" max="14110" width="16.140625" style="184" customWidth="1"/>
    <col min="14111" max="14111" width="9" style="184"/>
    <col min="14112" max="14112" width="13" style="184" customWidth="1"/>
    <col min="14113" max="14339" width="9" style="184"/>
    <col min="14340" max="14340" width="2.5703125" style="184" customWidth="1"/>
    <col min="14341" max="14341" width="27.5703125" style="184" customWidth="1"/>
    <col min="14342" max="14342" width="16.140625" style="184" customWidth="1"/>
    <col min="14343" max="14358" width="3.5703125" style="184" customWidth="1"/>
    <col min="14359" max="14359" width="5.5703125" style="184" customWidth="1"/>
    <col min="14360" max="14360" width="11.5703125" style="184" customWidth="1"/>
    <col min="14361" max="14361" width="15.7109375" style="184" customWidth="1"/>
    <col min="14362" max="14364" width="13.42578125" style="184" customWidth="1"/>
    <col min="14365" max="14365" width="15.7109375" style="184" customWidth="1"/>
    <col min="14366" max="14366" width="16.140625" style="184" customWidth="1"/>
    <col min="14367" max="14367" width="9" style="184"/>
    <col min="14368" max="14368" width="13" style="184" customWidth="1"/>
    <col min="14369" max="14595" width="9" style="184"/>
    <col min="14596" max="14596" width="2.5703125" style="184" customWidth="1"/>
    <col min="14597" max="14597" width="27.5703125" style="184" customWidth="1"/>
    <col min="14598" max="14598" width="16.140625" style="184" customWidth="1"/>
    <col min="14599" max="14614" width="3.5703125" style="184" customWidth="1"/>
    <col min="14615" max="14615" width="5.5703125" style="184" customWidth="1"/>
    <col min="14616" max="14616" width="11.5703125" style="184" customWidth="1"/>
    <col min="14617" max="14617" width="15.7109375" style="184" customWidth="1"/>
    <col min="14618" max="14620" width="13.42578125" style="184" customWidth="1"/>
    <col min="14621" max="14621" width="15.7109375" style="184" customWidth="1"/>
    <col min="14622" max="14622" width="16.140625" style="184" customWidth="1"/>
    <col min="14623" max="14623" width="9" style="184"/>
    <col min="14624" max="14624" width="13" style="184" customWidth="1"/>
    <col min="14625" max="14851" width="9" style="184"/>
    <col min="14852" max="14852" width="2.5703125" style="184" customWidth="1"/>
    <col min="14853" max="14853" width="27.5703125" style="184" customWidth="1"/>
    <col min="14854" max="14854" width="16.140625" style="184" customWidth="1"/>
    <col min="14855" max="14870" width="3.5703125" style="184" customWidth="1"/>
    <col min="14871" max="14871" width="5.5703125" style="184" customWidth="1"/>
    <col min="14872" max="14872" width="11.5703125" style="184" customWidth="1"/>
    <col min="14873" max="14873" width="15.7109375" style="184" customWidth="1"/>
    <col min="14874" max="14876" width="13.42578125" style="184" customWidth="1"/>
    <col min="14877" max="14877" width="15.7109375" style="184" customWidth="1"/>
    <col min="14878" max="14878" width="16.140625" style="184" customWidth="1"/>
    <col min="14879" max="14879" width="9" style="184"/>
    <col min="14880" max="14880" width="13" style="184" customWidth="1"/>
    <col min="14881" max="15107" width="9" style="184"/>
    <col min="15108" max="15108" width="2.5703125" style="184" customWidth="1"/>
    <col min="15109" max="15109" width="27.5703125" style="184" customWidth="1"/>
    <col min="15110" max="15110" width="16.140625" style="184" customWidth="1"/>
    <col min="15111" max="15126" width="3.5703125" style="184" customWidth="1"/>
    <col min="15127" max="15127" width="5.5703125" style="184" customWidth="1"/>
    <col min="15128" max="15128" width="11.5703125" style="184" customWidth="1"/>
    <col min="15129" max="15129" width="15.7109375" style="184" customWidth="1"/>
    <col min="15130" max="15132" width="13.42578125" style="184" customWidth="1"/>
    <col min="15133" max="15133" width="15.7109375" style="184" customWidth="1"/>
    <col min="15134" max="15134" width="16.140625" style="184" customWidth="1"/>
    <col min="15135" max="15135" width="9" style="184"/>
    <col min="15136" max="15136" width="13" style="184" customWidth="1"/>
    <col min="15137" max="15363" width="9" style="184"/>
    <col min="15364" max="15364" width="2.5703125" style="184" customWidth="1"/>
    <col min="15365" max="15365" width="27.5703125" style="184" customWidth="1"/>
    <col min="15366" max="15366" width="16.140625" style="184" customWidth="1"/>
    <col min="15367" max="15382" width="3.5703125" style="184" customWidth="1"/>
    <col min="15383" max="15383" width="5.5703125" style="184" customWidth="1"/>
    <col min="15384" max="15384" width="11.5703125" style="184" customWidth="1"/>
    <col min="15385" max="15385" width="15.7109375" style="184" customWidth="1"/>
    <col min="15386" max="15388" width="13.42578125" style="184" customWidth="1"/>
    <col min="15389" max="15389" width="15.7109375" style="184" customWidth="1"/>
    <col min="15390" max="15390" width="16.140625" style="184" customWidth="1"/>
    <col min="15391" max="15391" width="9" style="184"/>
    <col min="15392" max="15392" width="13" style="184" customWidth="1"/>
    <col min="15393" max="15619" width="9" style="184"/>
    <col min="15620" max="15620" width="2.5703125" style="184" customWidth="1"/>
    <col min="15621" max="15621" width="27.5703125" style="184" customWidth="1"/>
    <col min="15622" max="15622" width="16.140625" style="184" customWidth="1"/>
    <col min="15623" max="15638" width="3.5703125" style="184" customWidth="1"/>
    <col min="15639" max="15639" width="5.5703125" style="184" customWidth="1"/>
    <col min="15640" max="15640" width="11.5703125" style="184" customWidth="1"/>
    <col min="15641" max="15641" width="15.7109375" style="184" customWidth="1"/>
    <col min="15642" max="15644" width="13.42578125" style="184" customWidth="1"/>
    <col min="15645" max="15645" width="15.7109375" style="184" customWidth="1"/>
    <col min="15646" max="15646" width="16.140625" style="184" customWidth="1"/>
    <col min="15647" max="15647" width="9" style="184"/>
    <col min="15648" max="15648" width="13" style="184" customWidth="1"/>
    <col min="15649" max="15875" width="9" style="184"/>
    <col min="15876" max="15876" width="2.5703125" style="184" customWidth="1"/>
    <col min="15877" max="15877" width="27.5703125" style="184" customWidth="1"/>
    <col min="15878" max="15878" width="16.140625" style="184" customWidth="1"/>
    <col min="15879" max="15894" width="3.5703125" style="184" customWidth="1"/>
    <col min="15895" max="15895" width="5.5703125" style="184" customWidth="1"/>
    <col min="15896" max="15896" width="11.5703125" style="184" customWidth="1"/>
    <col min="15897" max="15897" width="15.7109375" style="184" customWidth="1"/>
    <col min="15898" max="15900" width="13.42578125" style="184" customWidth="1"/>
    <col min="15901" max="15901" width="15.7109375" style="184" customWidth="1"/>
    <col min="15902" max="15902" width="16.140625" style="184" customWidth="1"/>
    <col min="15903" max="15903" width="9" style="184"/>
    <col min="15904" max="15904" width="13" style="184" customWidth="1"/>
    <col min="15905" max="16131" width="9" style="184"/>
    <col min="16132" max="16132" width="2.5703125" style="184" customWidth="1"/>
    <col min="16133" max="16133" width="27.5703125" style="184" customWidth="1"/>
    <col min="16134" max="16134" width="16.140625" style="184" customWidth="1"/>
    <col min="16135" max="16150" width="3.5703125" style="184" customWidth="1"/>
    <col min="16151" max="16151" width="5.5703125" style="184" customWidth="1"/>
    <col min="16152" max="16152" width="11.5703125" style="184" customWidth="1"/>
    <col min="16153" max="16153" width="15.7109375" style="184" customWidth="1"/>
    <col min="16154" max="16156" width="13.42578125" style="184" customWidth="1"/>
    <col min="16157" max="16157" width="15.7109375" style="184" customWidth="1"/>
    <col min="16158" max="16158" width="16.140625" style="184" customWidth="1"/>
    <col min="16159" max="16159" width="9" style="184"/>
    <col min="16160" max="16160" width="13" style="184" customWidth="1"/>
    <col min="16161" max="16384" width="9" style="184"/>
  </cols>
  <sheetData>
    <row r="1" spans="1:37" ht="14.25">
      <c r="B1" s="605" t="s">
        <v>56</v>
      </c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</row>
    <row r="2" spans="1:37" ht="15" customHeight="1">
      <c r="B2" s="606" t="s">
        <v>1103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</row>
    <row r="3" spans="1:37" ht="15" customHeight="1">
      <c r="B3" s="608" t="s">
        <v>57</v>
      </c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  <c r="AC3" s="608"/>
      <c r="AD3" s="608"/>
      <c r="AE3" s="608"/>
    </row>
    <row r="4" spans="1:37" ht="15" customHeight="1">
      <c r="B4" s="609" t="s">
        <v>204</v>
      </c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610"/>
      <c r="O4" s="610"/>
      <c r="P4" s="610"/>
      <c r="Q4" s="610"/>
      <c r="R4" s="610"/>
      <c r="S4" s="610"/>
      <c r="T4" s="610"/>
      <c r="U4" s="610"/>
      <c r="V4" s="610"/>
      <c r="W4" s="610"/>
      <c r="X4" s="610"/>
      <c r="Y4" s="610"/>
      <c r="Z4" s="610"/>
      <c r="AA4" s="610"/>
      <c r="AB4" s="610"/>
      <c r="AC4" s="610"/>
      <c r="AD4" s="610"/>
      <c r="AE4" s="610"/>
    </row>
    <row r="5" spans="1:37" ht="15" customHeight="1">
      <c r="B5" s="610" t="s">
        <v>1079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610"/>
      <c r="Q5" s="610"/>
      <c r="R5" s="610"/>
      <c r="S5" s="610"/>
      <c r="T5" s="610"/>
      <c r="U5" s="610"/>
      <c r="V5" s="610"/>
      <c r="W5" s="610"/>
      <c r="X5" s="610"/>
      <c r="Y5" s="610"/>
      <c r="Z5" s="610"/>
      <c r="AA5" s="610"/>
      <c r="AB5" s="610"/>
      <c r="AC5" s="610"/>
      <c r="AD5" s="610"/>
      <c r="AE5" s="610"/>
    </row>
    <row r="6" spans="1:37" ht="9.75" customHeight="1"/>
    <row r="7" spans="1:37" ht="12" customHeight="1">
      <c r="A7" s="611" t="s">
        <v>58</v>
      </c>
      <c r="B7" s="611"/>
      <c r="C7" s="611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  <c r="AD7" s="611"/>
      <c r="AE7" s="611"/>
    </row>
    <row r="8" spans="1:37" ht="15" customHeight="1">
      <c r="A8" s="346"/>
      <c r="B8" s="346"/>
      <c r="C8" s="346"/>
      <c r="D8" s="346"/>
      <c r="E8" s="346"/>
      <c r="F8" s="346"/>
      <c r="G8" s="346"/>
      <c r="H8" s="346"/>
      <c r="I8" s="346"/>
      <c r="J8" s="346"/>
      <c r="K8" s="346" t="s">
        <v>129</v>
      </c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  <c r="AA8" s="258"/>
      <c r="AB8" s="258"/>
      <c r="AC8" s="346"/>
      <c r="AD8" s="612" t="s">
        <v>59</v>
      </c>
      <c r="AE8" s="612"/>
    </row>
    <row r="9" spans="1:37" ht="5.0999999999999996" customHeight="1">
      <c r="V9" s="184"/>
      <c r="W9" s="184"/>
      <c r="X9" s="184"/>
      <c r="Y9" s="184"/>
      <c r="Z9" s="184"/>
      <c r="AA9" s="259"/>
      <c r="AB9" s="259"/>
      <c r="AC9" s="184"/>
      <c r="AD9" s="184"/>
      <c r="AE9" s="184"/>
    </row>
    <row r="10" spans="1:37" ht="17.100000000000001" customHeight="1" thickBot="1">
      <c r="B10" s="184" t="s">
        <v>60</v>
      </c>
      <c r="C10" s="353" t="s">
        <v>1078</v>
      </c>
      <c r="D10" s="223"/>
      <c r="E10" s="223"/>
      <c r="F10" s="223"/>
      <c r="G10" s="223"/>
      <c r="AC10" s="260" t="s">
        <v>1104</v>
      </c>
      <c r="AD10" s="613" t="s">
        <v>1149</v>
      </c>
      <c r="AE10" s="614"/>
    </row>
    <row r="11" spans="1:37" s="219" customFormat="1" ht="10.5">
      <c r="C11" s="183" t="s">
        <v>61</v>
      </c>
      <c r="V11" s="234"/>
      <c r="W11" s="234"/>
      <c r="X11" s="234"/>
      <c r="Y11" s="234"/>
      <c r="Z11" s="234"/>
      <c r="AA11" s="261"/>
      <c r="AB11" s="261"/>
      <c r="AC11" s="234"/>
      <c r="AD11" s="234"/>
      <c r="AE11" s="234"/>
    </row>
    <row r="12" spans="1:37" s="219" customFormat="1">
      <c r="C12" s="183"/>
      <c r="V12" s="234"/>
      <c r="W12" s="234"/>
      <c r="X12" s="234"/>
      <c r="Y12" s="234"/>
      <c r="Z12" s="234"/>
      <c r="AA12" s="261"/>
      <c r="AB12" s="261"/>
      <c r="AC12" s="234"/>
      <c r="AD12" s="234"/>
      <c r="AE12" s="234"/>
      <c r="AG12" s="332" t="s">
        <v>200</v>
      </c>
    </row>
    <row r="13" spans="1:37" s="220" customFormat="1" ht="15" customHeight="1">
      <c r="A13" s="615"/>
      <c r="B13" s="618" t="s">
        <v>62</v>
      </c>
      <c r="C13" s="618" t="s">
        <v>63</v>
      </c>
      <c r="D13" s="621" t="s">
        <v>64</v>
      </c>
      <c r="E13" s="622"/>
      <c r="F13" s="622"/>
      <c r="G13" s="622"/>
      <c r="H13" s="622"/>
      <c r="I13" s="622"/>
      <c r="J13" s="622"/>
      <c r="K13" s="622"/>
      <c r="L13" s="622"/>
      <c r="M13" s="622"/>
      <c r="N13" s="622"/>
      <c r="O13" s="622"/>
      <c r="P13" s="622"/>
      <c r="Q13" s="622"/>
      <c r="R13" s="622"/>
      <c r="S13" s="563"/>
      <c r="T13" s="623" t="s">
        <v>65</v>
      </c>
      <c r="U13" s="623" t="s">
        <v>1145</v>
      </c>
      <c r="V13" s="626" t="s">
        <v>66</v>
      </c>
      <c r="W13" s="629" t="s">
        <v>67</v>
      </c>
      <c r="X13" s="235" t="s">
        <v>55</v>
      </c>
      <c r="Y13" s="236" t="s">
        <v>68</v>
      </c>
      <c r="Z13" s="632" t="s">
        <v>1148</v>
      </c>
      <c r="AA13" s="235" t="s">
        <v>17</v>
      </c>
      <c r="AB13" s="235" t="s">
        <v>22</v>
      </c>
      <c r="AC13" s="635" t="s">
        <v>69</v>
      </c>
      <c r="AD13" s="236" t="s">
        <v>70</v>
      </c>
      <c r="AE13" s="236" t="s">
        <v>199</v>
      </c>
      <c r="AG13" s="330" t="s">
        <v>55</v>
      </c>
    </row>
    <row r="14" spans="1:37" s="220" customFormat="1" ht="15" customHeight="1">
      <c r="A14" s="616"/>
      <c r="B14" s="619"/>
      <c r="C14" s="619"/>
      <c r="D14" s="324">
        <v>16</v>
      </c>
      <c r="E14" s="325">
        <v>17</v>
      </c>
      <c r="F14" s="324">
        <v>18</v>
      </c>
      <c r="G14" s="325">
        <v>19</v>
      </c>
      <c r="H14" s="324">
        <v>20</v>
      </c>
      <c r="I14" s="325">
        <v>21</v>
      </c>
      <c r="J14" s="324">
        <v>22</v>
      </c>
      <c r="K14" s="325">
        <v>23</v>
      </c>
      <c r="L14" s="324">
        <v>24</v>
      </c>
      <c r="M14" s="325">
        <v>25</v>
      </c>
      <c r="N14" s="324">
        <v>26</v>
      </c>
      <c r="O14" s="325">
        <v>27</v>
      </c>
      <c r="P14" s="324">
        <v>28</v>
      </c>
      <c r="Q14" s="325">
        <v>29</v>
      </c>
      <c r="R14" s="324">
        <v>30</v>
      </c>
      <c r="S14" s="564"/>
      <c r="T14" s="624"/>
      <c r="U14" s="624"/>
      <c r="V14" s="627"/>
      <c r="W14" s="630"/>
      <c r="X14" s="320"/>
      <c r="Y14" s="238" t="s">
        <v>71</v>
      </c>
      <c r="Z14" s="633"/>
      <c r="AA14" s="319" t="s">
        <v>75</v>
      </c>
      <c r="AB14" s="262" t="s">
        <v>72</v>
      </c>
      <c r="AC14" s="636"/>
      <c r="AD14" s="238" t="s">
        <v>54</v>
      </c>
      <c r="AE14" s="238" t="s">
        <v>73</v>
      </c>
      <c r="AG14" s="330"/>
    </row>
    <row r="15" spans="1:37" s="220" customFormat="1" ht="15" customHeight="1">
      <c r="A15" s="617"/>
      <c r="B15" s="620"/>
      <c r="C15" s="620"/>
      <c r="D15" s="326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565"/>
      <c r="T15" s="625"/>
      <c r="U15" s="625"/>
      <c r="V15" s="628"/>
      <c r="W15" s="631"/>
      <c r="X15" s="240" t="s">
        <v>52</v>
      </c>
      <c r="Y15" s="241" t="s">
        <v>74</v>
      </c>
      <c r="Z15" s="634"/>
      <c r="AA15" s="263" t="s">
        <v>76</v>
      </c>
      <c r="AB15" s="264"/>
      <c r="AC15" s="637"/>
      <c r="AD15" s="377" t="s">
        <v>77</v>
      </c>
      <c r="AE15" s="241"/>
      <c r="AG15" s="331" t="s">
        <v>52</v>
      </c>
      <c r="AH15" s="604"/>
      <c r="AK15" s="590"/>
    </row>
    <row r="16" spans="1:37" s="220" customFormat="1" ht="16.5" customHeight="1">
      <c r="A16" s="573">
        <v>1</v>
      </c>
      <c r="B16" s="576" t="s">
        <v>1108</v>
      </c>
      <c r="C16" s="579" t="s">
        <v>1150</v>
      </c>
      <c r="D16" s="380" t="s">
        <v>78</v>
      </c>
      <c r="E16" s="380" t="s">
        <v>78</v>
      </c>
      <c r="F16" s="380" t="s">
        <v>79</v>
      </c>
      <c r="G16" s="380" t="s">
        <v>79</v>
      </c>
      <c r="H16" s="380" t="s">
        <v>78</v>
      </c>
      <c r="I16" s="380" t="s">
        <v>78</v>
      </c>
      <c r="J16" s="380" t="s">
        <v>78</v>
      </c>
      <c r="K16" s="552" t="s">
        <v>78</v>
      </c>
      <c r="L16" s="380" t="s">
        <v>78</v>
      </c>
      <c r="M16" s="380" t="s">
        <v>79</v>
      </c>
      <c r="N16" s="380" t="s">
        <v>79</v>
      </c>
      <c r="O16" s="380" t="s">
        <v>78</v>
      </c>
      <c r="P16" s="380" t="s">
        <v>78</v>
      </c>
      <c r="Q16" s="380" t="s">
        <v>78</v>
      </c>
      <c r="R16" s="380" t="s">
        <v>78</v>
      </c>
      <c r="S16" s="380" t="s">
        <v>78</v>
      </c>
      <c r="T16" s="591">
        <f t="shared" ref="T16" si="0">COUNTIF(C16:S16,"X")*1+(COUNTIF(C16:R16,"/")/2)+COUNTIF(C16:R16,"OB")+COUNTIF(C16:R16,"SPH")</f>
        <v>12</v>
      </c>
      <c r="U16" s="591">
        <f>COUNTIF(D16:R16,"CW")*1.25+(COUNTIF(D16:R16,"0.5")*1.25/2)+COUNTIF(D16:R16,"OB")+COUNTIF(D16:R16,"SPH")</f>
        <v>0</v>
      </c>
      <c r="V16" s="594">
        <v>814.41</v>
      </c>
      <c r="W16" s="594">
        <f>ROUND(SUM(T16+U16)*V16,2)</f>
        <v>9772.92</v>
      </c>
      <c r="X16" s="356"/>
      <c r="Y16" s="594">
        <f>ROUND(SUM(W16+X16-X17),2)</f>
        <v>9772.92</v>
      </c>
      <c r="Z16" s="594">
        <v>6515.28</v>
      </c>
      <c r="AA16" s="357">
        <f>ROUND(SUM(Y16+Z16)*(0.03),2)</f>
        <v>488.65</v>
      </c>
      <c r="AB16" s="357">
        <v>200</v>
      </c>
      <c r="AC16" s="643">
        <f>ROUND(SUM(AA16+AA17+AA18+AB16+AB17+AB18),2)</f>
        <v>688.65</v>
      </c>
      <c r="AD16" s="646">
        <f>ROUND(SUM(Y16-AC16),2)</f>
        <v>9084.27</v>
      </c>
      <c r="AE16" s="649">
        <v>2767072972</v>
      </c>
      <c r="AF16" s="265"/>
      <c r="AG16" s="331"/>
      <c r="AH16" s="604"/>
      <c r="AK16" s="590"/>
    </row>
    <row r="17" spans="1:37" s="220" customFormat="1" ht="17.100000000000001" customHeight="1">
      <c r="A17" s="574"/>
      <c r="B17" s="577"/>
      <c r="C17" s="580"/>
      <c r="D17" s="602"/>
      <c r="E17" s="600"/>
      <c r="F17" s="585"/>
      <c r="G17" s="585"/>
      <c r="H17" s="585"/>
      <c r="I17" s="585"/>
      <c r="J17" s="585"/>
      <c r="K17" s="600"/>
      <c r="L17" s="600"/>
      <c r="M17" s="600"/>
      <c r="N17" s="585"/>
      <c r="O17" s="585"/>
      <c r="P17" s="641"/>
      <c r="Q17" s="641"/>
      <c r="R17" s="641"/>
      <c r="S17" s="566"/>
      <c r="T17" s="592"/>
      <c r="U17" s="592"/>
      <c r="V17" s="595"/>
      <c r="W17" s="595"/>
      <c r="X17" s="638">
        <f>V16/8/60*AG17</f>
        <v>0</v>
      </c>
      <c r="Y17" s="595"/>
      <c r="Z17" s="595"/>
      <c r="AA17" s="357"/>
      <c r="AB17" s="365"/>
      <c r="AC17" s="644"/>
      <c r="AD17" s="647"/>
      <c r="AE17" s="650"/>
      <c r="AF17" s="265"/>
      <c r="AG17" s="571">
        <v>0</v>
      </c>
      <c r="AH17" s="604"/>
      <c r="AK17" s="590"/>
    </row>
    <row r="18" spans="1:37" s="220" customFormat="1" ht="6" customHeight="1">
      <c r="A18" s="575"/>
      <c r="B18" s="578"/>
      <c r="C18" s="581"/>
      <c r="D18" s="603"/>
      <c r="E18" s="601"/>
      <c r="F18" s="586"/>
      <c r="G18" s="586"/>
      <c r="H18" s="586"/>
      <c r="I18" s="586"/>
      <c r="J18" s="586"/>
      <c r="K18" s="601"/>
      <c r="L18" s="601"/>
      <c r="M18" s="601"/>
      <c r="N18" s="586"/>
      <c r="O18" s="586"/>
      <c r="P18" s="642"/>
      <c r="Q18" s="642"/>
      <c r="R18" s="642"/>
      <c r="S18" s="567"/>
      <c r="T18" s="593"/>
      <c r="U18" s="593"/>
      <c r="V18" s="596"/>
      <c r="W18" s="596"/>
      <c r="X18" s="639"/>
      <c r="Y18" s="596"/>
      <c r="Z18" s="596"/>
      <c r="AA18" s="357">
        <f>ROUND(SUM(Y18*0.03),2)</f>
        <v>0</v>
      </c>
      <c r="AB18" s="366">
        <v>0</v>
      </c>
      <c r="AC18" s="645"/>
      <c r="AD18" s="648"/>
      <c r="AE18" s="651"/>
      <c r="AF18" s="265"/>
      <c r="AG18" s="572"/>
      <c r="AH18" s="604"/>
      <c r="AK18" s="590"/>
    </row>
    <row r="19" spans="1:37" s="220" customFormat="1" ht="17.100000000000001" customHeight="1">
      <c r="A19" s="597">
        <v>2</v>
      </c>
      <c r="B19" s="576" t="s">
        <v>1146</v>
      </c>
      <c r="C19" s="579" t="s">
        <v>1099</v>
      </c>
      <c r="D19" s="380" t="s">
        <v>78</v>
      </c>
      <c r="E19" s="380" t="s">
        <v>20</v>
      </c>
      <c r="F19" s="380" t="s">
        <v>79</v>
      </c>
      <c r="G19" s="380" t="s">
        <v>79</v>
      </c>
      <c r="H19" s="380" t="s">
        <v>15</v>
      </c>
      <c r="I19" s="380" t="s">
        <v>20</v>
      </c>
      <c r="J19" s="380" t="s">
        <v>78</v>
      </c>
      <c r="K19" s="552" t="s">
        <v>78</v>
      </c>
      <c r="L19" s="380" t="s">
        <v>78</v>
      </c>
      <c r="M19" s="380" t="s">
        <v>79</v>
      </c>
      <c r="N19" s="380" t="s">
        <v>79</v>
      </c>
      <c r="O19" s="380" t="s">
        <v>78</v>
      </c>
      <c r="P19" s="380" t="s">
        <v>78</v>
      </c>
      <c r="Q19" s="380" t="s">
        <v>78</v>
      </c>
      <c r="R19" s="380" t="s">
        <v>78</v>
      </c>
      <c r="S19" s="380" t="s">
        <v>78</v>
      </c>
      <c r="T19" s="591">
        <f t="shared" ref="T19" si="1">COUNTIF(C19:S19,"X")*1+(COUNTIF(C19:R19,"/")/2)+COUNTIF(C19:R19,"OB")+COUNTIF(C19:R19,"SPH")</f>
        <v>10</v>
      </c>
      <c r="U19" s="591">
        <f>COUNTIF(D19:R19,"CW")*1.25+(COUNTIF(D19:R19,"0.5")*1.25/2)+COUNTIF(D19:R19,"OB")+COUNTIF(D19:R19,"SPH")</f>
        <v>0</v>
      </c>
      <c r="V19" s="594">
        <v>1087.6300000000001</v>
      </c>
      <c r="W19" s="594">
        <f>ROUND(SUM(T19+U19)*V19,2)</f>
        <v>10876.3</v>
      </c>
      <c r="X19" s="555"/>
      <c r="Y19" s="594">
        <f t="shared" ref="Y19" si="2">ROUND(SUM(W19+X19-X20),2)</f>
        <v>10876.3</v>
      </c>
      <c r="Z19" s="594">
        <v>11950.33</v>
      </c>
      <c r="AA19" s="357">
        <f>ROUND(SUM(Y19+Z19)*(0.03),2)</f>
        <v>684.8</v>
      </c>
      <c r="AB19" s="556">
        <v>200</v>
      </c>
      <c r="AC19" s="643">
        <f t="shared" ref="AC19" si="3">ROUND(SUM(AA19+AA20+AA21+AB19+AB20+AB21),2)</f>
        <v>884.8</v>
      </c>
      <c r="AD19" s="646">
        <f t="shared" ref="AD19" si="4">ROUND(SUM(Y19-AC19),2)</f>
        <v>9991.5</v>
      </c>
      <c r="AE19" s="657" t="s">
        <v>1092</v>
      </c>
      <c r="AF19" s="265"/>
      <c r="AG19" s="331"/>
      <c r="AH19" s="543"/>
      <c r="AK19" s="544"/>
    </row>
    <row r="20" spans="1:37" s="220" customFormat="1" ht="17.100000000000001" customHeight="1">
      <c r="A20" s="598"/>
      <c r="B20" s="577"/>
      <c r="C20" s="580"/>
      <c r="D20" s="675"/>
      <c r="E20" s="677"/>
      <c r="F20" s="589"/>
      <c r="G20" s="589"/>
      <c r="H20" s="589"/>
      <c r="I20" s="589"/>
      <c r="J20" s="589"/>
      <c r="K20" s="677"/>
      <c r="L20" s="589"/>
      <c r="M20" s="677"/>
      <c r="N20" s="589"/>
      <c r="O20" s="589"/>
      <c r="P20" s="653"/>
      <c r="Q20" s="653"/>
      <c r="R20" s="653"/>
      <c r="S20" s="566"/>
      <c r="T20" s="592"/>
      <c r="U20" s="592"/>
      <c r="V20" s="595"/>
      <c r="W20" s="595"/>
      <c r="X20" s="640">
        <f>V19/8/60*AG20</f>
        <v>0</v>
      </c>
      <c r="Y20" s="595"/>
      <c r="Z20" s="595"/>
      <c r="AA20" s="357"/>
      <c r="AB20" s="368"/>
      <c r="AC20" s="644"/>
      <c r="AD20" s="647"/>
      <c r="AE20" s="658"/>
      <c r="AF20" s="265"/>
      <c r="AG20" s="571">
        <v>0</v>
      </c>
      <c r="AH20" s="543"/>
      <c r="AK20" s="544"/>
    </row>
    <row r="21" spans="1:37" s="220" customFormat="1" ht="6" customHeight="1">
      <c r="A21" s="599"/>
      <c r="B21" s="578"/>
      <c r="C21" s="581"/>
      <c r="D21" s="676"/>
      <c r="E21" s="601"/>
      <c r="F21" s="586"/>
      <c r="G21" s="586"/>
      <c r="H21" s="586"/>
      <c r="I21" s="586"/>
      <c r="J21" s="586"/>
      <c r="K21" s="601"/>
      <c r="L21" s="586"/>
      <c r="M21" s="601"/>
      <c r="N21" s="586"/>
      <c r="O21" s="586"/>
      <c r="P21" s="642"/>
      <c r="Q21" s="642"/>
      <c r="R21" s="642"/>
      <c r="S21" s="567"/>
      <c r="T21" s="593"/>
      <c r="U21" s="593"/>
      <c r="V21" s="596"/>
      <c r="W21" s="596"/>
      <c r="X21" s="639"/>
      <c r="Y21" s="596"/>
      <c r="Z21" s="596"/>
      <c r="AA21" s="357">
        <f t="shared" ref="AA21" si="5">ROUND(SUM(Y21*0.03),2)</f>
        <v>0</v>
      </c>
      <c r="AB21" s="557"/>
      <c r="AC21" s="645"/>
      <c r="AD21" s="648"/>
      <c r="AE21" s="659"/>
      <c r="AF21" s="265"/>
      <c r="AG21" s="572"/>
      <c r="AH21" s="543"/>
      <c r="AK21" s="544"/>
    </row>
    <row r="22" spans="1:37" s="220" customFormat="1" ht="17.100000000000001" customHeight="1">
      <c r="A22" s="597">
        <v>3</v>
      </c>
      <c r="B22" s="576" t="s">
        <v>1075</v>
      </c>
      <c r="C22" s="579" t="s">
        <v>1151</v>
      </c>
      <c r="D22" s="380" t="s">
        <v>78</v>
      </c>
      <c r="E22" s="380" t="s">
        <v>78</v>
      </c>
      <c r="F22" s="380" t="s">
        <v>1107</v>
      </c>
      <c r="G22" s="380" t="s">
        <v>79</v>
      </c>
      <c r="H22" s="380" t="s">
        <v>78</v>
      </c>
      <c r="I22" s="380" t="s">
        <v>78</v>
      </c>
      <c r="J22" s="380" t="s">
        <v>78</v>
      </c>
      <c r="K22" s="552" t="s">
        <v>78</v>
      </c>
      <c r="L22" s="380" t="s">
        <v>78</v>
      </c>
      <c r="M22" s="380" t="s">
        <v>1107</v>
      </c>
      <c r="N22" s="380" t="s">
        <v>79</v>
      </c>
      <c r="O22" s="380" t="s">
        <v>78</v>
      </c>
      <c r="P22" s="380" t="s">
        <v>78</v>
      </c>
      <c r="Q22" s="380" t="s">
        <v>78</v>
      </c>
      <c r="R22" s="380" t="s">
        <v>78</v>
      </c>
      <c r="S22" s="380" t="s">
        <v>78</v>
      </c>
      <c r="T22" s="591">
        <f t="shared" ref="T22" si="6">COUNTIF(C22:S22,"X")*1+(COUNTIF(C22:R22,"/")/2)+COUNTIF(C22:R22,"OB")+COUNTIF(C22:R22,"SPH")</f>
        <v>12</v>
      </c>
      <c r="U22" s="591">
        <f>COUNTIF(D22:R22,"CW")*1.25+(COUNTIF(D22:R22,"0.5")*1.25/2)+COUNTIF(D22:R22,"OB")+COUNTIF(D22:R22,"SPH")</f>
        <v>0</v>
      </c>
      <c r="V22" s="678">
        <v>609.86</v>
      </c>
      <c r="W22" s="594">
        <f>ROUND(SUM(T22+U22)*V22,2)</f>
        <v>7318.32</v>
      </c>
      <c r="X22" s="560">
        <f>V22*1.5*2</f>
        <v>1829.58</v>
      </c>
      <c r="Y22" s="594">
        <f>ROUND(SUM(W22+X22-X23),2)</f>
        <v>9147.9</v>
      </c>
      <c r="Z22" s="594">
        <v>8538.0400000000009</v>
      </c>
      <c r="AA22" s="357">
        <f>ROUND(SUM(Y22+Z22)*(0.03),2)</f>
        <v>530.58000000000004</v>
      </c>
      <c r="AB22" s="556">
        <v>200</v>
      </c>
      <c r="AC22" s="643">
        <f t="shared" ref="AC22" si="7">ROUND(SUM(AA22+AA23+AA24+AB22+AB23+AB24),2)</f>
        <v>730.58</v>
      </c>
      <c r="AD22" s="646">
        <f t="shared" ref="AD22" si="8">ROUND(SUM(Y22-AC22),2)</f>
        <v>8417.32</v>
      </c>
      <c r="AE22" s="657" t="s">
        <v>1091</v>
      </c>
      <c r="AF22" s="265"/>
      <c r="AG22" s="331"/>
      <c r="AH22" s="543"/>
      <c r="AK22" s="544"/>
    </row>
    <row r="23" spans="1:37" s="220" customFormat="1" ht="17.100000000000001" customHeight="1">
      <c r="A23" s="598"/>
      <c r="B23" s="577"/>
      <c r="C23" s="580"/>
      <c r="D23" s="675"/>
      <c r="E23" s="677"/>
      <c r="F23" s="589"/>
      <c r="G23" s="589"/>
      <c r="H23" s="589"/>
      <c r="I23" s="589"/>
      <c r="J23" s="589"/>
      <c r="K23" s="677"/>
      <c r="L23" s="677"/>
      <c r="M23" s="677"/>
      <c r="N23" s="589"/>
      <c r="O23" s="589"/>
      <c r="P23" s="653"/>
      <c r="Q23" s="653"/>
      <c r="R23" s="653"/>
      <c r="S23" s="566"/>
      <c r="T23" s="592"/>
      <c r="U23" s="592"/>
      <c r="V23" s="679"/>
      <c r="W23" s="595"/>
      <c r="X23" s="640"/>
      <c r="Y23" s="595"/>
      <c r="Z23" s="595"/>
      <c r="AA23" s="357"/>
      <c r="AB23" s="368"/>
      <c r="AC23" s="644"/>
      <c r="AD23" s="647"/>
      <c r="AE23" s="658"/>
      <c r="AF23" s="265"/>
      <c r="AG23" s="571">
        <v>0</v>
      </c>
      <c r="AH23" s="543"/>
      <c r="AK23" s="544"/>
    </row>
    <row r="24" spans="1:37" s="220" customFormat="1" ht="6" customHeight="1">
      <c r="A24" s="599"/>
      <c r="B24" s="578"/>
      <c r="C24" s="581"/>
      <c r="D24" s="676"/>
      <c r="E24" s="601"/>
      <c r="F24" s="586"/>
      <c r="G24" s="586"/>
      <c r="H24" s="586"/>
      <c r="I24" s="586"/>
      <c r="J24" s="586"/>
      <c r="K24" s="601"/>
      <c r="L24" s="601"/>
      <c r="M24" s="601"/>
      <c r="N24" s="586"/>
      <c r="O24" s="586"/>
      <c r="P24" s="642"/>
      <c r="Q24" s="642"/>
      <c r="R24" s="642"/>
      <c r="S24" s="567"/>
      <c r="T24" s="593"/>
      <c r="U24" s="593"/>
      <c r="V24" s="680"/>
      <c r="W24" s="596"/>
      <c r="X24" s="639"/>
      <c r="Y24" s="596"/>
      <c r="Z24" s="596"/>
      <c r="AA24" s="357">
        <f t="shared" ref="AA24" si="9">ROUND(SUM(Y24*0.03),2)</f>
        <v>0</v>
      </c>
      <c r="AB24" s="557"/>
      <c r="AC24" s="645"/>
      <c r="AD24" s="648"/>
      <c r="AE24" s="659"/>
      <c r="AF24" s="265"/>
      <c r="AG24" s="572"/>
      <c r="AH24" s="543"/>
      <c r="AK24" s="544"/>
    </row>
    <row r="25" spans="1:37" s="220" customFormat="1" ht="17.100000000000001" customHeight="1">
      <c r="A25" s="573">
        <v>4</v>
      </c>
      <c r="B25" s="576" t="s">
        <v>1072</v>
      </c>
      <c r="C25" s="579" t="s">
        <v>1110</v>
      </c>
      <c r="D25" s="380" t="s">
        <v>78</v>
      </c>
      <c r="E25" s="380" t="s">
        <v>78</v>
      </c>
      <c r="F25" s="380" t="s">
        <v>79</v>
      </c>
      <c r="G25" s="380" t="s">
        <v>79</v>
      </c>
      <c r="H25" s="380" t="s">
        <v>78</v>
      </c>
      <c r="I25" s="380" t="s">
        <v>78</v>
      </c>
      <c r="J25" s="380" t="s">
        <v>78</v>
      </c>
      <c r="K25" s="552" t="s">
        <v>78</v>
      </c>
      <c r="L25" s="380" t="s">
        <v>78</v>
      </c>
      <c r="M25" s="380" t="s">
        <v>79</v>
      </c>
      <c r="N25" s="380" t="s">
        <v>79</v>
      </c>
      <c r="O25" s="380" t="s">
        <v>78</v>
      </c>
      <c r="P25" s="380" t="s">
        <v>78</v>
      </c>
      <c r="Q25" s="380" t="s">
        <v>78</v>
      </c>
      <c r="R25" s="380" t="s">
        <v>78</v>
      </c>
      <c r="S25" s="380" t="s">
        <v>78</v>
      </c>
      <c r="T25" s="591">
        <f t="shared" ref="T25" si="10">COUNTIF(C25:S25,"X")*1+(COUNTIF(C25:R25,"/")/2)+COUNTIF(C25:R25,"OB")+COUNTIF(C25:R25,"SPH")</f>
        <v>12</v>
      </c>
      <c r="U25" s="591">
        <f>COUNTIF(D25:R25,"CW")*1.25+(COUNTIF(D25:R25,"0.5")*1.25/2)+COUNTIF(D25:R25,"OB")+COUNTIF(D25:R25,"SPH")</f>
        <v>0</v>
      </c>
      <c r="V25" s="594">
        <v>1087.6300000000001</v>
      </c>
      <c r="W25" s="594">
        <f>ROUND(SUM(T25+U25)*V25,2)</f>
        <v>13051.56</v>
      </c>
      <c r="X25" s="555"/>
      <c r="Y25" s="594">
        <f>ROUND(SUM(W25+X25-X26),2)</f>
        <v>13040.23</v>
      </c>
      <c r="Z25" s="594">
        <v>11932.21</v>
      </c>
      <c r="AA25" s="357">
        <f>ROUND(SUM(Y25+Z25)*(0.03),2)</f>
        <v>749.17</v>
      </c>
      <c r="AB25" s="556">
        <v>200</v>
      </c>
      <c r="AC25" s="643">
        <f t="shared" ref="AC25" si="11">ROUND(SUM(AA25+AA26+AA27+AB25+AB26+AB27),2)</f>
        <v>949.17</v>
      </c>
      <c r="AD25" s="646">
        <f t="shared" ref="AD25" si="12">ROUND(SUM(Y25-AC25),2)</f>
        <v>12091.06</v>
      </c>
      <c r="AE25" s="657" t="s">
        <v>1094</v>
      </c>
      <c r="AF25" s="265"/>
      <c r="AG25" s="331"/>
      <c r="AH25" s="543"/>
      <c r="AK25" s="544"/>
    </row>
    <row r="26" spans="1:37" s="220" customFormat="1" ht="17.100000000000001" customHeight="1">
      <c r="A26" s="574"/>
      <c r="B26" s="577"/>
      <c r="C26" s="580"/>
      <c r="D26" s="587"/>
      <c r="E26" s="589"/>
      <c r="F26" s="589"/>
      <c r="G26" s="589"/>
      <c r="H26" s="589"/>
      <c r="I26" s="589"/>
      <c r="J26" s="589"/>
      <c r="K26" s="677"/>
      <c r="L26" s="589"/>
      <c r="M26" s="677"/>
      <c r="N26" s="589"/>
      <c r="O26" s="589"/>
      <c r="P26" s="653"/>
      <c r="Q26" s="653"/>
      <c r="R26" s="653"/>
      <c r="S26" s="566"/>
      <c r="T26" s="592"/>
      <c r="U26" s="592"/>
      <c r="V26" s="595"/>
      <c r="W26" s="595"/>
      <c r="X26" s="640">
        <f>V25/8/60*AG26</f>
        <v>11.329479166666667</v>
      </c>
      <c r="Y26" s="595"/>
      <c r="Z26" s="595"/>
      <c r="AA26" s="357"/>
      <c r="AB26" s="368"/>
      <c r="AC26" s="644"/>
      <c r="AD26" s="647"/>
      <c r="AE26" s="658"/>
      <c r="AF26" s="265"/>
      <c r="AG26" s="571">
        <v>5</v>
      </c>
      <c r="AH26" s="543"/>
      <c r="AK26" s="544"/>
    </row>
    <row r="27" spans="1:37" s="220" customFormat="1" ht="6" customHeight="1">
      <c r="A27" s="575"/>
      <c r="B27" s="578"/>
      <c r="C27" s="581"/>
      <c r="D27" s="588"/>
      <c r="E27" s="586"/>
      <c r="F27" s="586"/>
      <c r="G27" s="586"/>
      <c r="H27" s="586"/>
      <c r="I27" s="586"/>
      <c r="J27" s="586"/>
      <c r="K27" s="601"/>
      <c r="L27" s="586"/>
      <c r="M27" s="601"/>
      <c r="N27" s="586"/>
      <c r="O27" s="586"/>
      <c r="P27" s="642"/>
      <c r="Q27" s="642"/>
      <c r="R27" s="642"/>
      <c r="S27" s="567"/>
      <c r="T27" s="593"/>
      <c r="U27" s="593"/>
      <c r="V27" s="596"/>
      <c r="W27" s="596"/>
      <c r="X27" s="639"/>
      <c r="Y27" s="596"/>
      <c r="Z27" s="596"/>
      <c r="AA27" s="357"/>
      <c r="AB27" s="557"/>
      <c r="AC27" s="645"/>
      <c r="AD27" s="648"/>
      <c r="AE27" s="659"/>
      <c r="AF27" s="265"/>
      <c r="AG27" s="572"/>
      <c r="AH27" s="543"/>
      <c r="AK27" s="544"/>
    </row>
    <row r="28" spans="1:37" s="220" customFormat="1" ht="17.100000000000001" customHeight="1">
      <c r="A28" s="573">
        <v>5</v>
      </c>
      <c r="B28" s="576" t="s">
        <v>1070</v>
      </c>
      <c r="C28" s="579" t="s">
        <v>1099</v>
      </c>
      <c r="D28" s="380" t="s">
        <v>20</v>
      </c>
      <c r="E28" s="380" t="s">
        <v>78</v>
      </c>
      <c r="F28" s="380" t="s">
        <v>79</v>
      </c>
      <c r="G28" s="380" t="s">
        <v>79</v>
      </c>
      <c r="H28" s="380" t="s">
        <v>15</v>
      </c>
      <c r="I28" s="380" t="s">
        <v>15</v>
      </c>
      <c r="J28" s="380" t="s">
        <v>15</v>
      </c>
      <c r="K28" s="552" t="s">
        <v>15</v>
      </c>
      <c r="L28" s="380" t="s">
        <v>15</v>
      </c>
      <c r="M28" s="380" t="s">
        <v>79</v>
      </c>
      <c r="N28" s="380" t="s">
        <v>79</v>
      </c>
      <c r="O28" s="380" t="s">
        <v>78</v>
      </c>
      <c r="P28" s="380" t="s">
        <v>78</v>
      </c>
      <c r="Q28" s="380" t="s">
        <v>78</v>
      </c>
      <c r="R28" s="380" t="s">
        <v>78</v>
      </c>
      <c r="S28" s="380" t="s">
        <v>78</v>
      </c>
      <c r="T28" s="591">
        <f t="shared" ref="T28" si="13">COUNTIF(C28:S28,"X")*1+(COUNTIF(C28:R28,"/")/2)+COUNTIF(C28:R28,"OB")+COUNTIF(C28:R28,"SPH")</f>
        <v>6.5</v>
      </c>
      <c r="U28" s="591">
        <f>COUNTIF(D28:R28,"CW")*1.25+(COUNTIF(D28:R28,"0.5")*1.25/2)+COUNTIF(D28:R28,"OB")+COUNTIF(D28:R28,"SPH")</f>
        <v>0</v>
      </c>
      <c r="V28" s="594">
        <v>1087.6300000000001</v>
      </c>
      <c r="W28" s="594">
        <f>ROUND(SUM(T28+U28)*V28,2)</f>
        <v>7069.6</v>
      </c>
      <c r="X28" s="555"/>
      <c r="Y28" s="594">
        <f>ROUND(SUM(W28+X28-X29),2)</f>
        <v>6620.95</v>
      </c>
      <c r="Z28" s="654">
        <v>11689.76</v>
      </c>
      <c r="AA28" s="357">
        <f>ROUND(SUM(Y28+Z28)*(0.03),2)</f>
        <v>549.32000000000005</v>
      </c>
      <c r="AB28" s="556">
        <v>200</v>
      </c>
      <c r="AC28" s="643">
        <f>ROUND(SUM(AA28+AA29+AA30+AB28+AB29+AB30),2)</f>
        <v>749.32</v>
      </c>
      <c r="AD28" s="646">
        <f t="shared" ref="AD28" si="14">ROUND(SUM(Y28-AC28),2)</f>
        <v>5871.63</v>
      </c>
      <c r="AE28" s="657"/>
      <c r="AF28" s="265"/>
      <c r="AG28" s="331"/>
      <c r="AH28" s="543"/>
      <c r="AK28" s="544"/>
    </row>
    <row r="29" spans="1:37" s="220" customFormat="1" ht="17.100000000000001" customHeight="1">
      <c r="A29" s="574"/>
      <c r="B29" s="577"/>
      <c r="C29" s="580"/>
      <c r="D29" s="587"/>
      <c r="E29" s="589"/>
      <c r="F29" s="589"/>
      <c r="G29" s="589"/>
      <c r="H29" s="589"/>
      <c r="I29" s="589"/>
      <c r="J29" s="589"/>
      <c r="K29" s="677"/>
      <c r="L29" s="677"/>
      <c r="M29" s="677"/>
      <c r="N29" s="589"/>
      <c r="O29" s="589"/>
      <c r="P29" s="653"/>
      <c r="Q29" s="653"/>
      <c r="R29" s="653"/>
      <c r="S29" s="566"/>
      <c r="T29" s="592"/>
      <c r="U29" s="592"/>
      <c r="V29" s="595"/>
      <c r="W29" s="595"/>
      <c r="X29" s="640">
        <f>V28/8/60*AG29</f>
        <v>448.64737500000001</v>
      </c>
      <c r="Y29" s="595"/>
      <c r="Z29" s="655"/>
      <c r="AA29" s="357">
        <f>ROUND(SUM(Y29+Z29)*(0.03),2)</f>
        <v>0</v>
      </c>
      <c r="AB29" s="368"/>
      <c r="AC29" s="644"/>
      <c r="AD29" s="647"/>
      <c r="AE29" s="658"/>
      <c r="AF29" s="265"/>
      <c r="AG29" s="571">
        <v>198</v>
      </c>
      <c r="AH29" s="543"/>
      <c r="AK29" s="544"/>
    </row>
    <row r="30" spans="1:37" s="220" customFormat="1" ht="6" customHeight="1">
      <c r="A30" s="575"/>
      <c r="B30" s="578"/>
      <c r="C30" s="581"/>
      <c r="D30" s="588"/>
      <c r="E30" s="586"/>
      <c r="F30" s="586"/>
      <c r="G30" s="586"/>
      <c r="H30" s="586"/>
      <c r="I30" s="586"/>
      <c r="J30" s="586"/>
      <c r="K30" s="601"/>
      <c r="L30" s="601"/>
      <c r="M30" s="601"/>
      <c r="N30" s="586"/>
      <c r="O30" s="586"/>
      <c r="P30" s="642"/>
      <c r="Q30" s="642"/>
      <c r="R30" s="642"/>
      <c r="S30" s="567"/>
      <c r="T30" s="593"/>
      <c r="U30" s="593"/>
      <c r="V30" s="596"/>
      <c r="W30" s="596"/>
      <c r="X30" s="639"/>
      <c r="Y30" s="596"/>
      <c r="Z30" s="656"/>
      <c r="AA30" s="357">
        <f t="shared" ref="AA30" si="15">ROUND(SUM(Y30*0.03),2)</f>
        <v>0</v>
      </c>
      <c r="AB30" s="557"/>
      <c r="AC30" s="645"/>
      <c r="AD30" s="648"/>
      <c r="AE30" s="659"/>
      <c r="AF30" s="265"/>
      <c r="AG30" s="572"/>
      <c r="AH30" s="543"/>
      <c r="AK30" s="544"/>
    </row>
    <row r="31" spans="1:37" s="220" customFormat="1" ht="17.100000000000001" customHeight="1">
      <c r="A31" s="573">
        <v>6</v>
      </c>
      <c r="B31" s="582" t="s">
        <v>1071</v>
      </c>
      <c r="C31" s="579" t="s">
        <v>1109</v>
      </c>
      <c r="D31" s="380" t="s">
        <v>78</v>
      </c>
      <c r="E31" s="380" t="s">
        <v>78</v>
      </c>
      <c r="F31" s="380" t="s">
        <v>79</v>
      </c>
      <c r="G31" s="380" t="s">
        <v>79</v>
      </c>
      <c r="H31" s="380" t="s">
        <v>78</v>
      </c>
      <c r="I31" s="380" t="s">
        <v>78</v>
      </c>
      <c r="J31" s="380" t="s">
        <v>78</v>
      </c>
      <c r="K31" s="552" t="s">
        <v>78</v>
      </c>
      <c r="L31" s="380" t="s">
        <v>78</v>
      </c>
      <c r="M31" s="380" t="s">
        <v>79</v>
      </c>
      <c r="N31" s="380" t="s">
        <v>79</v>
      </c>
      <c r="O31" s="380" t="s">
        <v>78</v>
      </c>
      <c r="P31" s="380" t="s">
        <v>78</v>
      </c>
      <c r="Q31" s="380" t="s">
        <v>78</v>
      </c>
      <c r="R31" s="380" t="s">
        <v>78</v>
      </c>
      <c r="S31" s="380" t="s">
        <v>78</v>
      </c>
      <c r="T31" s="591">
        <f t="shared" ref="T31" si="16">COUNTIF(C31:S31,"X")*1+(COUNTIF(C31:R31,"/")/2)+COUNTIF(C31:R31,"OB")+COUNTIF(C31:R31,"SPH")</f>
        <v>12</v>
      </c>
      <c r="U31" s="591">
        <f>COUNTIF(D31:R31,"CW")*1.25+(COUNTIF(D31:R31,"AM")*0.5625)+COUNTIF(D31:R31,"OB")+COUNTIF(D31:R31,"SPH")</f>
        <v>0</v>
      </c>
      <c r="V31" s="678">
        <v>1357.46</v>
      </c>
      <c r="W31" s="678">
        <f>ROUND(SUM(T31+U31)*(V31),2)</f>
        <v>16289.52</v>
      </c>
      <c r="X31" s="555"/>
      <c r="Y31" s="594">
        <f>ROUND(SUM(W31+X31-X32),2)</f>
        <v>16066.1</v>
      </c>
      <c r="Z31" s="594">
        <v>14827.42</v>
      </c>
      <c r="AA31" s="357">
        <f>ROUND(SUM(Y31+Z31)*(0.03),2)</f>
        <v>926.81</v>
      </c>
      <c r="AB31" s="556">
        <v>200</v>
      </c>
      <c r="AC31" s="643">
        <f>ROUND(SUM(AA31+AA32+AA33+AB31+AB32+AB33),2)</f>
        <v>1126.81</v>
      </c>
      <c r="AD31" s="646">
        <f t="shared" ref="AD31" si="17">ROUND(SUM(Y31-AC31),2)</f>
        <v>14939.29</v>
      </c>
      <c r="AE31" s="657" t="s">
        <v>1090</v>
      </c>
      <c r="AF31" s="265"/>
      <c r="AG31" s="331"/>
      <c r="AH31" s="543"/>
      <c r="AK31" s="544"/>
    </row>
    <row r="32" spans="1:37" s="220" customFormat="1" ht="17.100000000000001" customHeight="1">
      <c r="A32" s="574"/>
      <c r="B32" s="583"/>
      <c r="C32" s="580"/>
      <c r="D32" s="675"/>
      <c r="E32" s="677"/>
      <c r="F32" s="589"/>
      <c r="G32" s="589"/>
      <c r="H32" s="589"/>
      <c r="I32" s="589"/>
      <c r="J32" s="589"/>
      <c r="K32" s="677"/>
      <c r="L32" s="677"/>
      <c r="M32" s="677"/>
      <c r="N32" s="589"/>
      <c r="O32" s="589"/>
      <c r="P32" s="653"/>
      <c r="Q32" s="653"/>
      <c r="R32" s="653"/>
      <c r="S32" s="566"/>
      <c r="T32" s="592"/>
      <c r="U32" s="592"/>
      <c r="V32" s="679"/>
      <c r="W32" s="679"/>
      <c r="X32" s="640">
        <f>V31/8/60*AG32</f>
        <v>223.41529166666666</v>
      </c>
      <c r="Y32" s="595"/>
      <c r="Z32" s="595"/>
      <c r="AA32" s="357"/>
      <c r="AB32" s="368"/>
      <c r="AC32" s="644"/>
      <c r="AD32" s="647"/>
      <c r="AE32" s="658"/>
      <c r="AF32" s="265"/>
      <c r="AG32" s="571">
        <v>79</v>
      </c>
      <c r="AH32" s="543"/>
      <c r="AK32" s="544"/>
    </row>
    <row r="33" spans="1:37" s="220" customFormat="1" ht="6" customHeight="1">
      <c r="A33" s="575"/>
      <c r="B33" s="584"/>
      <c r="C33" s="581"/>
      <c r="D33" s="676"/>
      <c r="E33" s="601"/>
      <c r="F33" s="586"/>
      <c r="G33" s="586"/>
      <c r="H33" s="586"/>
      <c r="I33" s="586"/>
      <c r="J33" s="586"/>
      <c r="K33" s="601"/>
      <c r="L33" s="601"/>
      <c r="M33" s="601"/>
      <c r="N33" s="586"/>
      <c r="O33" s="586"/>
      <c r="P33" s="642"/>
      <c r="Q33" s="642"/>
      <c r="R33" s="642"/>
      <c r="S33" s="567"/>
      <c r="T33" s="593"/>
      <c r="U33" s="593"/>
      <c r="V33" s="680"/>
      <c r="W33" s="680"/>
      <c r="X33" s="639"/>
      <c r="Y33" s="596"/>
      <c r="Z33" s="596"/>
      <c r="AA33" s="357">
        <f t="shared" ref="AA33" si="18">ROUND(SUM(Y33*0.03),2)</f>
        <v>0</v>
      </c>
      <c r="AB33" s="557"/>
      <c r="AC33" s="645"/>
      <c r="AD33" s="648"/>
      <c r="AE33" s="659"/>
      <c r="AF33" s="265"/>
      <c r="AG33" s="572"/>
      <c r="AH33" s="543"/>
      <c r="AK33" s="544"/>
    </row>
    <row r="34" spans="1:37" s="220" customFormat="1" ht="17.100000000000001" customHeight="1">
      <c r="A34" s="597">
        <v>7</v>
      </c>
      <c r="B34" s="582" t="s">
        <v>1073</v>
      </c>
      <c r="C34" s="579" t="s">
        <v>1110</v>
      </c>
      <c r="D34" s="380" t="s">
        <v>78</v>
      </c>
      <c r="E34" s="380" t="s">
        <v>78</v>
      </c>
      <c r="F34" s="380" t="s">
        <v>79</v>
      </c>
      <c r="G34" s="380" t="s">
        <v>79</v>
      </c>
      <c r="H34" s="380" t="s">
        <v>78</v>
      </c>
      <c r="I34" s="380" t="s">
        <v>78</v>
      </c>
      <c r="J34" s="380" t="s">
        <v>78</v>
      </c>
      <c r="K34" s="552" t="s">
        <v>78</v>
      </c>
      <c r="L34" s="380" t="s">
        <v>78</v>
      </c>
      <c r="M34" s="380" t="s">
        <v>79</v>
      </c>
      <c r="N34" s="380" t="s">
        <v>79</v>
      </c>
      <c r="O34" s="380" t="s">
        <v>78</v>
      </c>
      <c r="P34" s="380" t="s">
        <v>78</v>
      </c>
      <c r="Q34" s="380" t="s">
        <v>78</v>
      </c>
      <c r="R34" s="380" t="s">
        <v>78</v>
      </c>
      <c r="S34" s="380" t="s">
        <v>78</v>
      </c>
      <c r="T34" s="591">
        <f t="shared" ref="T34" si="19">COUNTIF(C34:S34,"X")*1+(COUNTIF(C34:R34,"/")/2)+COUNTIF(C34:R34,"OB")+COUNTIF(C34:R34,"SPH")</f>
        <v>12</v>
      </c>
      <c r="U34" s="591">
        <f>COUNTIF(D34:R34,"CW")*1.25+(COUNTIF(D34:R34,"0.5")*1.25/2)+COUNTIF(D34:R34,"OB")+COUNTIF(D34:R34,"SPH")</f>
        <v>0</v>
      </c>
      <c r="V34" s="678">
        <v>1087.6300000000001</v>
      </c>
      <c r="W34" s="678">
        <f>ROUND(SUM(T34+U34)*V34,2)</f>
        <v>13051.56</v>
      </c>
      <c r="X34" s="554"/>
      <c r="Y34" s="594">
        <f t="shared" ref="Y34" si="20">ROUND(SUM(W34+X34-X35),2)</f>
        <v>13047.03</v>
      </c>
      <c r="Z34" s="594">
        <v>11420.12</v>
      </c>
      <c r="AA34" s="357">
        <f t="shared" ref="AA34" si="21">ROUND(SUM(Y34+Z34)*(0.03),2)</f>
        <v>734.01</v>
      </c>
      <c r="AB34" s="368">
        <v>200</v>
      </c>
      <c r="AC34" s="643">
        <f t="shared" ref="AC34" si="22">ROUND(SUM(AA34+AA35+AA36+AB34+AB35+AB36),2)</f>
        <v>934.01</v>
      </c>
      <c r="AD34" s="646">
        <f t="shared" ref="AD34" si="23">ROUND(SUM(Y34-AC34),2)</f>
        <v>12113.02</v>
      </c>
      <c r="AE34" s="657" t="s">
        <v>1096</v>
      </c>
      <c r="AF34" s="265"/>
      <c r="AG34" s="331"/>
      <c r="AH34" s="543"/>
      <c r="AK34" s="544"/>
    </row>
    <row r="35" spans="1:37" s="220" customFormat="1" ht="17.100000000000001" customHeight="1">
      <c r="A35" s="598"/>
      <c r="B35" s="583"/>
      <c r="C35" s="580"/>
      <c r="D35" s="587"/>
      <c r="E35" s="589"/>
      <c r="F35" s="589"/>
      <c r="G35" s="589"/>
      <c r="H35" s="589"/>
      <c r="I35" s="589"/>
      <c r="J35" s="589"/>
      <c r="K35" s="589"/>
      <c r="L35" s="677"/>
      <c r="M35" s="677"/>
      <c r="N35" s="589"/>
      <c r="O35" s="589"/>
      <c r="P35" s="653"/>
      <c r="Q35" s="653"/>
      <c r="R35" s="653"/>
      <c r="S35" s="566"/>
      <c r="T35" s="592"/>
      <c r="U35" s="592"/>
      <c r="V35" s="679"/>
      <c r="W35" s="679"/>
      <c r="X35" s="640">
        <f>V34/8/60*AG35</f>
        <v>4.5317916666666669</v>
      </c>
      <c r="Y35" s="595"/>
      <c r="Z35" s="595"/>
      <c r="AA35" s="357"/>
      <c r="AB35" s="368"/>
      <c r="AC35" s="644"/>
      <c r="AD35" s="647"/>
      <c r="AE35" s="658"/>
      <c r="AF35" s="265"/>
      <c r="AG35" s="571">
        <v>2</v>
      </c>
      <c r="AH35" s="543"/>
      <c r="AK35" s="544"/>
    </row>
    <row r="36" spans="1:37" s="220" customFormat="1" ht="6" customHeight="1">
      <c r="A36" s="599"/>
      <c r="B36" s="584"/>
      <c r="C36" s="581"/>
      <c r="D36" s="588"/>
      <c r="E36" s="586"/>
      <c r="F36" s="586"/>
      <c r="G36" s="586"/>
      <c r="H36" s="586"/>
      <c r="I36" s="586"/>
      <c r="J36" s="586"/>
      <c r="K36" s="586"/>
      <c r="L36" s="601"/>
      <c r="M36" s="601"/>
      <c r="N36" s="586"/>
      <c r="O36" s="586"/>
      <c r="P36" s="642"/>
      <c r="Q36" s="642"/>
      <c r="R36" s="642"/>
      <c r="S36" s="567"/>
      <c r="T36" s="593"/>
      <c r="U36" s="593"/>
      <c r="V36" s="680"/>
      <c r="W36" s="680"/>
      <c r="X36" s="639"/>
      <c r="Y36" s="596"/>
      <c r="Z36" s="596"/>
      <c r="AA36" s="357">
        <f t="shared" ref="AA36" si="24">ROUND(SUM(Y36*0.03),2)</f>
        <v>0</v>
      </c>
      <c r="AB36" s="368"/>
      <c r="AC36" s="645"/>
      <c r="AD36" s="648"/>
      <c r="AE36" s="659"/>
      <c r="AF36" s="265"/>
      <c r="AG36" s="572"/>
      <c r="AH36" s="543"/>
      <c r="AK36" s="544"/>
    </row>
    <row r="37" spans="1:37" s="220" customFormat="1" ht="17.100000000000001" customHeight="1">
      <c r="A37" s="573">
        <v>8</v>
      </c>
      <c r="B37" s="576" t="s">
        <v>1074</v>
      </c>
      <c r="C37" s="579" t="s">
        <v>1106</v>
      </c>
      <c r="D37" s="380" t="s">
        <v>78</v>
      </c>
      <c r="E37" s="380" t="s">
        <v>78</v>
      </c>
      <c r="F37" s="380" t="s">
        <v>79</v>
      </c>
      <c r="G37" s="380" t="s">
        <v>79</v>
      </c>
      <c r="H37" s="380" t="s">
        <v>78</v>
      </c>
      <c r="I37" s="380" t="s">
        <v>78</v>
      </c>
      <c r="J37" s="380" t="s">
        <v>78</v>
      </c>
      <c r="K37" s="552" t="s">
        <v>78</v>
      </c>
      <c r="L37" s="380" t="s">
        <v>78</v>
      </c>
      <c r="M37" s="380" t="s">
        <v>79</v>
      </c>
      <c r="N37" s="380" t="s">
        <v>79</v>
      </c>
      <c r="O37" s="380" t="s">
        <v>78</v>
      </c>
      <c r="P37" s="380" t="s">
        <v>78</v>
      </c>
      <c r="Q37" s="380" t="s">
        <v>78</v>
      </c>
      <c r="R37" s="380" t="s">
        <v>78</v>
      </c>
      <c r="S37" s="380" t="s">
        <v>78</v>
      </c>
      <c r="T37" s="591">
        <f>COUNTIF(C37:S37,"X")*1+(COUNTIF(C37:R37,"/")/2)+COUNTIF(C37:R37,"OB")+COUNTIF(C37:R37,"SPH")</f>
        <v>12</v>
      </c>
      <c r="U37" s="591">
        <f>COUNTIF(D37:R37,"CW")*1.25+(COUNTIF(D37:R37,"0.5")*1.25/2)+COUNTIF(D37:R37,"OB")+COUNTIF(D37:R37,"SPH")</f>
        <v>0</v>
      </c>
      <c r="V37" s="594">
        <v>941.17</v>
      </c>
      <c r="W37" s="594">
        <f>ROUND(SUM(T37+U37)*V37,2)</f>
        <v>11294.04</v>
      </c>
      <c r="X37" s="356"/>
      <c r="Y37" s="594">
        <f t="shared" ref="Y37" si="25">ROUND(SUM(W37+X37-X38),2)</f>
        <v>11294.04</v>
      </c>
      <c r="Z37" s="594">
        <v>10352.870000000001</v>
      </c>
      <c r="AA37" s="357">
        <f>ROUND(SUM(Y37+Z37)*(0.03),2)</f>
        <v>649.41</v>
      </c>
      <c r="AB37" s="357">
        <v>200</v>
      </c>
      <c r="AC37" s="643">
        <f>ROUND(SUM(AA37+AA38+AA39+AB37+AB38+AB39),2)</f>
        <v>849.41</v>
      </c>
      <c r="AD37" s="646">
        <f t="shared" ref="AD37" si="26">ROUND(SUM(Y37-AC37),2)</f>
        <v>10444.629999999999</v>
      </c>
      <c r="AE37" s="649" t="s">
        <v>1095</v>
      </c>
      <c r="AF37" s="265"/>
      <c r="AG37" s="331"/>
      <c r="AH37" s="604"/>
      <c r="AK37" s="590"/>
    </row>
    <row r="38" spans="1:37" s="220" customFormat="1" ht="17.100000000000001" customHeight="1">
      <c r="A38" s="574"/>
      <c r="B38" s="577"/>
      <c r="C38" s="580"/>
      <c r="D38" s="558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68"/>
      <c r="T38" s="592"/>
      <c r="U38" s="592"/>
      <c r="V38" s="595"/>
      <c r="W38" s="595"/>
      <c r="X38" s="638">
        <f>V37/8/60*AG38</f>
        <v>0</v>
      </c>
      <c r="Y38" s="595"/>
      <c r="Z38" s="595"/>
      <c r="AA38" s="357"/>
      <c r="AB38" s="560"/>
      <c r="AC38" s="644"/>
      <c r="AD38" s="647"/>
      <c r="AE38" s="650"/>
      <c r="AF38" s="265"/>
      <c r="AG38" s="571">
        <v>0</v>
      </c>
      <c r="AH38" s="604"/>
      <c r="AK38" s="590"/>
    </row>
    <row r="39" spans="1:37" s="220" customFormat="1" ht="6" customHeight="1">
      <c r="A39" s="574"/>
      <c r="B39" s="577"/>
      <c r="C39" s="580"/>
      <c r="D39" s="382"/>
      <c r="E39" s="383"/>
      <c r="F39" s="384"/>
      <c r="G39" s="384"/>
      <c r="H39" s="384"/>
      <c r="I39" s="384"/>
      <c r="J39" s="384"/>
      <c r="K39" s="383"/>
      <c r="L39" s="383"/>
      <c r="M39" s="383"/>
      <c r="N39" s="384"/>
      <c r="O39" s="384"/>
      <c r="P39" s="381"/>
      <c r="Q39" s="381"/>
      <c r="R39" s="381"/>
      <c r="S39" s="566"/>
      <c r="T39" s="593"/>
      <c r="U39" s="593"/>
      <c r="V39" s="595"/>
      <c r="W39" s="595"/>
      <c r="X39" s="639"/>
      <c r="Y39" s="596"/>
      <c r="Z39" s="596"/>
      <c r="AA39" s="357">
        <f t="shared" ref="AA39" si="27">ROUND(SUM(Y39*0.03),2)</f>
        <v>0</v>
      </c>
      <c r="AB39" s="365"/>
      <c r="AC39" s="645"/>
      <c r="AD39" s="648"/>
      <c r="AE39" s="652"/>
      <c r="AF39" s="265"/>
      <c r="AG39" s="572"/>
      <c r="AH39" s="604"/>
      <c r="AK39" s="590"/>
    </row>
    <row r="40" spans="1:37" s="220" customFormat="1" ht="355.5" customHeight="1">
      <c r="A40" s="225"/>
      <c r="B40" s="672" t="s">
        <v>1147</v>
      </c>
      <c r="C40" s="673"/>
      <c r="D40" s="226"/>
      <c r="E40" s="227"/>
      <c r="F40" s="227"/>
      <c r="G40" s="227"/>
      <c r="H40" s="228"/>
      <c r="I40" s="228"/>
      <c r="J40" s="232"/>
      <c r="K40" s="227"/>
      <c r="L40" s="227"/>
      <c r="M40" s="227"/>
      <c r="N40" s="232"/>
      <c r="O40" s="228"/>
      <c r="P40" s="228"/>
      <c r="Q40" s="227"/>
      <c r="R40" s="227"/>
      <c r="S40" s="569"/>
      <c r="T40" s="251"/>
      <c r="U40" s="251"/>
      <c r="V40" s="252"/>
      <c r="W40" s="253"/>
      <c r="X40" s="249"/>
      <c r="Y40" s="247"/>
      <c r="Z40" s="247"/>
      <c r="AA40" s="245"/>
      <c r="AB40" s="269"/>
      <c r="AC40" s="270"/>
      <c r="AD40" s="378"/>
      <c r="AE40" s="548"/>
      <c r="AF40" s="265"/>
      <c r="AG40" s="330"/>
      <c r="AH40" s="604"/>
      <c r="AK40" s="590"/>
    </row>
    <row r="41" spans="1:37" s="220" customFormat="1" ht="17.100000000000001" customHeight="1">
      <c r="A41" s="229"/>
      <c r="B41" s="662"/>
      <c r="C41" s="663"/>
      <c r="D41" s="230"/>
      <c r="E41" s="224"/>
      <c r="F41" s="224"/>
      <c r="G41" s="224"/>
      <c r="H41" s="231"/>
      <c r="I41" s="231"/>
      <c r="J41" s="233"/>
      <c r="K41" s="224"/>
      <c r="L41" s="224"/>
      <c r="M41" s="224"/>
      <c r="N41" s="233"/>
      <c r="O41" s="231"/>
      <c r="P41" s="231"/>
      <c r="Q41" s="224"/>
      <c r="R41" s="224"/>
      <c r="S41" s="570"/>
      <c r="T41" s="255"/>
      <c r="U41" s="255"/>
      <c r="V41" s="256"/>
      <c r="W41" s="248"/>
      <c r="X41" s="257">
        <f>X16+X19+X22+X25+X28+X31+X34+X37</f>
        <v>1829.58</v>
      </c>
      <c r="Y41" s="257"/>
      <c r="Z41" s="257"/>
      <c r="AA41" s="257">
        <f>ROUND(SUM(AA16:AA39),2)</f>
        <v>5312.75</v>
      </c>
      <c r="AB41" s="257">
        <f>ROUND(SUM(AB16:AB39),2)</f>
        <v>1600</v>
      </c>
      <c r="AC41" s="561"/>
      <c r="AD41" s="379"/>
      <c r="AE41" s="550"/>
      <c r="AF41" s="265"/>
      <c r="AG41" s="330"/>
      <c r="AH41" s="604"/>
      <c r="AK41" s="590"/>
    </row>
    <row r="42" spans="1:37" s="220" customFormat="1" ht="17.100000000000001" customHeight="1">
      <c r="A42" s="229"/>
      <c r="B42" s="664"/>
      <c r="C42" s="665"/>
      <c r="D42" s="230"/>
      <c r="E42" s="224"/>
      <c r="F42" s="224"/>
      <c r="G42" s="224"/>
      <c r="H42" s="231"/>
      <c r="I42" s="231"/>
      <c r="J42" s="233"/>
      <c r="K42" s="224"/>
      <c r="L42" s="224"/>
      <c r="M42" s="224"/>
      <c r="N42" s="233"/>
      <c r="O42" s="231"/>
      <c r="P42" s="231"/>
      <c r="Q42" s="224"/>
      <c r="R42" s="224"/>
      <c r="S42" s="570"/>
      <c r="T42" s="255"/>
      <c r="U42" s="255"/>
      <c r="V42" s="256"/>
      <c r="W42" s="248"/>
      <c r="X42" s="257"/>
      <c r="Y42" s="257"/>
      <c r="Z42" s="257"/>
      <c r="AA42" s="257">
        <f>AA17+AA20+AA23+AA26+AA32+AA35+AA38</f>
        <v>0</v>
      </c>
      <c r="AB42" s="257"/>
      <c r="AC42" s="553"/>
      <c r="AD42" s="379"/>
      <c r="AE42" s="550"/>
      <c r="AF42" s="265"/>
      <c r="AG42" s="331"/>
      <c r="AH42" s="604"/>
      <c r="AK42" s="590"/>
    </row>
    <row r="43" spans="1:37" s="220" customFormat="1" ht="15" customHeight="1">
      <c r="A43" s="229"/>
      <c r="B43" s="666"/>
      <c r="C43" s="667"/>
      <c r="D43" s="230"/>
      <c r="E43" s="224"/>
      <c r="F43" s="224"/>
      <c r="G43" s="224"/>
      <c r="H43" s="231"/>
      <c r="I43" s="231"/>
      <c r="J43" s="233"/>
      <c r="K43" s="224"/>
      <c r="L43" s="224"/>
      <c r="M43" s="224"/>
      <c r="N43" s="233"/>
      <c r="O43" s="231"/>
      <c r="P43" s="231"/>
      <c r="Q43" s="224"/>
      <c r="R43" s="224"/>
      <c r="S43" s="570"/>
      <c r="T43" s="255"/>
      <c r="U43" s="255"/>
      <c r="V43" s="256"/>
      <c r="W43" s="248"/>
      <c r="X43" s="257">
        <f>-(687.93)</f>
        <v>-687.93</v>
      </c>
      <c r="Y43" s="257"/>
      <c r="Z43" s="257"/>
      <c r="AA43" s="257"/>
      <c r="AB43" s="257"/>
      <c r="AC43" s="562"/>
      <c r="AD43" s="379"/>
      <c r="AE43" s="551"/>
      <c r="AG43" s="330"/>
      <c r="AH43" s="604"/>
      <c r="AK43" s="590"/>
    </row>
    <row r="44" spans="1:37" s="220" customFormat="1" ht="15" customHeight="1">
      <c r="A44" s="668" t="s">
        <v>80</v>
      </c>
      <c r="B44" s="669"/>
      <c r="C44" s="669"/>
      <c r="D44" s="669"/>
      <c r="E44" s="669"/>
      <c r="F44" s="669"/>
      <c r="G44" s="669"/>
      <c r="H44" s="669"/>
      <c r="I44" s="669"/>
      <c r="J44" s="669"/>
      <c r="K44" s="669"/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70"/>
      <c r="W44" s="385">
        <f>ROUND(SUM(W16:W43),2)</f>
        <v>88723.82</v>
      </c>
      <c r="X44" s="386">
        <f>ROUND(SUM(X41+X43),2)</f>
        <v>1141.6500000000001</v>
      </c>
      <c r="Y44" s="385">
        <f>ROUND(SUM(Y16:Y39),2)</f>
        <v>89865.47</v>
      </c>
      <c r="Z44" s="385">
        <f>ROUND(SUM(Z16:Z39),2)</f>
        <v>87226.03</v>
      </c>
      <c r="AA44" s="386">
        <f>ROUND(SUM(AA41+AA42),2)</f>
        <v>5312.75</v>
      </c>
      <c r="AB44" s="386">
        <f>AB41</f>
        <v>1600</v>
      </c>
      <c r="AC44" s="385">
        <f>ROUND(SUM(AC16:AC39),2)</f>
        <v>6912.75</v>
      </c>
      <c r="AD44" s="385">
        <f>ROUND(SUM(AD16:AD39),2)</f>
        <v>82952.72</v>
      </c>
      <c r="AE44" s="549"/>
      <c r="AG44" s="331"/>
      <c r="AH44" s="543"/>
      <c r="AK44" s="544"/>
    </row>
    <row r="45" spans="1:37" s="220" customFormat="1" ht="17.100000000000001" customHeight="1">
      <c r="A45" s="277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84"/>
      <c r="X45" s="284"/>
      <c r="Y45" s="284"/>
      <c r="Z45" s="284"/>
      <c r="AA45" s="291"/>
      <c r="AB45" s="291"/>
      <c r="AC45" s="284"/>
      <c r="AD45" s="284"/>
      <c r="AE45" s="543"/>
      <c r="AH45" s="544"/>
    </row>
    <row r="46" spans="1:37" s="220" customFormat="1" ht="17.100000000000001" customHeight="1">
      <c r="A46" s="277"/>
      <c r="B46" s="278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84"/>
      <c r="X46" s="284"/>
      <c r="Y46" s="284"/>
      <c r="Z46" s="284"/>
      <c r="AA46" s="291"/>
      <c r="AB46" s="291"/>
      <c r="AC46" s="284"/>
      <c r="AD46" s="284"/>
      <c r="AE46" s="543"/>
      <c r="AH46" s="544"/>
    </row>
    <row r="47" spans="1:37" s="220" customFormat="1" ht="51" customHeight="1">
      <c r="A47" s="221"/>
      <c r="B47" s="671" t="s">
        <v>81</v>
      </c>
      <c r="C47" s="671"/>
      <c r="D47" s="671"/>
      <c r="E47" s="221"/>
      <c r="F47" s="221"/>
      <c r="G47" s="221"/>
      <c r="H47" s="221"/>
      <c r="I47" s="221"/>
      <c r="J47" s="671" t="s">
        <v>82</v>
      </c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221"/>
      <c r="Y47" s="674" t="s">
        <v>1144</v>
      </c>
      <c r="Z47" s="674"/>
      <c r="AA47" s="674"/>
      <c r="AB47" s="674"/>
      <c r="AC47" s="674"/>
      <c r="AD47" s="674"/>
      <c r="AE47" s="604"/>
      <c r="AH47" s="590"/>
    </row>
    <row r="48" spans="1:37" s="220" customFormat="1" ht="17.100000000000001" customHeight="1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347"/>
      <c r="W48" s="347"/>
      <c r="X48" s="184"/>
      <c r="Y48" s="184"/>
      <c r="Z48" s="184"/>
      <c r="AA48" s="259"/>
      <c r="AB48" s="259"/>
      <c r="AC48" s="184"/>
      <c r="AD48" s="184"/>
      <c r="AE48" s="604"/>
      <c r="AH48" s="590"/>
    </row>
    <row r="49" spans="1:34" s="220" customFormat="1" ht="17.100000000000001" customHeight="1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347"/>
      <c r="W49" s="347"/>
      <c r="X49" s="184"/>
      <c r="Y49" s="184"/>
      <c r="Z49" s="184"/>
      <c r="AA49" s="259"/>
      <c r="AB49" s="259"/>
      <c r="AC49" s="184"/>
      <c r="AD49" s="184"/>
      <c r="AE49" s="604"/>
      <c r="AH49" s="590"/>
    </row>
    <row r="50" spans="1:34" s="220" customFormat="1" ht="16.899999999999999" customHeight="1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347"/>
      <c r="W50" s="347"/>
      <c r="X50" s="184"/>
      <c r="Y50" s="184"/>
      <c r="Z50" s="184"/>
      <c r="AA50" s="259"/>
      <c r="AB50" s="259"/>
      <c r="AC50" s="184"/>
      <c r="AD50" s="184"/>
      <c r="AE50" s="604"/>
      <c r="AH50" s="590"/>
    </row>
    <row r="51" spans="1:34" s="220" customFormat="1" ht="17.100000000000001" customHeight="1">
      <c r="A51" s="221"/>
      <c r="B51" s="660" t="s">
        <v>1080</v>
      </c>
      <c r="C51" s="660"/>
      <c r="D51" s="221"/>
      <c r="E51" s="221"/>
      <c r="F51" s="221"/>
      <c r="G51" s="221"/>
      <c r="H51" s="221"/>
      <c r="I51" s="221"/>
      <c r="J51" s="660" t="s">
        <v>1082</v>
      </c>
      <c r="K51" s="660"/>
      <c r="L51" s="660"/>
      <c r="M51" s="660"/>
      <c r="N51" s="660"/>
      <c r="O51" s="660"/>
      <c r="P51" s="660"/>
      <c r="Q51" s="660"/>
      <c r="R51" s="660"/>
      <c r="S51" s="660"/>
      <c r="T51" s="660"/>
      <c r="U51" s="660"/>
      <c r="V51" s="660"/>
      <c r="W51" s="660"/>
      <c r="X51" s="221"/>
      <c r="AA51" s="547"/>
      <c r="AB51" s="547" t="s">
        <v>205</v>
      </c>
      <c r="AC51" s="547"/>
      <c r="AD51" s="547"/>
      <c r="AE51" s="604"/>
      <c r="AH51" s="590"/>
    </row>
    <row r="52" spans="1:34" s="220" customFormat="1" ht="17.100000000000001" customHeight="1">
      <c r="A52" s="221"/>
      <c r="B52" s="661" t="s">
        <v>1081</v>
      </c>
      <c r="C52" s="661"/>
      <c r="D52" s="221"/>
      <c r="E52" s="221"/>
      <c r="F52" s="221"/>
      <c r="G52" s="221"/>
      <c r="H52" s="221"/>
      <c r="I52" s="221"/>
      <c r="J52" s="661" t="s">
        <v>1083</v>
      </c>
      <c r="K52" s="661"/>
      <c r="L52" s="661"/>
      <c r="M52" s="661"/>
      <c r="N52" s="661"/>
      <c r="O52" s="661"/>
      <c r="P52" s="661"/>
      <c r="Q52" s="661"/>
      <c r="R52" s="661"/>
      <c r="S52" s="661"/>
      <c r="T52" s="661"/>
      <c r="U52" s="661"/>
      <c r="V52" s="661"/>
      <c r="W52" s="661"/>
      <c r="X52" s="221"/>
      <c r="AA52" s="545"/>
      <c r="AB52" s="545" t="s">
        <v>206</v>
      </c>
      <c r="AC52" s="545"/>
      <c r="AD52" s="545"/>
      <c r="AE52" s="604"/>
      <c r="AH52" s="590"/>
    </row>
    <row r="53" spans="1:34" s="220" customFormat="1" ht="17.100000000000001" customHeight="1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347"/>
      <c r="W53" s="347"/>
      <c r="X53" s="347"/>
      <c r="Y53" s="347"/>
      <c r="Z53" s="347"/>
      <c r="AA53" s="222"/>
      <c r="AB53" s="222"/>
      <c r="AC53" s="347"/>
      <c r="AD53" s="347"/>
      <c r="AE53" s="604"/>
      <c r="AH53" s="590"/>
    </row>
    <row r="54" spans="1:34" s="220" customFormat="1" ht="178.5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347"/>
      <c r="W54" s="347"/>
      <c r="X54" s="347"/>
      <c r="Y54" s="347"/>
      <c r="Z54" s="347"/>
      <c r="AA54" s="222"/>
      <c r="AB54" s="222"/>
      <c r="AC54" s="347"/>
      <c r="AD54" s="347"/>
    </row>
    <row r="55" spans="1:34" s="220" customFormat="1" ht="17.100000000000001" customHeight="1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347"/>
      <c r="W55" s="347"/>
      <c r="X55" s="347"/>
      <c r="Y55" s="347"/>
      <c r="Z55" s="347"/>
      <c r="AA55" s="222"/>
      <c r="AB55" s="222"/>
      <c r="AC55" s="347"/>
      <c r="AD55" s="347"/>
    </row>
    <row r="56" spans="1:34" s="220" customFormat="1" ht="17.100000000000001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347"/>
      <c r="W56" s="347"/>
      <c r="X56" s="347"/>
      <c r="Y56" s="347"/>
      <c r="Z56" s="347"/>
      <c r="AA56" s="222"/>
      <c r="AB56" s="222"/>
      <c r="AC56" s="347"/>
      <c r="AD56" s="347"/>
    </row>
    <row r="57" spans="1:34" s="220" customFormat="1" ht="17.100000000000001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347"/>
      <c r="W57" s="347"/>
      <c r="X57" s="347"/>
      <c r="Y57" s="347"/>
      <c r="Z57" s="347"/>
      <c r="AA57" s="222"/>
      <c r="AB57" s="222"/>
      <c r="AC57" s="347"/>
      <c r="AD57" s="347"/>
    </row>
    <row r="58" spans="1:34" ht="12" customHeight="1">
      <c r="AE58" s="184"/>
    </row>
    <row r="59" spans="1:34" s="181" customFormat="1" ht="30" customHeight="1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347"/>
      <c r="W59" s="347"/>
      <c r="X59" s="347"/>
      <c r="Y59" s="347"/>
      <c r="Z59" s="347"/>
      <c r="AA59" s="222"/>
      <c r="AB59" s="222"/>
      <c r="AC59" s="347"/>
      <c r="AD59" s="347"/>
    </row>
    <row r="60" spans="1:34" s="181" customFormat="1" ht="24" customHeight="1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347"/>
      <c r="W60" s="347"/>
      <c r="X60" s="347"/>
      <c r="Y60" s="347"/>
      <c r="Z60" s="347"/>
      <c r="AA60" s="222"/>
      <c r="AB60" s="222"/>
      <c r="AC60" s="347"/>
      <c r="AD60" s="347"/>
      <c r="AE60" s="348"/>
    </row>
    <row r="61" spans="1:34" s="181" customFormat="1" ht="9.9499999999999993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347"/>
      <c r="W61" s="347"/>
      <c r="X61" s="347"/>
      <c r="Y61" s="347"/>
      <c r="Z61" s="347"/>
      <c r="AA61" s="222"/>
      <c r="AB61" s="222"/>
      <c r="AC61" s="347"/>
      <c r="AD61" s="347"/>
      <c r="AE61" s="348"/>
      <c r="AG61" s="292"/>
    </row>
    <row r="62" spans="1:34" s="221" customFormat="1" ht="60" customHeight="1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347"/>
      <c r="W62" s="347"/>
      <c r="X62" s="347"/>
      <c r="Y62" s="347"/>
      <c r="Z62" s="347"/>
      <c r="AA62" s="222"/>
      <c r="AB62" s="222"/>
      <c r="AC62" s="347"/>
      <c r="AD62" s="347"/>
      <c r="AE62" s="546"/>
    </row>
    <row r="63" spans="1:34">
      <c r="AE63" s="181"/>
    </row>
    <row r="64" spans="1:34">
      <c r="AE64" s="181"/>
    </row>
    <row r="65" spans="1:31">
      <c r="AE65" s="181"/>
    </row>
    <row r="66" spans="1:31" s="221" customFormat="1" ht="15" customHeight="1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347"/>
      <c r="W66" s="347"/>
      <c r="X66" s="347"/>
      <c r="Y66" s="347"/>
      <c r="Z66" s="347"/>
      <c r="AA66" s="222"/>
      <c r="AB66" s="222"/>
      <c r="AC66" s="347"/>
      <c r="AD66" s="347"/>
      <c r="AE66" s="547"/>
    </row>
    <row r="67" spans="1:31" s="221" customFormat="1" ht="15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347"/>
      <c r="W67" s="347"/>
      <c r="X67" s="347"/>
      <c r="Y67" s="347"/>
      <c r="Z67" s="347"/>
      <c r="AA67" s="222"/>
      <c r="AB67" s="222"/>
      <c r="AC67" s="347"/>
      <c r="AD67" s="347"/>
      <c r="AE67" s="545"/>
    </row>
  </sheetData>
  <mergeCells count="255">
    <mergeCell ref="L35:L36"/>
    <mergeCell ref="M35:M36"/>
    <mergeCell ref="N35:N36"/>
    <mergeCell ref="O35:O36"/>
    <mergeCell ref="P35:P36"/>
    <mergeCell ref="Q35:Q36"/>
    <mergeCell ref="AG35:AG36"/>
    <mergeCell ref="AG38:AG39"/>
    <mergeCell ref="M32:M33"/>
    <mergeCell ref="N32:N33"/>
    <mergeCell ref="O32:O33"/>
    <mergeCell ref="P32:P33"/>
    <mergeCell ref="Q32:Q33"/>
    <mergeCell ref="R32:R33"/>
    <mergeCell ref="V34:V36"/>
    <mergeCell ref="W34:W36"/>
    <mergeCell ref="AC34:AC36"/>
    <mergeCell ref="Y34:Y36"/>
    <mergeCell ref="Y31:Y33"/>
    <mergeCell ref="V31:V33"/>
    <mergeCell ref="W31:W33"/>
    <mergeCell ref="F35:F36"/>
    <mergeCell ref="G35:G36"/>
    <mergeCell ref="H35:H36"/>
    <mergeCell ref="I35:I36"/>
    <mergeCell ref="J35:J36"/>
    <mergeCell ref="K35:K36"/>
    <mergeCell ref="A34:A36"/>
    <mergeCell ref="B34:B36"/>
    <mergeCell ref="C34:C36"/>
    <mergeCell ref="D35:D36"/>
    <mergeCell ref="E35:E36"/>
    <mergeCell ref="M29:M30"/>
    <mergeCell ref="N29:N30"/>
    <mergeCell ref="O29:O30"/>
    <mergeCell ref="P29:P30"/>
    <mergeCell ref="Q29:Q30"/>
    <mergeCell ref="Q26:Q27"/>
    <mergeCell ref="P23:P24"/>
    <mergeCell ref="Y19:Y21"/>
    <mergeCell ref="Y22:Y24"/>
    <mergeCell ref="Y25:Y27"/>
    <mergeCell ref="Y28:Y30"/>
    <mergeCell ref="V19:V21"/>
    <mergeCell ref="V22:V24"/>
    <mergeCell ref="V25:V27"/>
    <mergeCell ref="V28:V30"/>
    <mergeCell ref="W19:W21"/>
    <mergeCell ref="W22:W24"/>
    <mergeCell ref="W25:W27"/>
    <mergeCell ref="W28:W30"/>
    <mergeCell ref="M26:M27"/>
    <mergeCell ref="N26:N27"/>
    <mergeCell ref="O26:O27"/>
    <mergeCell ref="P26:P27"/>
    <mergeCell ref="M23:M24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H26:H27"/>
    <mergeCell ref="I26:I27"/>
    <mergeCell ref="K26:K27"/>
    <mergeCell ref="J23:J24"/>
    <mergeCell ref="K23:K24"/>
    <mergeCell ref="L23:L24"/>
    <mergeCell ref="K29:K30"/>
    <mergeCell ref="L26:L27"/>
    <mergeCell ref="J26:J27"/>
    <mergeCell ref="L29:L30"/>
    <mergeCell ref="R17:R18"/>
    <mergeCell ref="D23:D24"/>
    <mergeCell ref="E23:E24"/>
    <mergeCell ref="F23:F24"/>
    <mergeCell ref="G23:G24"/>
    <mergeCell ref="H23:H24"/>
    <mergeCell ref="I23:I24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Q23:Q24"/>
    <mergeCell ref="N23:N24"/>
    <mergeCell ref="O23:O24"/>
    <mergeCell ref="R23:R24"/>
    <mergeCell ref="R20:R21"/>
    <mergeCell ref="I20:I21"/>
    <mergeCell ref="AE50:AE53"/>
    <mergeCell ref="AH50:AH53"/>
    <mergeCell ref="B51:C51"/>
    <mergeCell ref="J51:W51"/>
    <mergeCell ref="B52:C52"/>
    <mergeCell ref="J52:W52"/>
    <mergeCell ref="AH37:AH43"/>
    <mergeCell ref="B37:B39"/>
    <mergeCell ref="C37:C39"/>
    <mergeCell ref="B41:C41"/>
    <mergeCell ref="B42:C42"/>
    <mergeCell ref="B43:C43"/>
    <mergeCell ref="A44:V44"/>
    <mergeCell ref="B47:D47"/>
    <mergeCell ref="J47:W47"/>
    <mergeCell ref="B40:C40"/>
    <mergeCell ref="AD37:AD39"/>
    <mergeCell ref="Y47:AD47"/>
    <mergeCell ref="A37:A39"/>
    <mergeCell ref="X38:X39"/>
    <mergeCell ref="Z37:Z39"/>
    <mergeCell ref="AE47:AE49"/>
    <mergeCell ref="AH47:AH49"/>
    <mergeCell ref="T19:T21"/>
    <mergeCell ref="T22:T24"/>
    <mergeCell ref="T25:T27"/>
    <mergeCell ref="R29:R30"/>
    <mergeCell ref="AD34:AD36"/>
    <mergeCell ref="AE34:AE36"/>
    <mergeCell ref="AD28:AD30"/>
    <mergeCell ref="AD31:AD33"/>
    <mergeCell ref="R35:R36"/>
    <mergeCell ref="T34:T36"/>
    <mergeCell ref="U34:U36"/>
    <mergeCell ref="X35:X36"/>
    <mergeCell ref="Z34:Z36"/>
    <mergeCell ref="AD19:AD21"/>
    <mergeCell ref="AD22:AD24"/>
    <mergeCell ref="AD25:AD27"/>
    <mergeCell ref="AE19:AE21"/>
    <mergeCell ref="AE22:AE24"/>
    <mergeCell ref="AE25:AE27"/>
    <mergeCell ref="AC19:AC21"/>
    <mergeCell ref="AC22:AC24"/>
    <mergeCell ref="AC25:AC27"/>
    <mergeCell ref="R26:R27"/>
    <mergeCell ref="T28:T30"/>
    <mergeCell ref="AE28:AE30"/>
    <mergeCell ref="AE31:AE33"/>
    <mergeCell ref="AC28:AC30"/>
    <mergeCell ref="AC31:AC33"/>
    <mergeCell ref="AK37:AK43"/>
    <mergeCell ref="T37:T39"/>
    <mergeCell ref="U37:U39"/>
    <mergeCell ref="V37:V39"/>
    <mergeCell ref="W37:W39"/>
    <mergeCell ref="Y37:Y39"/>
    <mergeCell ref="AC37:AC39"/>
    <mergeCell ref="AG32:AG33"/>
    <mergeCell ref="AG29:AG30"/>
    <mergeCell ref="P17:P18"/>
    <mergeCell ref="Q17:Q18"/>
    <mergeCell ref="Y16:Y18"/>
    <mergeCell ref="AC16:AC18"/>
    <mergeCell ref="AD16:AD18"/>
    <mergeCell ref="AE16:AE18"/>
    <mergeCell ref="AE37:AE39"/>
    <mergeCell ref="T31:T33"/>
    <mergeCell ref="U19:U21"/>
    <mergeCell ref="U22:U24"/>
    <mergeCell ref="U25:U27"/>
    <mergeCell ref="U28:U30"/>
    <mergeCell ref="U31:U33"/>
    <mergeCell ref="P20:P21"/>
    <mergeCell ref="Q20:Q21"/>
    <mergeCell ref="X26:X27"/>
    <mergeCell ref="X29:X30"/>
    <mergeCell ref="X32:X33"/>
    <mergeCell ref="Z16:Z18"/>
    <mergeCell ref="Z19:Z21"/>
    <mergeCell ref="Z22:Z24"/>
    <mergeCell ref="Z25:Z27"/>
    <mergeCell ref="Z28:Z30"/>
    <mergeCell ref="Z31:Z33"/>
    <mergeCell ref="AH15:AH18"/>
    <mergeCell ref="AG23:AG24"/>
    <mergeCell ref="B1:AE1"/>
    <mergeCell ref="B2:AE2"/>
    <mergeCell ref="B3:AE3"/>
    <mergeCell ref="B4:AE4"/>
    <mergeCell ref="B5:AE5"/>
    <mergeCell ref="A7:AE7"/>
    <mergeCell ref="AD8:AE8"/>
    <mergeCell ref="AD10:AE10"/>
    <mergeCell ref="A13:A15"/>
    <mergeCell ref="B13:B15"/>
    <mergeCell ref="C13:C15"/>
    <mergeCell ref="D13:R13"/>
    <mergeCell ref="T13:T15"/>
    <mergeCell ref="U13:U15"/>
    <mergeCell ref="V13:V15"/>
    <mergeCell ref="W13:W15"/>
    <mergeCell ref="Z13:Z15"/>
    <mergeCell ref="AC13:AC15"/>
    <mergeCell ref="A22:A24"/>
    <mergeCell ref="X17:X18"/>
    <mergeCell ref="X20:X21"/>
    <mergeCell ref="X23:X24"/>
    <mergeCell ref="AK15:AK18"/>
    <mergeCell ref="A16:A18"/>
    <mergeCell ref="B16:B18"/>
    <mergeCell ref="C16:C18"/>
    <mergeCell ref="T16:T18"/>
    <mergeCell ref="U16:U18"/>
    <mergeCell ref="V16:V18"/>
    <mergeCell ref="W16:W18"/>
    <mergeCell ref="A19:A21"/>
    <mergeCell ref="K17:K18"/>
    <mergeCell ref="L17:L18"/>
    <mergeCell ref="M17:M18"/>
    <mergeCell ref="N17:N18"/>
    <mergeCell ref="AG20:AG21"/>
    <mergeCell ref="O17:O18"/>
    <mergeCell ref="D17:D18"/>
    <mergeCell ref="E17:E18"/>
    <mergeCell ref="F17:F18"/>
    <mergeCell ref="G17:G18"/>
    <mergeCell ref="H17:H18"/>
    <mergeCell ref="I17:I18"/>
    <mergeCell ref="AG17:AG18"/>
    <mergeCell ref="B19:B21"/>
    <mergeCell ref="C19:C21"/>
    <mergeCell ref="AG26:AG27"/>
    <mergeCell ref="A25:A27"/>
    <mergeCell ref="A28:A30"/>
    <mergeCell ref="A31:A33"/>
    <mergeCell ref="B28:B30"/>
    <mergeCell ref="C28:C30"/>
    <mergeCell ref="B31:B33"/>
    <mergeCell ref="C31:C33"/>
    <mergeCell ref="J17:J18"/>
    <mergeCell ref="B22:B24"/>
    <mergeCell ref="C22:C24"/>
    <mergeCell ref="B25:B27"/>
    <mergeCell ref="C25:C27"/>
    <mergeCell ref="D26:D27"/>
    <mergeCell ref="E26:E27"/>
    <mergeCell ref="D29:D30"/>
    <mergeCell ref="E29:E30"/>
    <mergeCell ref="F29:F30"/>
    <mergeCell ref="G29:G30"/>
    <mergeCell ref="H29:H30"/>
    <mergeCell ref="I29:I30"/>
    <mergeCell ref="J29:J30"/>
    <mergeCell ref="F26:F27"/>
    <mergeCell ref="G26:G27"/>
  </mergeCells>
  <pageMargins left="0.32121212121212123" right="0.11041666666666666" top="0.23611111111111099" bottom="0.25" header="0.31458333333333299" footer="6.4583333000000007E-2"/>
  <pageSetup paperSize="14" scale="50" fitToWidth="0" fitToHeight="0" orientation="landscape" verticalDpi="360" r:id="rId1"/>
  <headerFooter>
    <oddFooter>&amp;L&amp;"Tahoma,Italic"&amp;8NIA-AlCat RV-AFD-FIN-INT-Form39Rev00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0"/>
  <sheetViews>
    <sheetView topLeftCell="A22" zoomScaleNormal="100" workbookViewId="0">
      <selection activeCell="B20" sqref="B20"/>
    </sheetView>
  </sheetViews>
  <sheetFormatPr defaultColWidth="9" defaultRowHeight="12.75"/>
  <cols>
    <col min="1" max="1" width="14.5703125" style="184" customWidth="1"/>
    <col min="2" max="2" width="14" style="184" customWidth="1"/>
    <col min="3" max="4" width="17.85546875" style="184" customWidth="1"/>
    <col min="5" max="5" width="32.140625" style="184" customWidth="1"/>
    <col min="6" max="6" width="22.140625" style="184" customWidth="1"/>
    <col min="7" max="7" width="12.42578125" style="184" customWidth="1"/>
    <col min="8" max="8" width="15" style="185" customWidth="1"/>
    <col min="9" max="9" width="12.140625" style="184" customWidth="1"/>
    <col min="10" max="10" width="12.7109375" style="184" customWidth="1"/>
    <col min="11" max="256" width="9" style="184"/>
    <col min="257" max="257" width="14.5703125" style="184" customWidth="1"/>
    <col min="258" max="258" width="14" style="184" customWidth="1"/>
    <col min="259" max="260" width="17.85546875" style="184" customWidth="1"/>
    <col min="261" max="261" width="30.5703125" style="184" customWidth="1"/>
    <col min="262" max="262" width="22.140625" style="184" customWidth="1"/>
    <col min="263" max="263" width="12.42578125" style="184" customWidth="1"/>
    <col min="264" max="264" width="15" style="184" customWidth="1"/>
    <col min="265" max="265" width="12.140625" style="184" customWidth="1"/>
    <col min="266" max="266" width="12.7109375" style="184" customWidth="1"/>
    <col min="267" max="512" width="9" style="184"/>
    <col min="513" max="513" width="14.5703125" style="184" customWidth="1"/>
    <col min="514" max="514" width="14" style="184" customWidth="1"/>
    <col min="515" max="516" width="17.85546875" style="184" customWidth="1"/>
    <col min="517" max="517" width="30.5703125" style="184" customWidth="1"/>
    <col min="518" max="518" width="22.140625" style="184" customWidth="1"/>
    <col min="519" max="519" width="12.42578125" style="184" customWidth="1"/>
    <col min="520" max="520" width="15" style="184" customWidth="1"/>
    <col min="521" max="521" width="12.140625" style="184" customWidth="1"/>
    <col min="522" max="522" width="12.7109375" style="184" customWidth="1"/>
    <col min="523" max="768" width="9" style="184"/>
    <col min="769" max="769" width="14.5703125" style="184" customWidth="1"/>
    <col min="770" max="770" width="14" style="184" customWidth="1"/>
    <col min="771" max="772" width="17.85546875" style="184" customWidth="1"/>
    <col min="773" max="773" width="30.5703125" style="184" customWidth="1"/>
    <col min="774" max="774" width="22.140625" style="184" customWidth="1"/>
    <col min="775" max="775" width="12.42578125" style="184" customWidth="1"/>
    <col min="776" max="776" width="15" style="184" customWidth="1"/>
    <col min="777" max="777" width="12.140625" style="184" customWidth="1"/>
    <col min="778" max="778" width="12.7109375" style="184" customWidth="1"/>
    <col min="779" max="1024" width="9" style="184"/>
    <col min="1025" max="1025" width="14.5703125" style="184" customWidth="1"/>
    <col min="1026" max="1026" width="14" style="184" customWidth="1"/>
    <col min="1027" max="1028" width="17.85546875" style="184" customWidth="1"/>
    <col min="1029" max="1029" width="30.5703125" style="184" customWidth="1"/>
    <col min="1030" max="1030" width="22.140625" style="184" customWidth="1"/>
    <col min="1031" max="1031" width="12.42578125" style="184" customWidth="1"/>
    <col min="1032" max="1032" width="15" style="184" customWidth="1"/>
    <col min="1033" max="1033" width="12.140625" style="184" customWidth="1"/>
    <col min="1034" max="1034" width="12.7109375" style="184" customWidth="1"/>
    <col min="1035" max="1280" width="9" style="184"/>
    <col min="1281" max="1281" width="14.5703125" style="184" customWidth="1"/>
    <col min="1282" max="1282" width="14" style="184" customWidth="1"/>
    <col min="1283" max="1284" width="17.85546875" style="184" customWidth="1"/>
    <col min="1285" max="1285" width="30.5703125" style="184" customWidth="1"/>
    <col min="1286" max="1286" width="22.140625" style="184" customWidth="1"/>
    <col min="1287" max="1287" width="12.42578125" style="184" customWidth="1"/>
    <col min="1288" max="1288" width="15" style="184" customWidth="1"/>
    <col min="1289" max="1289" width="12.140625" style="184" customWidth="1"/>
    <col min="1290" max="1290" width="12.7109375" style="184" customWidth="1"/>
    <col min="1291" max="1536" width="9" style="184"/>
    <col min="1537" max="1537" width="14.5703125" style="184" customWidth="1"/>
    <col min="1538" max="1538" width="14" style="184" customWidth="1"/>
    <col min="1539" max="1540" width="17.85546875" style="184" customWidth="1"/>
    <col min="1541" max="1541" width="30.5703125" style="184" customWidth="1"/>
    <col min="1542" max="1542" width="22.140625" style="184" customWidth="1"/>
    <col min="1543" max="1543" width="12.42578125" style="184" customWidth="1"/>
    <col min="1544" max="1544" width="15" style="184" customWidth="1"/>
    <col min="1545" max="1545" width="12.140625" style="184" customWidth="1"/>
    <col min="1546" max="1546" width="12.7109375" style="184" customWidth="1"/>
    <col min="1547" max="1792" width="9" style="184"/>
    <col min="1793" max="1793" width="14.5703125" style="184" customWidth="1"/>
    <col min="1794" max="1794" width="14" style="184" customWidth="1"/>
    <col min="1795" max="1796" width="17.85546875" style="184" customWidth="1"/>
    <col min="1797" max="1797" width="30.5703125" style="184" customWidth="1"/>
    <col min="1798" max="1798" width="22.140625" style="184" customWidth="1"/>
    <col min="1799" max="1799" width="12.42578125" style="184" customWidth="1"/>
    <col min="1800" max="1800" width="15" style="184" customWidth="1"/>
    <col min="1801" max="1801" width="12.140625" style="184" customWidth="1"/>
    <col min="1802" max="1802" width="12.7109375" style="184" customWidth="1"/>
    <col min="1803" max="2048" width="9" style="184"/>
    <col min="2049" max="2049" width="14.5703125" style="184" customWidth="1"/>
    <col min="2050" max="2050" width="14" style="184" customWidth="1"/>
    <col min="2051" max="2052" width="17.85546875" style="184" customWidth="1"/>
    <col min="2053" max="2053" width="30.5703125" style="184" customWidth="1"/>
    <col min="2054" max="2054" width="22.140625" style="184" customWidth="1"/>
    <col min="2055" max="2055" width="12.42578125" style="184" customWidth="1"/>
    <col min="2056" max="2056" width="15" style="184" customWidth="1"/>
    <col min="2057" max="2057" width="12.140625" style="184" customWidth="1"/>
    <col min="2058" max="2058" width="12.7109375" style="184" customWidth="1"/>
    <col min="2059" max="2304" width="9" style="184"/>
    <col min="2305" max="2305" width="14.5703125" style="184" customWidth="1"/>
    <col min="2306" max="2306" width="14" style="184" customWidth="1"/>
    <col min="2307" max="2308" width="17.85546875" style="184" customWidth="1"/>
    <col min="2309" max="2309" width="30.5703125" style="184" customWidth="1"/>
    <col min="2310" max="2310" width="22.140625" style="184" customWidth="1"/>
    <col min="2311" max="2311" width="12.42578125" style="184" customWidth="1"/>
    <col min="2312" max="2312" width="15" style="184" customWidth="1"/>
    <col min="2313" max="2313" width="12.140625" style="184" customWidth="1"/>
    <col min="2314" max="2314" width="12.7109375" style="184" customWidth="1"/>
    <col min="2315" max="2560" width="9" style="184"/>
    <col min="2561" max="2561" width="14.5703125" style="184" customWidth="1"/>
    <col min="2562" max="2562" width="14" style="184" customWidth="1"/>
    <col min="2563" max="2564" width="17.85546875" style="184" customWidth="1"/>
    <col min="2565" max="2565" width="30.5703125" style="184" customWidth="1"/>
    <col min="2566" max="2566" width="22.140625" style="184" customWidth="1"/>
    <col min="2567" max="2567" width="12.42578125" style="184" customWidth="1"/>
    <col min="2568" max="2568" width="15" style="184" customWidth="1"/>
    <col min="2569" max="2569" width="12.140625" style="184" customWidth="1"/>
    <col min="2570" max="2570" width="12.7109375" style="184" customWidth="1"/>
    <col min="2571" max="2816" width="9" style="184"/>
    <col min="2817" max="2817" width="14.5703125" style="184" customWidth="1"/>
    <col min="2818" max="2818" width="14" style="184" customWidth="1"/>
    <col min="2819" max="2820" width="17.85546875" style="184" customWidth="1"/>
    <col min="2821" max="2821" width="30.5703125" style="184" customWidth="1"/>
    <col min="2822" max="2822" width="22.140625" style="184" customWidth="1"/>
    <col min="2823" max="2823" width="12.42578125" style="184" customWidth="1"/>
    <col min="2824" max="2824" width="15" style="184" customWidth="1"/>
    <col min="2825" max="2825" width="12.140625" style="184" customWidth="1"/>
    <col min="2826" max="2826" width="12.7109375" style="184" customWidth="1"/>
    <col min="2827" max="3072" width="9" style="184"/>
    <col min="3073" max="3073" width="14.5703125" style="184" customWidth="1"/>
    <col min="3074" max="3074" width="14" style="184" customWidth="1"/>
    <col min="3075" max="3076" width="17.85546875" style="184" customWidth="1"/>
    <col min="3077" max="3077" width="30.5703125" style="184" customWidth="1"/>
    <col min="3078" max="3078" width="22.140625" style="184" customWidth="1"/>
    <col min="3079" max="3079" width="12.42578125" style="184" customWidth="1"/>
    <col min="3080" max="3080" width="15" style="184" customWidth="1"/>
    <col min="3081" max="3081" width="12.140625" style="184" customWidth="1"/>
    <col min="3082" max="3082" width="12.7109375" style="184" customWidth="1"/>
    <col min="3083" max="3328" width="9" style="184"/>
    <col min="3329" max="3329" width="14.5703125" style="184" customWidth="1"/>
    <col min="3330" max="3330" width="14" style="184" customWidth="1"/>
    <col min="3331" max="3332" width="17.85546875" style="184" customWidth="1"/>
    <col min="3333" max="3333" width="30.5703125" style="184" customWidth="1"/>
    <col min="3334" max="3334" width="22.140625" style="184" customWidth="1"/>
    <col min="3335" max="3335" width="12.42578125" style="184" customWidth="1"/>
    <col min="3336" max="3336" width="15" style="184" customWidth="1"/>
    <col min="3337" max="3337" width="12.140625" style="184" customWidth="1"/>
    <col min="3338" max="3338" width="12.7109375" style="184" customWidth="1"/>
    <col min="3339" max="3584" width="9" style="184"/>
    <col min="3585" max="3585" width="14.5703125" style="184" customWidth="1"/>
    <col min="3586" max="3586" width="14" style="184" customWidth="1"/>
    <col min="3587" max="3588" width="17.85546875" style="184" customWidth="1"/>
    <col min="3589" max="3589" width="30.5703125" style="184" customWidth="1"/>
    <col min="3590" max="3590" width="22.140625" style="184" customWidth="1"/>
    <col min="3591" max="3591" width="12.42578125" style="184" customWidth="1"/>
    <col min="3592" max="3592" width="15" style="184" customWidth="1"/>
    <col min="3593" max="3593" width="12.140625" style="184" customWidth="1"/>
    <col min="3594" max="3594" width="12.7109375" style="184" customWidth="1"/>
    <col min="3595" max="3840" width="9" style="184"/>
    <col min="3841" max="3841" width="14.5703125" style="184" customWidth="1"/>
    <col min="3842" max="3842" width="14" style="184" customWidth="1"/>
    <col min="3843" max="3844" width="17.85546875" style="184" customWidth="1"/>
    <col min="3845" max="3845" width="30.5703125" style="184" customWidth="1"/>
    <col min="3846" max="3846" width="22.140625" style="184" customWidth="1"/>
    <col min="3847" max="3847" width="12.42578125" style="184" customWidth="1"/>
    <col min="3848" max="3848" width="15" style="184" customWidth="1"/>
    <col min="3849" max="3849" width="12.140625" style="184" customWidth="1"/>
    <col min="3850" max="3850" width="12.7109375" style="184" customWidth="1"/>
    <col min="3851" max="4096" width="9" style="184"/>
    <col min="4097" max="4097" width="14.5703125" style="184" customWidth="1"/>
    <col min="4098" max="4098" width="14" style="184" customWidth="1"/>
    <col min="4099" max="4100" width="17.85546875" style="184" customWidth="1"/>
    <col min="4101" max="4101" width="30.5703125" style="184" customWidth="1"/>
    <col min="4102" max="4102" width="22.140625" style="184" customWidth="1"/>
    <col min="4103" max="4103" width="12.42578125" style="184" customWidth="1"/>
    <col min="4104" max="4104" width="15" style="184" customWidth="1"/>
    <col min="4105" max="4105" width="12.140625" style="184" customWidth="1"/>
    <col min="4106" max="4106" width="12.7109375" style="184" customWidth="1"/>
    <col min="4107" max="4352" width="9" style="184"/>
    <col min="4353" max="4353" width="14.5703125" style="184" customWidth="1"/>
    <col min="4354" max="4354" width="14" style="184" customWidth="1"/>
    <col min="4355" max="4356" width="17.85546875" style="184" customWidth="1"/>
    <col min="4357" max="4357" width="30.5703125" style="184" customWidth="1"/>
    <col min="4358" max="4358" width="22.140625" style="184" customWidth="1"/>
    <col min="4359" max="4359" width="12.42578125" style="184" customWidth="1"/>
    <col min="4360" max="4360" width="15" style="184" customWidth="1"/>
    <col min="4361" max="4361" width="12.140625" style="184" customWidth="1"/>
    <col min="4362" max="4362" width="12.7109375" style="184" customWidth="1"/>
    <col min="4363" max="4608" width="9" style="184"/>
    <col min="4609" max="4609" width="14.5703125" style="184" customWidth="1"/>
    <col min="4610" max="4610" width="14" style="184" customWidth="1"/>
    <col min="4611" max="4612" width="17.85546875" style="184" customWidth="1"/>
    <col min="4613" max="4613" width="30.5703125" style="184" customWidth="1"/>
    <col min="4614" max="4614" width="22.140625" style="184" customWidth="1"/>
    <col min="4615" max="4615" width="12.42578125" style="184" customWidth="1"/>
    <col min="4616" max="4616" width="15" style="184" customWidth="1"/>
    <col min="4617" max="4617" width="12.140625" style="184" customWidth="1"/>
    <col min="4618" max="4618" width="12.7109375" style="184" customWidth="1"/>
    <col min="4619" max="4864" width="9" style="184"/>
    <col min="4865" max="4865" width="14.5703125" style="184" customWidth="1"/>
    <col min="4866" max="4866" width="14" style="184" customWidth="1"/>
    <col min="4867" max="4868" width="17.85546875" style="184" customWidth="1"/>
    <col min="4869" max="4869" width="30.5703125" style="184" customWidth="1"/>
    <col min="4870" max="4870" width="22.140625" style="184" customWidth="1"/>
    <col min="4871" max="4871" width="12.42578125" style="184" customWidth="1"/>
    <col min="4872" max="4872" width="15" style="184" customWidth="1"/>
    <col min="4873" max="4873" width="12.140625" style="184" customWidth="1"/>
    <col min="4874" max="4874" width="12.7109375" style="184" customWidth="1"/>
    <col min="4875" max="5120" width="9" style="184"/>
    <col min="5121" max="5121" width="14.5703125" style="184" customWidth="1"/>
    <col min="5122" max="5122" width="14" style="184" customWidth="1"/>
    <col min="5123" max="5124" width="17.85546875" style="184" customWidth="1"/>
    <col min="5125" max="5125" width="30.5703125" style="184" customWidth="1"/>
    <col min="5126" max="5126" width="22.140625" style="184" customWidth="1"/>
    <col min="5127" max="5127" width="12.42578125" style="184" customWidth="1"/>
    <col min="5128" max="5128" width="15" style="184" customWidth="1"/>
    <col min="5129" max="5129" width="12.140625" style="184" customWidth="1"/>
    <col min="5130" max="5130" width="12.7109375" style="184" customWidth="1"/>
    <col min="5131" max="5376" width="9" style="184"/>
    <col min="5377" max="5377" width="14.5703125" style="184" customWidth="1"/>
    <col min="5378" max="5378" width="14" style="184" customWidth="1"/>
    <col min="5379" max="5380" width="17.85546875" style="184" customWidth="1"/>
    <col min="5381" max="5381" width="30.5703125" style="184" customWidth="1"/>
    <col min="5382" max="5382" width="22.140625" style="184" customWidth="1"/>
    <col min="5383" max="5383" width="12.42578125" style="184" customWidth="1"/>
    <col min="5384" max="5384" width="15" style="184" customWidth="1"/>
    <col min="5385" max="5385" width="12.140625" style="184" customWidth="1"/>
    <col min="5386" max="5386" width="12.7109375" style="184" customWidth="1"/>
    <col min="5387" max="5632" width="9" style="184"/>
    <col min="5633" max="5633" width="14.5703125" style="184" customWidth="1"/>
    <col min="5634" max="5634" width="14" style="184" customWidth="1"/>
    <col min="5635" max="5636" width="17.85546875" style="184" customWidth="1"/>
    <col min="5637" max="5637" width="30.5703125" style="184" customWidth="1"/>
    <col min="5638" max="5638" width="22.140625" style="184" customWidth="1"/>
    <col min="5639" max="5639" width="12.42578125" style="184" customWidth="1"/>
    <col min="5640" max="5640" width="15" style="184" customWidth="1"/>
    <col min="5641" max="5641" width="12.140625" style="184" customWidth="1"/>
    <col min="5642" max="5642" width="12.7109375" style="184" customWidth="1"/>
    <col min="5643" max="5888" width="9" style="184"/>
    <col min="5889" max="5889" width="14.5703125" style="184" customWidth="1"/>
    <col min="5890" max="5890" width="14" style="184" customWidth="1"/>
    <col min="5891" max="5892" width="17.85546875" style="184" customWidth="1"/>
    <col min="5893" max="5893" width="30.5703125" style="184" customWidth="1"/>
    <col min="5894" max="5894" width="22.140625" style="184" customWidth="1"/>
    <col min="5895" max="5895" width="12.42578125" style="184" customWidth="1"/>
    <col min="5896" max="5896" width="15" style="184" customWidth="1"/>
    <col min="5897" max="5897" width="12.140625" style="184" customWidth="1"/>
    <col min="5898" max="5898" width="12.7109375" style="184" customWidth="1"/>
    <col min="5899" max="6144" width="9" style="184"/>
    <col min="6145" max="6145" width="14.5703125" style="184" customWidth="1"/>
    <col min="6146" max="6146" width="14" style="184" customWidth="1"/>
    <col min="6147" max="6148" width="17.85546875" style="184" customWidth="1"/>
    <col min="6149" max="6149" width="30.5703125" style="184" customWidth="1"/>
    <col min="6150" max="6150" width="22.140625" style="184" customWidth="1"/>
    <col min="6151" max="6151" width="12.42578125" style="184" customWidth="1"/>
    <col min="6152" max="6152" width="15" style="184" customWidth="1"/>
    <col min="6153" max="6153" width="12.140625" style="184" customWidth="1"/>
    <col min="6154" max="6154" width="12.7109375" style="184" customWidth="1"/>
    <col min="6155" max="6400" width="9" style="184"/>
    <col min="6401" max="6401" width="14.5703125" style="184" customWidth="1"/>
    <col min="6402" max="6402" width="14" style="184" customWidth="1"/>
    <col min="6403" max="6404" width="17.85546875" style="184" customWidth="1"/>
    <col min="6405" max="6405" width="30.5703125" style="184" customWidth="1"/>
    <col min="6406" max="6406" width="22.140625" style="184" customWidth="1"/>
    <col min="6407" max="6407" width="12.42578125" style="184" customWidth="1"/>
    <col min="6408" max="6408" width="15" style="184" customWidth="1"/>
    <col min="6409" max="6409" width="12.140625" style="184" customWidth="1"/>
    <col min="6410" max="6410" width="12.7109375" style="184" customWidth="1"/>
    <col min="6411" max="6656" width="9" style="184"/>
    <col min="6657" max="6657" width="14.5703125" style="184" customWidth="1"/>
    <col min="6658" max="6658" width="14" style="184" customWidth="1"/>
    <col min="6659" max="6660" width="17.85546875" style="184" customWidth="1"/>
    <col min="6661" max="6661" width="30.5703125" style="184" customWidth="1"/>
    <col min="6662" max="6662" width="22.140625" style="184" customWidth="1"/>
    <col min="6663" max="6663" width="12.42578125" style="184" customWidth="1"/>
    <col min="6664" max="6664" width="15" style="184" customWidth="1"/>
    <col min="6665" max="6665" width="12.140625" style="184" customWidth="1"/>
    <col min="6666" max="6666" width="12.7109375" style="184" customWidth="1"/>
    <col min="6667" max="6912" width="9" style="184"/>
    <col min="6913" max="6913" width="14.5703125" style="184" customWidth="1"/>
    <col min="6914" max="6914" width="14" style="184" customWidth="1"/>
    <col min="6915" max="6916" width="17.85546875" style="184" customWidth="1"/>
    <col min="6917" max="6917" width="30.5703125" style="184" customWidth="1"/>
    <col min="6918" max="6918" width="22.140625" style="184" customWidth="1"/>
    <col min="6919" max="6919" width="12.42578125" style="184" customWidth="1"/>
    <col min="6920" max="6920" width="15" style="184" customWidth="1"/>
    <col min="6921" max="6921" width="12.140625" style="184" customWidth="1"/>
    <col min="6922" max="6922" width="12.7109375" style="184" customWidth="1"/>
    <col min="6923" max="7168" width="9" style="184"/>
    <col min="7169" max="7169" width="14.5703125" style="184" customWidth="1"/>
    <col min="7170" max="7170" width="14" style="184" customWidth="1"/>
    <col min="7171" max="7172" width="17.85546875" style="184" customWidth="1"/>
    <col min="7173" max="7173" width="30.5703125" style="184" customWidth="1"/>
    <col min="7174" max="7174" width="22.140625" style="184" customWidth="1"/>
    <col min="7175" max="7175" width="12.42578125" style="184" customWidth="1"/>
    <col min="7176" max="7176" width="15" style="184" customWidth="1"/>
    <col min="7177" max="7177" width="12.140625" style="184" customWidth="1"/>
    <col min="7178" max="7178" width="12.7109375" style="184" customWidth="1"/>
    <col min="7179" max="7424" width="9" style="184"/>
    <col min="7425" max="7425" width="14.5703125" style="184" customWidth="1"/>
    <col min="7426" max="7426" width="14" style="184" customWidth="1"/>
    <col min="7427" max="7428" width="17.85546875" style="184" customWidth="1"/>
    <col min="7429" max="7429" width="30.5703125" style="184" customWidth="1"/>
    <col min="7430" max="7430" width="22.140625" style="184" customWidth="1"/>
    <col min="7431" max="7431" width="12.42578125" style="184" customWidth="1"/>
    <col min="7432" max="7432" width="15" style="184" customWidth="1"/>
    <col min="7433" max="7433" width="12.140625" style="184" customWidth="1"/>
    <col min="7434" max="7434" width="12.7109375" style="184" customWidth="1"/>
    <col min="7435" max="7680" width="9" style="184"/>
    <col min="7681" max="7681" width="14.5703125" style="184" customWidth="1"/>
    <col min="7682" max="7682" width="14" style="184" customWidth="1"/>
    <col min="7683" max="7684" width="17.85546875" style="184" customWidth="1"/>
    <col min="7685" max="7685" width="30.5703125" style="184" customWidth="1"/>
    <col min="7686" max="7686" width="22.140625" style="184" customWidth="1"/>
    <col min="7687" max="7687" width="12.42578125" style="184" customWidth="1"/>
    <col min="7688" max="7688" width="15" style="184" customWidth="1"/>
    <col min="7689" max="7689" width="12.140625" style="184" customWidth="1"/>
    <col min="7690" max="7690" width="12.7109375" style="184" customWidth="1"/>
    <col min="7691" max="7936" width="9" style="184"/>
    <col min="7937" max="7937" width="14.5703125" style="184" customWidth="1"/>
    <col min="7938" max="7938" width="14" style="184" customWidth="1"/>
    <col min="7939" max="7940" width="17.85546875" style="184" customWidth="1"/>
    <col min="7941" max="7941" width="30.5703125" style="184" customWidth="1"/>
    <col min="7942" max="7942" width="22.140625" style="184" customWidth="1"/>
    <col min="7943" max="7943" width="12.42578125" style="184" customWidth="1"/>
    <col min="7944" max="7944" width="15" style="184" customWidth="1"/>
    <col min="7945" max="7945" width="12.140625" style="184" customWidth="1"/>
    <col min="7946" max="7946" width="12.7109375" style="184" customWidth="1"/>
    <col min="7947" max="8192" width="9" style="184"/>
    <col min="8193" max="8193" width="14.5703125" style="184" customWidth="1"/>
    <col min="8194" max="8194" width="14" style="184" customWidth="1"/>
    <col min="8195" max="8196" width="17.85546875" style="184" customWidth="1"/>
    <col min="8197" max="8197" width="30.5703125" style="184" customWidth="1"/>
    <col min="8198" max="8198" width="22.140625" style="184" customWidth="1"/>
    <col min="8199" max="8199" width="12.42578125" style="184" customWidth="1"/>
    <col min="8200" max="8200" width="15" style="184" customWidth="1"/>
    <col min="8201" max="8201" width="12.140625" style="184" customWidth="1"/>
    <col min="8202" max="8202" width="12.7109375" style="184" customWidth="1"/>
    <col min="8203" max="8448" width="9" style="184"/>
    <col min="8449" max="8449" width="14.5703125" style="184" customWidth="1"/>
    <col min="8450" max="8450" width="14" style="184" customWidth="1"/>
    <col min="8451" max="8452" width="17.85546875" style="184" customWidth="1"/>
    <col min="8453" max="8453" width="30.5703125" style="184" customWidth="1"/>
    <col min="8454" max="8454" width="22.140625" style="184" customWidth="1"/>
    <col min="8455" max="8455" width="12.42578125" style="184" customWidth="1"/>
    <col min="8456" max="8456" width="15" style="184" customWidth="1"/>
    <col min="8457" max="8457" width="12.140625" style="184" customWidth="1"/>
    <col min="8458" max="8458" width="12.7109375" style="184" customWidth="1"/>
    <col min="8459" max="8704" width="9" style="184"/>
    <col min="8705" max="8705" width="14.5703125" style="184" customWidth="1"/>
    <col min="8706" max="8706" width="14" style="184" customWidth="1"/>
    <col min="8707" max="8708" width="17.85546875" style="184" customWidth="1"/>
    <col min="8709" max="8709" width="30.5703125" style="184" customWidth="1"/>
    <col min="8710" max="8710" width="22.140625" style="184" customWidth="1"/>
    <col min="8711" max="8711" width="12.42578125" style="184" customWidth="1"/>
    <col min="8712" max="8712" width="15" style="184" customWidth="1"/>
    <col min="8713" max="8713" width="12.140625" style="184" customWidth="1"/>
    <col min="8714" max="8714" width="12.7109375" style="184" customWidth="1"/>
    <col min="8715" max="8960" width="9" style="184"/>
    <col min="8961" max="8961" width="14.5703125" style="184" customWidth="1"/>
    <col min="8962" max="8962" width="14" style="184" customWidth="1"/>
    <col min="8963" max="8964" width="17.85546875" style="184" customWidth="1"/>
    <col min="8965" max="8965" width="30.5703125" style="184" customWidth="1"/>
    <col min="8966" max="8966" width="22.140625" style="184" customWidth="1"/>
    <col min="8967" max="8967" width="12.42578125" style="184" customWidth="1"/>
    <col min="8968" max="8968" width="15" style="184" customWidth="1"/>
    <col min="8969" max="8969" width="12.140625" style="184" customWidth="1"/>
    <col min="8970" max="8970" width="12.7109375" style="184" customWidth="1"/>
    <col min="8971" max="9216" width="9" style="184"/>
    <col min="9217" max="9217" width="14.5703125" style="184" customWidth="1"/>
    <col min="9218" max="9218" width="14" style="184" customWidth="1"/>
    <col min="9219" max="9220" width="17.85546875" style="184" customWidth="1"/>
    <col min="9221" max="9221" width="30.5703125" style="184" customWidth="1"/>
    <col min="9222" max="9222" width="22.140625" style="184" customWidth="1"/>
    <col min="9223" max="9223" width="12.42578125" style="184" customWidth="1"/>
    <col min="9224" max="9224" width="15" style="184" customWidth="1"/>
    <col min="9225" max="9225" width="12.140625" style="184" customWidth="1"/>
    <col min="9226" max="9226" width="12.7109375" style="184" customWidth="1"/>
    <col min="9227" max="9472" width="9" style="184"/>
    <col min="9473" max="9473" width="14.5703125" style="184" customWidth="1"/>
    <col min="9474" max="9474" width="14" style="184" customWidth="1"/>
    <col min="9475" max="9476" width="17.85546875" style="184" customWidth="1"/>
    <col min="9477" max="9477" width="30.5703125" style="184" customWidth="1"/>
    <col min="9478" max="9478" width="22.140625" style="184" customWidth="1"/>
    <col min="9479" max="9479" width="12.42578125" style="184" customWidth="1"/>
    <col min="9480" max="9480" width="15" style="184" customWidth="1"/>
    <col min="9481" max="9481" width="12.140625" style="184" customWidth="1"/>
    <col min="9482" max="9482" width="12.7109375" style="184" customWidth="1"/>
    <col min="9483" max="9728" width="9" style="184"/>
    <col min="9729" max="9729" width="14.5703125" style="184" customWidth="1"/>
    <col min="9730" max="9730" width="14" style="184" customWidth="1"/>
    <col min="9731" max="9732" width="17.85546875" style="184" customWidth="1"/>
    <col min="9733" max="9733" width="30.5703125" style="184" customWidth="1"/>
    <col min="9734" max="9734" width="22.140625" style="184" customWidth="1"/>
    <col min="9735" max="9735" width="12.42578125" style="184" customWidth="1"/>
    <col min="9736" max="9736" width="15" style="184" customWidth="1"/>
    <col min="9737" max="9737" width="12.140625" style="184" customWidth="1"/>
    <col min="9738" max="9738" width="12.7109375" style="184" customWidth="1"/>
    <col min="9739" max="9984" width="9" style="184"/>
    <col min="9985" max="9985" width="14.5703125" style="184" customWidth="1"/>
    <col min="9986" max="9986" width="14" style="184" customWidth="1"/>
    <col min="9987" max="9988" width="17.85546875" style="184" customWidth="1"/>
    <col min="9989" max="9989" width="30.5703125" style="184" customWidth="1"/>
    <col min="9990" max="9990" width="22.140625" style="184" customWidth="1"/>
    <col min="9991" max="9991" width="12.42578125" style="184" customWidth="1"/>
    <col min="9992" max="9992" width="15" style="184" customWidth="1"/>
    <col min="9993" max="9993" width="12.140625" style="184" customWidth="1"/>
    <col min="9994" max="9994" width="12.7109375" style="184" customWidth="1"/>
    <col min="9995" max="10240" width="9" style="184"/>
    <col min="10241" max="10241" width="14.5703125" style="184" customWidth="1"/>
    <col min="10242" max="10242" width="14" style="184" customWidth="1"/>
    <col min="10243" max="10244" width="17.85546875" style="184" customWidth="1"/>
    <col min="10245" max="10245" width="30.5703125" style="184" customWidth="1"/>
    <col min="10246" max="10246" width="22.140625" style="184" customWidth="1"/>
    <col min="10247" max="10247" width="12.42578125" style="184" customWidth="1"/>
    <col min="10248" max="10248" width="15" style="184" customWidth="1"/>
    <col min="10249" max="10249" width="12.140625" style="184" customWidth="1"/>
    <col min="10250" max="10250" width="12.7109375" style="184" customWidth="1"/>
    <col min="10251" max="10496" width="9" style="184"/>
    <col min="10497" max="10497" width="14.5703125" style="184" customWidth="1"/>
    <col min="10498" max="10498" width="14" style="184" customWidth="1"/>
    <col min="10499" max="10500" width="17.85546875" style="184" customWidth="1"/>
    <col min="10501" max="10501" width="30.5703125" style="184" customWidth="1"/>
    <col min="10502" max="10502" width="22.140625" style="184" customWidth="1"/>
    <col min="10503" max="10503" width="12.42578125" style="184" customWidth="1"/>
    <col min="10504" max="10504" width="15" style="184" customWidth="1"/>
    <col min="10505" max="10505" width="12.140625" style="184" customWidth="1"/>
    <col min="10506" max="10506" width="12.7109375" style="184" customWidth="1"/>
    <col min="10507" max="10752" width="9" style="184"/>
    <col min="10753" max="10753" width="14.5703125" style="184" customWidth="1"/>
    <col min="10754" max="10754" width="14" style="184" customWidth="1"/>
    <col min="10755" max="10756" width="17.85546875" style="184" customWidth="1"/>
    <col min="10757" max="10757" width="30.5703125" style="184" customWidth="1"/>
    <col min="10758" max="10758" width="22.140625" style="184" customWidth="1"/>
    <col min="10759" max="10759" width="12.42578125" style="184" customWidth="1"/>
    <col min="10760" max="10760" width="15" style="184" customWidth="1"/>
    <col min="10761" max="10761" width="12.140625" style="184" customWidth="1"/>
    <col min="10762" max="10762" width="12.7109375" style="184" customWidth="1"/>
    <col min="10763" max="11008" width="9" style="184"/>
    <col min="11009" max="11009" width="14.5703125" style="184" customWidth="1"/>
    <col min="11010" max="11010" width="14" style="184" customWidth="1"/>
    <col min="11011" max="11012" width="17.85546875" style="184" customWidth="1"/>
    <col min="11013" max="11013" width="30.5703125" style="184" customWidth="1"/>
    <col min="11014" max="11014" width="22.140625" style="184" customWidth="1"/>
    <col min="11015" max="11015" width="12.42578125" style="184" customWidth="1"/>
    <col min="11016" max="11016" width="15" style="184" customWidth="1"/>
    <col min="11017" max="11017" width="12.140625" style="184" customWidth="1"/>
    <col min="11018" max="11018" width="12.7109375" style="184" customWidth="1"/>
    <col min="11019" max="11264" width="9" style="184"/>
    <col min="11265" max="11265" width="14.5703125" style="184" customWidth="1"/>
    <col min="11266" max="11266" width="14" style="184" customWidth="1"/>
    <col min="11267" max="11268" width="17.85546875" style="184" customWidth="1"/>
    <col min="11269" max="11269" width="30.5703125" style="184" customWidth="1"/>
    <col min="11270" max="11270" width="22.140625" style="184" customWidth="1"/>
    <col min="11271" max="11271" width="12.42578125" style="184" customWidth="1"/>
    <col min="11272" max="11272" width="15" style="184" customWidth="1"/>
    <col min="11273" max="11273" width="12.140625" style="184" customWidth="1"/>
    <col min="11274" max="11274" width="12.7109375" style="184" customWidth="1"/>
    <col min="11275" max="11520" width="9" style="184"/>
    <col min="11521" max="11521" width="14.5703125" style="184" customWidth="1"/>
    <col min="11522" max="11522" width="14" style="184" customWidth="1"/>
    <col min="11523" max="11524" width="17.85546875" style="184" customWidth="1"/>
    <col min="11525" max="11525" width="30.5703125" style="184" customWidth="1"/>
    <col min="11526" max="11526" width="22.140625" style="184" customWidth="1"/>
    <col min="11527" max="11527" width="12.42578125" style="184" customWidth="1"/>
    <col min="11528" max="11528" width="15" style="184" customWidth="1"/>
    <col min="11529" max="11529" width="12.140625" style="184" customWidth="1"/>
    <col min="11530" max="11530" width="12.7109375" style="184" customWidth="1"/>
    <col min="11531" max="11776" width="9" style="184"/>
    <col min="11777" max="11777" width="14.5703125" style="184" customWidth="1"/>
    <col min="11778" max="11778" width="14" style="184" customWidth="1"/>
    <col min="11779" max="11780" width="17.85546875" style="184" customWidth="1"/>
    <col min="11781" max="11781" width="30.5703125" style="184" customWidth="1"/>
    <col min="11782" max="11782" width="22.140625" style="184" customWidth="1"/>
    <col min="11783" max="11783" width="12.42578125" style="184" customWidth="1"/>
    <col min="11784" max="11784" width="15" style="184" customWidth="1"/>
    <col min="11785" max="11785" width="12.140625" style="184" customWidth="1"/>
    <col min="11786" max="11786" width="12.7109375" style="184" customWidth="1"/>
    <col min="11787" max="12032" width="9" style="184"/>
    <col min="12033" max="12033" width="14.5703125" style="184" customWidth="1"/>
    <col min="12034" max="12034" width="14" style="184" customWidth="1"/>
    <col min="12035" max="12036" width="17.85546875" style="184" customWidth="1"/>
    <col min="12037" max="12037" width="30.5703125" style="184" customWidth="1"/>
    <col min="12038" max="12038" width="22.140625" style="184" customWidth="1"/>
    <col min="12039" max="12039" width="12.42578125" style="184" customWidth="1"/>
    <col min="12040" max="12040" width="15" style="184" customWidth="1"/>
    <col min="12041" max="12041" width="12.140625" style="184" customWidth="1"/>
    <col min="12042" max="12042" width="12.7109375" style="184" customWidth="1"/>
    <col min="12043" max="12288" width="9" style="184"/>
    <col min="12289" max="12289" width="14.5703125" style="184" customWidth="1"/>
    <col min="12290" max="12290" width="14" style="184" customWidth="1"/>
    <col min="12291" max="12292" width="17.85546875" style="184" customWidth="1"/>
    <col min="12293" max="12293" width="30.5703125" style="184" customWidth="1"/>
    <col min="12294" max="12294" width="22.140625" style="184" customWidth="1"/>
    <col min="12295" max="12295" width="12.42578125" style="184" customWidth="1"/>
    <col min="12296" max="12296" width="15" style="184" customWidth="1"/>
    <col min="12297" max="12297" width="12.140625" style="184" customWidth="1"/>
    <col min="12298" max="12298" width="12.7109375" style="184" customWidth="1"/>
    <col min="12299" max="12544" width="9" style="184"/>
    <col min="12545" max="12545" width="14.5703125" style="184" customWidth="1"/>
    <col min="12546" max="12546" width="14" style="184" customWidth="1"/>
    <col min="12547" max="12548" width="17.85546875" style="184" customWidth="1"/>
    <col min="12549" max="12549" width="30.5703125" style="184" customWidth="1"/>
    <col min="12550" max="12550" width="22.140625" style="184" customWidth="1"/>
    <col min="12551" max="12551" width="12.42578125" style="184" customWidth="1"/>
    <col min="12552" max="12552" width="15" style="184" customWidth="1"/>
    <col min="12553" max="12553" width="12.140625" style="184" customWidth="1"/>
    <col min="12554" max="12554" width="12.7109375" style="184" customWidth="1"/>
    <col min="12555" max="12800" width="9" style="184"/>
    <col min="12801" max="12801" width="14.5703125" style="184" customWidth="1"/>
    <col min="12802" max="12802" width="14" style="184" customWidth="1"/>
    <col min="12803" max="12804" width="17.85546875" style="184" customWidth="1"/>
    <col min="12805" max="12805" width="30.5703125" style="184" customWidth="1"/>
    <col min="12806" max="12806" width="22.140625" style="184" customWidth="1"/>
    <col min="12807" max="12807" width="12.42578125" style="184" customWidth="1"/>
    <col min="12808" max="12808" width="15" style="184" customWidth="1"/>
    <col min="12809" max="12809" width="12.140625" style="184" customWidth="1"/>
    <col min="12810" max="12810" width="12.7109375" style="184" customWidth="1"/>
    <col min="12811" max="13056" width="9" style="184"/>
    <col min="13057" max="13057" width="14.5703125" style="184" customWidth="1"/>
    <col min="13058" max="13058" width="14" style="184" customWidth="1"/>
    <col min="13059" max="13060" width="17.85546875" style="184" customWidth="1"/>
    <col min="13061" max="13061" width="30.5703125" style="184" customWidth="1"/>
    <col min="13062" max="13062" width="22.140625" style="184" customWidth="1"/>
    <col min="13063" max="13063" width="12.42578125" style="184" customWidth="1"/>
    <col min="13064" max="13064" width="15" style="184" customWidth="1"/>
    <col min="13065" max="13065" width="12.140625" style="184" customWidth="1"/>
    <col min="13066" max="13066" width="12.7109375" style="184" customWidth="1"/>
    <col min="13067" max="13312" width="9" style="184"/>
    <col min="13313" max="13313" width="14.5703125" style="184" customWidth="1"/>
    <col min="13314" max="13314" width="14" style="184" customWidth="1"/>
    <col min="13315" max="13316" width="17.85546875" style="184" customWidth="1"/>
    <col min="13317" max="13317" width="30.5703125" style="184" customWidth="1"/>
    <col min="13318" max="13318" width="22.140625" style="184" customWidth="1"/>
    <col min="13319" max="13319" width="12.42578125" style="184" customWidth="1"/>
    <col min="13320" max="13320" width="15" style="184" customWidth="1"/>
    <col min="13321" max="13321" width="12.140625" style="184" customWidth="1"/>
    <col min="13322" max="13322" width="12.7109375" style="184" customWidth="1"/>
    <col min="13323" max="13568" width="9" style="184"/>
    <col min="13569" max="13569" width="14.5703125" style="184" customWidth="1"/>
    <col min="13570" max="13570" width="14" style="184" customWidth="1"/>
    <col min="13571" max="13572" width="17.85546875" style="184" customWidth="1"/>
    <col min="13573" max="13573" width="30.5703125" style="184" customWidth="1"/>
    <col min="13574" max="13574" width="22.140625" style="184" customWidth="1"/>
    <col min="13575" max="13575" width="12.42578125" style="184" customWidth="1"/>
    <col min="13576" max="13576" width="15" style="184" customWidth="1"/>
    <col min="13577" max="13577" width="12.140625" style="184" customWidth="1"/>
    <col min="13578" max="13578" width="12.7109375" style="184" customWidth="1"/>
    <col min="13579" max="13824" width="9" style="184"/>
    <col min="13825" max="13825" width="14.5703125" style="184" customWidth="1"/>
    <col min="13826" max="13826" width="14" style="184" customWidth="1"/>
    <col min="13827" max="13828" width="17.85546875" style="184" customWidth="1"/>
    <col min="13829" max="13829" width="30.5703125" style="184" customWidth="1"/>
    <col min="13830" max="13830" width="22.140625" style="184" customWidth="1"/>
    <col min="13831" max="13831" width="12.42578125" style="184" customWidth="1"/>
    <col min="13832" max="13832" width="15" style="184" customWidth="1"/>
    <col min="13833" max="13833" width="12.140625" style="184" customWidth="1"/>
    <col min="13834" max="13834" width="12.7109375" style="184" customWidth="1"/>
    <col min="13835" max="14080" width="9" style="184"/>
    <col min="14081" max="14081" width="14.5703125" style="184" customWidth="1"/>
    <col min="14082" max="14082" width="14" style="184" customWidth="1"/>
    <col min="14083" max="14084" width="17.85546875" style="184" customWidth="1"/>
    <col min="14085" max="14085" width="30.5703125" style="184" customWidth="1"/>
    <col min="14086" max="14086" width="22.140625" style="184" customWidth="1"/>
    <col min="14087" max="14087" width="12.42578125" style="184" customWidth="1"/>
    <col min="14088" max="14088" width="15" style="184" customWidth="1"/>
    <col min="14089" max="14089" width="12.140625" style="184" customWidth="1"/>
    <col min="14090" max="14090" width="12.7109375" style="184" customWidth="1"/>
    <col min="14091" max="14336" width="9" style="184"/>
    <col min="14337" max="14337" width="14.5703125" style="184" customWidth="1"/>
    <col min="14338" max="14338" width="14" style="184" customWidth="1"/>
    <col min="14339" max="14340" width="17.85546875" style="184" customWidth="1"/>
    <col min="14341" max="14341" width="30.5703125" style="184" customWidth="1"/>
    <col min="14342" max="14342" width="22.140625" style="184" customWidth="1"/>
    <col min="14343" max="14343" width="12.42578125" style="184" customWidth="1"/>
    <col min="14344" max="14344" width="15" style="184" customWidth="1"/>
    <col min="14345" max="14345" width="12.140625" style="184" customWidth="1"/>
    <col min="14346" max="14346" width="12.7109375" style="184" customWidth="1"/>
    <col min="14347" max="14592" width="9" style="184"/>
    <col min="14593" max="14593" width="14.5703125" style="184" customWidth="1"/>
    <col min="14594" max="14594" width="14" style="184" customWidth="1"/>
    <col min="14595" max="14596" width="17.85546875" style="184" customWidth="1"/>
    <col min="14597" max="14597" width="30.5703125" style="184" customWidth="1"/>
    <col min="14598" max="14598" width="22.140625" style="184" customWidth="1"/>
    <col min="14599" max="14599" width="12.42578125" style="184" customWidth="1"/>
    <col min="14600" max="14600" width="15" style="184" customWidth="1"/>
    <col min="14601" max="14601" width="12.140625" style="184" customWidth="1"/>
    <col min="14602" max="14602" width="12.7109375" style="184" customWidth="1"/>
    <col min="14603" max="14848" width="9" style="184"/>
    <col min="14849" max="14849" width="14.5703125" style="184" customWidth="1"/>
    <col min="14850" max="14850" width="14" style="184" customWidth="1"/>
    <col min="14851" max="14852" width="17.85546875" style="184" customWidth="1"/>
    <col min="14853" max="14853" width="30.5703125" style="184" customWidth="1"/>
    <col min="14854" max="14854" width="22.140625" style="184" customWidth="1"/>
    <col min="14855" max="14855" width="12.42578125" style="184" customWidth="1"/>
    <col min="14856" max="14856" width="15" style="184" customWidth="1"/>
    <col min="14857" max="14857" width="12.140625" style="184" customWidth="1"/>
    <col min="14858" max="14858" width="12.7109375" style="184" customWidth="1"/>
    <col min="14859" max="15104" width="9" style="184"/>
    <col min="15105" max="15105" width="14.5703125" style="184" customWidth="1"/>
    <col min="15106" max="15106" width="14" style="184" customWidth="1"/>
    <col min="15107" max="15108" width="17.85546875" style="184" customWidth="1"/>
    <col min="15109" max="15109" width="30.5703125" style="184" customWidth="1"/>
    <col min="15110" max="15110" width="22.140625" style="184" customWidth="1"/>
    <col min="15111" max="15111" width="12.42578125" style="184" customWidth="1"/>
    <col min="15112" max="15112" width="15" style="184" customWidth="1"/>
    <col min="15113" max="15113" width="12.140625" style="184" customWidth="1"/>
    <col min="15114" max="15114" width="12.7109375" style="184" customWidth="1"/>
    <col min="15115" max="15360" width="9" style="184"/>
    <col min="15361" max="15361" width="14.5703125" style="184" customWidth="1"/>
    <col min="15362" max="15362" width="14" style="184" customWidth="1"/>
    <col min="15363" max="15364" width="17.85546875" style="184" customWidth="1"/>
    <col min="15365" max="15365" width="30.5703125" style="184" customWidth="1"/>
    <col min="15366" max="15366" width="22.140625" style="184" customWidth="1"/>
    <col min="15367" max="15367" width="12.42578125" style="184" customWidth="1"/>
    <col min="15368" max="15368" width="15" style="184" customWidth="1"/>
    <col min="15369" max="15369" width="12.140625" style="184" customWidth="1"/>
    <col min="15370" max="15370" width="12.7109375" style="184" customWidth="1"/>
    <col min="15371" max="15616" width="9" style="184"/>
    <col min="15617" max="15617" width="14.5703125" style="184" customWidth="1"/>
    <col min="15618" max="15618" width="14" style="184" customWidth="1"/>
    <col min="15619" max="15620" width="17.85546875" style="184" customWidth="1"/>
    <col min="15621" max="15621" width="30.5703125" style="184" customWidth="1"/>
    <col min="15622" max="15622" width="22.140625" style="184" customWidth="1"/>
    <col min="15623" max="15623" width="12.42578125" style="184" customWidth="1"/>
    <col min="15624" max="15624" width="15" style="184" customWidth="1"/>
    <col min="15625" max="15625" width="12.140625" style="184" customWidth="1"/>
    <col min="15626" max="15626" width="12.7109375" style="184" customWidth="1"/>
    <col min="15627" max="15872" width="9" style="184"/>
    <col min="15873" max="15873" width="14.5703125" style="184" customWidth="1"/>
    <col min="15874" max="15874" width="14" style="184" customWidth="1"/>
    <col min="15875" max="15876" width="17.85546875" style="184" customWidth="1"/>
    <col min="15877" max="15877" width="30.5703125" style="184" customWidth="1"/>
    <col min="15878" max="15878" width="22.140625" style="184" customWidth="1"/>
    <col min="15879" max="15879" width="12.42578125" style="184" customWidth="1"/>
    <col min="15880" max="15880" width="15" style="184" customWidth="1"/>
    <col min="15881" max="15881" width="12.140625" style="184" customWidth="1"/>
    <col min="15882" max="15882" width="12.7109375" style="184" customWidth="1"/>
    <col min="15883" max="16128" width="9" style="184"/>
    <col min="16129" max="16129" width="14.5703125" style="184" customWidth="1"/>
    <col min="16130" max="16130" width="14" style="184" customWidth="1"/>
    <col min="16131" max="16132" width="17.85546875" style="184" customWidth="1"/>
    <col min="16133" max="16133" width="30.5703125" style="184" customWidth="1"/>
    <col min="16134" max="16134" width="22.140625" style="184" customWidth="1"/>
    <col min="16135" max="16135" width="12.42578125" style="184" customWidth="1"/>
    <col min="16136" max="16136" width="15" style="184" customWidth="1"/>
    <col min="16137" max="16137" width="12.140625" style="184" customWidth="1"/>
    <col min="16138" max="16138" width="12.7109375" style="184" customWidth="1"/>
    <col min="16139" max="16384" width="9" style="184"/>
  </cols>
  <sheetData>
    <row r="1" spans="1:8" s="179" customFormat="1" ht="18">
      <c r="A1" s="688" t="s">
        <v>84</v>
      </c>
      <c r="B1" s="688"/>
      <c r="C1" s="688"/>
      <c r="D1" s="688"/>
      <c r="E1" s="688"/>
      <c r="F1" s="688"/>
      <c r="H1" s="186"/>
    </row>
    <row r="3" spans="1:8">
      <c r="A3" s="387" t="s">
        <v>1111</v>
      </c>
      <c r="B3" s="387"/>
      <c r="C3" s="689" t="s">
        <v>1114</v>
      </c>
      <c r="D3" s="689"/>
      <c r="E3" s="689"/>
    </row>
    <row r="4" spans="1:8">
      <c r="A4" s="387" t="s">
        <v>85</v>
      </c>
      <c r="B4" s="387"/>
      <c r="C4" s="689" t="s">
        <v>1112</v>
      </c>
      <c r="D4" s="689"/>
      <c r="E4" s="689"/>
    </row>
    <row r="5" spans="1:8">
      <c r="A5" s="387" t="s">
        <v>86</v>
      </c>
      <c r="B5" s="387"/>
      <c r="C5" s="689" t="s">
        <v>1115</v>
      </c>
      <c r="D5" s="689"/>
      <c r="E5" s="689"/>
    </row>
    <row r="6" spans="1:8">
      <c r="A6" s="387" t="s">
        <v>87</v>
      </c>
      <c r="B6" s="387"/>
      <c r="C6" s="690"/>
      <c r="D6" s="690"/>
      <c r="E6" s="690"/>
    </row>
    <row r="8" spans="1:8" s="180" customFormat="1" ht="16.5" customHeight="1">
      <c r="A8" s="187" t="s">
        <v>88</v>
      </c>
      <c r="B8" s="187" t="s">
        <v>89</v>
      </c>
      <c r="C8" s="187" t="s">
        <v>90</v>
      </c>
      <c r="D8" s="188" t="s">
        <v>91</v>
      </c>
      <c r="E8" s="686" t="s">
        <v>92</v>
      </c>
      <c r="F8" s="687"/>
      <c r="H8" s="189"/>
    </row>
    <row r="9" spans="1:8" s="180" customFormat="1" ht="16.5" customHeight="1">
      <c r="A9" s="190" t="s">
        <v>93</v>
      </c>
      <c r="B9" s="190" t="s">
        <v>94</v>
      </c>
      <c r="C9" s="190" t="s">
        <v>94</v>
      </c>
      <c r="D9" s="191" t="s">
        <v>94</v>
      </c>
      <c r="E9" s="686"/>
      <c r="F9" s="687"/>
      <c r="H9" s="189"/>
    </row>
    <row r="10" spans="1:8" ht="16.5" customHeight="1">
      <c r="A10" s="192">
        <v>1</v>
      </c>
      <c r="B10" s="192"/>
      <c r="C10" s="193" t="e">
        <f>#REF!</f>
        <v>#REF!</v>
      </c>
      <c r="D10" s="193" t="e">
        <f>#REF!</f>
        <v>#REF!</v>
      </c>
      <c r="E10" s="193" t="str">
        <f>'[1]TIMEBOOK (1-15)-D&amp;6'!Y13</f>
        <v>BIR</v>
      </c>
      <c r="F10" s="194" t="e">
        <f>#REF!</f>
        <v>#REF!</v>
      </c>
    </row>
    <row r="11" spans="1:8" ht="16.5" customHeight="1">
      <c r="A11" s="192"/>
      <c r="B11" s="192"/>
      <c r="C11" s="193"/>
      <c r="D11" s="193"/>
      <c r="E11" s="193" t="str">
        <f>'[1]TIMEBOOK (1-15)-D&amp;6'!Z13</f>
        <v>HDMF</v>
      </c>
      <c r="F11" s="195" t="e">
        <f>#REF!</f>
        <v>#REF!</v>
      </c>
    </row>
    <row r="12" spans="1:8" ht="16.5" customHeight="1">
      <c r="A12" s="196"/>
      <c r="B12" s="196"/>
      <c r="C12" s="197"/>
      <c r="D12" s="196"/>
      <c r="E12" s="193" t="str">
        <f>'[1]TIMEBOOK (1-15)-D&amp;6'!Y14</f>
        <v>SSS</v>
      </c>
      <c r="F12" s="194">
        <f>'[1]TIMEBOOK (1-15)-D&amp;6'!Y39</f>
        <v>0</v>
      </c>
    </row>
    <row r="13" spans="1:8" ht="16.5" customHeight="1">
      <c r="A13" s="196"/>
      <c r="B13" s="196"/>
      <c r="C13" s="197"/>
      <c r="D13" s="196"/>
      <c r="E13" s="193" t="str">
        <f>'[1]TIMEBOOK (1-15)-D&amp;6'!Z14</f>
        <v>HDMF-MPL</v>
      </c>
      <c r="F13" s="194">
        <f>'[1]TIMEBOOK (1-15)-D&amp;6'!Z39</f>
        <v>0</v>
      </c>
    </row>
    <row r="14" spans="1:8" ht="16.5" customHeight="1">
      <c r="A14" s="196"/>
      <c r="B14" s="196"/>
      <c r="C14" s="196"/>
      <c r="D14" s="196"/>
      <c r="E14" s="193" t="str">
        <f>'[1]TIMEBOOK (1-15)-D&amp;6'!Y15</f>
        <v>NIAMPCO-ML</v>
      </c>
      <c r="F14" s="194">
        <f>'[1]TIMEBOOK (1-15)-D&amp;6'!Y40</f>
        <v>0</v>
      </c>
    </row>
    <row r="15" spans="1:8" ht="16.5" customHeight="1">
      <c r="A15" s="196"/>
      <c r="B15" s="196"/>
      <c r="C15" s="196"/>
      <c r="D15" s="196"/>
      <c r="E15" s="193">
        <f>'[1]TIMEBOOK (1-15)-D&amp;6'!Z15</f>
        <v>0</v>
      </c>
      <c r="F15" s="194">
        <f>'[1]TIMEBOOK (1-15)-D&amp;6'!Z40</f>
        <v>0</v>
      </c>
      <c r="G15" s="199"/>
    </row>
    <row r="16" spans="1:8" ht="16.5" customHeight="1">
      <c r="A16" s="196"/>
      <c r="B16" s="196"/>
      <c r="C16" s="196"/>
      <c r="D16" s="196"/>
      <c r="E16" s="198"/>
      <c r="F16" s="198"/>
    </row>
    <row r="17" spans="1:10" ht="16.5" customHeight="1">
      <c r="A17" s="196"/>
      <c r="B17" s="196"/>
      <c r="C17" s="196"/>
      <c r="D17" s="196"/>
      <c r="E17" s="198"/>
      <c r="F17" s="198"/>
      <c r="G17" s="200"/>
    </row>
    <row r="18" spans="1:10" ht="16.5" customHeight="1">
      <c r="A18" s="196"/>
      <c r="B18" s="196"/>
      <c r="C18" s="196"/>
      <c r="D18" s="196"/>
      <c r="E18" s="198"/>
      <c r="F18" s="201"/>
    </row>
    <row r="19" spans="1:10" ht="16.5" customHeight="1">
      <c r="A19" s="196"/>
      <c r="B19" s="196"/>
      <c r="C19" s="196"/>
      <c r="D19" s="196"/>
      <c r="E19" s="198"/>
      <c r="F19" s="198"/>
    </row>
    <row r="20" spans="1:10" ht="16.5" customHeight="1">
      <c r="A20" s="196"/>
      <c r="B20" s="196"/>
      <c r="C20" s="196"/>
      <c r="D20" s="196"/>
      <c r="E20" s="198"/>
      <c r="F20" s="201"/>
    </row>
    <row r="21" spans="1:10" s="181" customFormat="1" ht="28.5" customHeight="1">
      <c r="A21" s="202"/>
      <c r="B21" s="202"/>
      <c r="C21" s="203" t="e">
        <f>C10</f>
        <v>#REF!</v>
      </c>
      <c r="D21" s="204" t="e">
        <f>SUM(D10:D20)</f>
        <v>#REF!</v>
      </c>
      <c r="E21" s="204"/>
      <c r="F21" s="203" t="e">
        <f>SUM(F10:F20)</f>
        <v>#REF!</v>
      </c>
      <c r="G21" s="205"/>
      <c r="H21" s="206"/>
    </row>
    <row r="22" spans="1:10" s="181" customFormat="1" ht="16.5" customHeight="1">
      <c r="C22" s="205"/>
      <c r="D22" s="207"/>
      <c r="E22" s="205"/>
      <c r="F22" s="199"/>
      <c r="G22" s="205"/>
      <c r="H22" s="208"/>
    </row>
    <row r="23" spans="1:10" s="182" customFormat="1">
      <c r="A23" s="209" t="s">
        <v>95</v>
      </c>
      <c r="E23" s="209" t="s">
        <v>96</v>
      </c>
      <c r="H23" s="210"/>
    </row>
    <row r="24" spans="1:10" s="182" customFormat="1">
      <c r="A24" s="209" t="s">
        <v>97</v>
      </c>
      <c r="D24" s="211"/>
      <c r="E24" s="209" t="s">
        <v>98</v>
      </c>
      <c r="H24" s="210"/>
    </row>
    <row r="25" spans="1:10" s="182" customFormat="1">
      <c r="A25" s="209" t="s">
        <v>99</v>
      </c>
      <c r="D25" s="211"/>
      <c r="E25" s="209" t="s">
        <v>100</v>
      </c>
      <c r="H25" s="210"/>
    </row>
    <row r="26" spans="1:10" s="182" customFormat="1">
      <c r="A26" s="209" t="s">
        <v>101</v>
      </c>
      <c r="E26" s="209" t="s">
        <v>102</v>
      </c>
      <c r="H26" s="210"/>
    </row>
    <row r="27" spans="1:10" s="182" customFormat="1">
      <c r="A27" s="209" t="s">
        <v>103</v>
      </c>
      <c r="E27" s="209" t="s">
        <v>104</v>
      </c>
      <c r="H27" s="210"/>
      <c r="J27" s="210"/>
    </row>
    <row r="28" spans="1:10" s="182" customFormat="1">
      <c r="A28" s="209" t="s">
        <v>105</v>
      </c>
      <c r="E28" s="209" t="s">
        <v>106</v>
      </c>
      <c r="H28" s="210"/>
    </row>
    <row r="29" spans="1:10" s="182" customFormat="1">
      <c r="E29" s="209" t="s">
        <v>107</v>
      </c>
      <c r="H29" s="210"/>
    </row>
    <row r="30" spans="1:10" s="182" customFormat="1">
      <c r="E30" s="209" t="s">
        <v>203</v>
      </c>
      <c r="F30" s="334" t="e">
        <f>D21</f>
        <v>#REF!</v>
      </c>
      <c r="H30" s="210"/>
    </row>
    <row r="31" spans="1:10" s="182" customFormat="1">
      <c r="E31" s="683" t="e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>#REF!</v>
      </c>
      <c r="F31" s="683"/>
      <c r="H31" s="210"/>
    </row>
    <row r="32" spans="1:10" s="182" customFormat="1">
      <c r="E32" s="683"/>
      <c r="F32" s="683"/>
      <c r="H32" s="210"/>
    </row>
    <row r="33" spans="1:8" s="182" customFormat="1">
      <c r="A33" s="209" t="s">
        <v>108</v>
      </c>
      <c r="H33" s="210"/>
    </row>
    <row r="34" spans="1:8" s="182" customFormat="1">
      <c r="A34" s="209"/>
      <c r="H34" s="210"/>
    </row>
    <row r="35" spans="1:8" s="182" customFormat="1">
      <c r="H35" s="210"/>
    </row>
    <row r="36" spans="1:8" s="182" customFormat="1">
      <c r="B36" s="212"/>
      <c r="H36" s="210"/>
    </row>
    <row r="37" spans="1:8" s="182" customFormat="1">
      <c r="A37" s="684" t="s">
        <v>208</v>
      </c>
      <c r="B37" s="684"/>
      <c r="C37" s="684"/>
      <c r="E37" s="681" t="str">
        <f>'[1]TIMEBOOK (1-15)-D&amp;6'!X49</f>
        <v>VILMA M. MANLANGIT</v>
      </c>
      <c r="F37" s="681"/>
      <c r="G37" s="212"/>
      <c r="H37" s="210"/>
    </row>
    <row r="38" spans="1:8" s="183" customFormat="1">
      <c r="A38" s="685" t="s">
        <v>209</v>
      </c>
      <c r="B38" s="685"/>
      <c r="C38" s="685"/>
      <c r="D38" s="182"/>
      <c r="E38" s="682" t="str">
        <f>'[1]TIMEBOOK (1-15)-D&amp;6'!X50</f>
        <v>SCDO</v>
      </c>
      <c r="F38" s="682"/>
      <c r="G38" s="213"/>
      <c r="H38" s="214"/>
    </row>
    <row r="39" spans="1:8" s="183" customFormat="1" ht="14.25">
      <c r="A39" s="215"/>
      <c r="B39" s="215"/>
      <c r="C39" s="215"/>
      <c r="D39" s="182"/>
      <c r="E39" s="216"/>
      <c r="F39" s="216"/>
      <c r="G39" s="213"/>
      <c r="H39" s="214"/>
    </row>
    <row r="40" spans="1:8" s="182" customFormat="1">
      <c r="G40" s="209"/>
      <c r="H40" s="210"/>
    </row>
    <row r="41" spans="1:8" s="182" customFormat="1">
      <c r="A41" s="209" t="s">
        <v>109</v>
      </c>
      <c r="E41" s="209" t="s">
        <v>110</v>
      </c>
      <c r="H41" s="210"/>
    </row>
    <row r="42" spans="1:8" s="182" customFormat="1">
      <c r="A42" s="209" t="s">
        <v>111</v>
      </c>
      <c r="E42" s="209" t="s">
        <v>112</v>
      </c>
      <c r="H42" s="210"/>
    </row>
    <row r="43" spans="1:8" s="182" customFormat="1">
      <c r="A43" s="209" t="s">
        <v>202</v>
      </c>
      <c r="E43" s="209" t="s">
        <v>113</v>
      </c>
      <c r="H43" s="210"/>
    </row>
    <row r="44" spans="1:8" s="182" customFormat="1">
      <c r="A44" s="683" t="e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>#REF!</v>
      </c>
      <c r="B44" s="683"/>
      <c r="C44" s="683"/>
      <c r="E44" s="217" t="s">
        <v>114</v>
      </c>
      <c r="H44" s="210"/>
    </row>
    <row r="45" spans="1:8" s="182" customFormat="1">
      <c r="A45" s="683"/>
      <c r="B45" s="683"/>
      <c r="C45" s="683"/>
      <c r="E45" s="209" t="s">
        <v>115</v>
      </c>
      <c r="H45" s="210"/>
    </row>
    <row r="46" spans="1:8" s="182" customFormat="1">
      <c r="E46" s="209" t="s">
        <v>116</v>
      </c>
      <c r="H46" s="210"/>
    </row>
    <row r="47" spans="1:8" s="182" customFormat="1">
      <c r="E47" s="209"/>
      <c r="F47" s="209"/>
      <c r="H47" s="210"/>
    </row>
    <row r="48" spans="1:8" s="182" customFormat="1">
      <c r="H48" s="210"/>
    </row>
    <row r="49" spans="1:8" s="182" customFormat="1">
      <c r="A49" s="681" t="s">
        <v>210</v>
      </c>
      <c r="B49" s="681"/>
      <c r="C49" s="681"/>
      <c r="H49" s="210"/>
    </row>
    <row r="50" spans="1:8" s="182" customFormat="1">
      <c r="A50" s="682" t="s">
        <v>211</v>
      </c>
      <c r="B50" s="682"/>
      <c r="C50" s="682"/>
      <c r="H50" s="210"/>
    </row>
    <row r="51" spans="1:8" s="182" customFormat="1">
      <c r="E51" s="681"/>
      <c r="F51" s="681"/>
      <c r="H51" s="210"/>
    </row>
    <row r="52" spans="1:8">
      <c r="E52" s="682"/>
      <c r="F52" s="682"/>
    </row>
    <row r="57" spans="1:8">
      <c r="D57" s="342"/>
    </row>
    <row r="58" spans="1:8">
      <c r="A58" s="218"/>
    </row>
    <row r="60" spans="1:8">
      <c r="A60" s="218"/>
    </row>
  </sheetData>
  <mergeCells count="16">
    <mergeCell ref="E8:F9"/>
    <mergeCell ref="A1:F1"/>
    <mergeCell ref="C3:E3"/>
    <mergeCell ref="C4:E4"/>
    <mergeCell ref="C5:E5"/>
    <mergeCell ref="C6:E6"/>
    <mergeCell ref="A49:C49"/>
    <mergeCell ref="A50:C50"/>
    <mergeCell ref="E51:F51"/>
    <mergeCell ref="E52:F52"/>
    <mergeCell ref="E31:F32"/>
    <mergeCell ref="A37:C37"/>
    <mergeCell ref="E37:F37"/>
    <mergeCell ref="A38:C38"/>
    <mergeCell ref="E38:F38"/>
    <mergeCell ref="A44:C45"/>
  </mergeCells>
  <printOptions horizontalCentered="1"/>
  <pageMargins left="0.23622047244094499" right="0.15748031496063" top="0.78740157480314998" bottom="0.74803149606299202" header="0.511811023622047" footer="0.511811023622047"/>
  <pageSetup paperSize="14" scale="87" fitToHeight="0" orientation="portrait" horizontalDpi="240" verticalDpi="144" r:id="rId1"/>
  <headerFooter>
    <oddFooter>&amp;L&amp;"Tahoma,Italic"&amp;8NIA-AlCat-AFS-FIN-INT-Form37Rev00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53"/>
  <sheetViews>
    <sheetView showGridLines="0" topLeftCell="A40" zoomScaleNormal="100" zoomScaleSheetLayoutView="100" workbookViewId="0">
      <selection activeCell="K31" sqref="K31"/>
    </sheetView>
  </sheetViews>
  <sheetFormatPr defaultColWidth="9.140625" defaultRowHeight="12.75"/>
  <cols>
    <col min="1" max="1" width="7.42578125" style="388" customWidth="1"/>
    <col min="2" max="2" width="6.7109375" style="388" customWidth="1"/>
    <col min="3" max="3" width="2.28515625" style="388" customWidth="1"/>
    <col min="4" max="4" width="7.42578125" style="388" customWidth="1"/>
    <col min="5" max="5" width="6.5703125" style="388" customWidth="1"/>
    <col min="6" max="6" width="10" style="388" customWidth="1"/>
    <col min="7" max="7" width="2" style="388" customWidth="1"/>
    <col min="8" max="8" width="12.85546875" style="388" customWidth="1"/>
    <col min="9" max="9" width="6.7109375" style="388" customWidth="1"/>
    <col min="10" max="10" width="6.85546875" style="388" customWidth="1"/>
    <col min="11" max="11" width="13.28515625" style="388" customWidth="1"/>
    <col min="12" max="12" width="11.140625" style="388" customWidth="1"/>
    <col min="13" max="13" width="11.7109375" style="388" customWidth="1"/>
    <col min="14" max="16384" width="9.140625" style="388"/>
  </cols>
  <sheetData>
    <row r="2" spans="1:13" ht="18" customHeight="1">
      <c r="A2" s="804"/>
      <c r="B2" s="804"/>
      <c r="C2" s="804"/>
      <c r="D2" s="804"/>
      <c r="E2" s="804"/>
      <c r="F2" s="804"/>
      <c r="G2" s="804"/>
      <c r="H2" s="804"/>
      <c r="I2" s="804"/>
      <c r="J2" s="804"/>
      <c r="K2" s="755" t="s">
        <v>1116</v>
      </c>
      <c r="L2" s="755"/>
      <c r="M2" s="755"/>
    </row>
    <row r="3" spans="1:13" ht="13.5" customHeight="1">
      <c r="A3" s="805"/>
      <c r="B3" s="805"/>
      <c r="C3" s="805"/>
      <c r="D3" s="805"/>
      <c r="E3" s="805"/>
      <c r="F3" s="805"/>
      <c r="G3" s="805"/>
      <c r="H3" s="805"/>
      <c r="I3" s="805"/>
      <c r="J3" s="805"/>
      <c r="K3" s="806" t="s">
        <v>1117</v>
      </c>
      <c r="L3" s="806"/>
      <c r="M3" s="806"/>
    </row>
    <row r="4" spans="1:13" ht="17.2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6" t="s">
        <v>121</v>
      </c>
      <c r="L4" s="806"/>
      <c r="M4" s="806"/>
    </row>
    <row r="5" spans="1:13" ht="17.25" customHeight="1">
      <c r="A5" s="765" t="s">
        <v>120</v>
      </c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</row>
    <row r="6" spans="1:13" ht="36.75" customHeight="1" thickBot="1">
      <c r="A6" s="766"/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</row>
    <row r="7" spans="1:13" ht="12.75" customHeight="1">
      <c r="A7" s="729" t="s">
        <v>122</v>
      </c>
      <c r="B7" s="718"/>
      <c r="C7" s="719"/>
      <c r="D7" s="768" t="s">
        <v>1114</v>
      </c>
      <c r="E7" s="769"/>
      <c r="F7" s="769"/>
      <c r="G7" s="769"/>
      <c r="H7" s="769"/>
      <c r="I7" s="769"/>
      <c r="J7" s="769"/>
      <c r="K7" s="769"/>
      <c r="L7" s="769"/>
      <c r="M7" s="770"/>
    </row>
    <row r="8" spans="1:13" ht="12.75" customHeight="1">
      <c r="A8" s="767"/>
      <c r="B8" s="721"/>
      <c r="C8" s="722"/>
      <c r="D8" s="771"/>
      <c r="E8" s="772"/>
      <c r="F8" s="772"/>
      <c r="G8" s="772"/>
      <c r="H8" s="772"/>
      <c r="I8" s="772"/>
      <c r="J8" s="772"/>
      <c r="K8" s="772"/>
      <c r="L8" s="772"/>
      <c r="M8" s="773"/>
    </row>
    <row r="9" spans="1:13" ht="12.75" customHeight="1">
      <c r="A9" s="774" t="s">
        <v>123</v>
      </c>
      <c r="B9" s="775"/>
      <c r="C9" s="776"/>
      <c r="D9" s="777"/>
      <c r="E9" s="778"/>
      <c r="F9" s="778"/>
      <c r="G9" s="778"/>
      <c r="H9" s="778"/>
      <c r="I9" s="778"/>
      <c r="J9" s="778"/>
      <c r="K9" s="778"/>
      <c r="L9" s="778"/>
      <c r="M9" s="779"/>
    </row>
    <row r="10" spans="1:13" ht="12.75" customHeight="1">
      <c r="A10" s="767"/>
      <c r="B10" s="721"/>
      <c r="C10" s="722"/>
      <c r="D10" s="780"/>
      <c r="E10" s="781"/>
      <c r="F10" s="781"/>
      <c r="G10" s="781"/>
      <c r="H10" s="781"/>
      <c r="I10" s="781"/>
      <c r="J10" s="781"/>
      <c r="K10" s="781"/>
      <c r="L10" s="781"/>
      <c r="M10" s="782"/>
    </row>
    <row r="11" spans="1:13" ht="12.75" customHeight="1">
      <c r="A11" s="774" t="s">
        <v>124</v>
      </c>
      <c r="B11" s="775"/>
      <c r="C11" s="776"/>
      <c r="D11" s="777" t="s">
        <v>1079</v>
      </c>
      <c r="E11" s="778"/>
      <c r="F11" s="778"/>
      <c r="G11" s="778"/>
      <c r="H11" s="778"/>
      <c r="I11" s="778"/>
      <c r="J11" s="778"/>
      <c r="K11" s="778"/>
      <c r="L11" s="778"/>
      <c r="M11" s="779"/>
    </row>
    <row r="12" spans="1:13" ht="13.5" customHeight="1" thickBot="1">
      <c r="A12" s="783"/>
      <c r="B12" s="784"/>
      <c r="C12" s="785"/>
      <c r="D12" s="786"/>
      <c r="E12" s="787"/>
      <c r="F12" s="787"/>
      <c r="G12" s="787"/>
      <c r="H12" s="787"/>
      <c r="I12" s="787"/>
      <c r="J12" s="787"/>
      <c r="K12" s="787"/>
      <c r="L12" s="787"/>
      <c r="M12" s="788"/>
    </row>
    <row r="13" spans="1:13" ht="12.75" customHeight="1">
      <c r="A13" s="789" t="s">
        <v>125</v>
      </c>
      <c r="B13" s="790"/>
      <c r="C13" s="791"/>
      <c r="D13" s="792" t="s">
        <v>41</v>
      </c>
      <c r="E13" s="793"/>
      <c r="F13" s="793"/>
      <c r="G13" s="793"/>
      <c r="H13" s="794"/>
      <c r="I13" s="796" t="s">
        <v>126</v>
      </c>
      <c r="J13" s="797"/>
      <c r="K13" s="800" t="s">
        <v>127</v>
      </c>
      <c r="L13" s="792" t="s">
        <v>37</v>
      </c>
      <c r="M13" s="802"/>
    </row>
    <row r="14" spans="1:13" ht="37.15" customHeight="1">
      <c r="A14" s="767"/>
      <c r="B14" s="721"/>
      <c r="C14" s="722"/>
      <c r="D14" s="780"/>
      <c r="E14" s="781"/>
      <c r="F14" s="781"/>
      <c r="G14" s="781"/>
      <c r="H14" s="795"/>
      <c r="I14" s="798"/>
      <c r="J14" s="799"/>
      <c r="K14" s="801"/>
      <c r="L14" s="720"/>
      <c r="M14" s="803"/>
    </row>
    <row r="15" spans="1:13" ht="12.75" customHeight="1">
      <c r="A15" s="389"/>
      <c r="B15" s="390"/>
      <c r="C15" s="391"/>
      <c r="D15" s="751" t="s">
        <v>1141</v>
      </c>
      <c r="E15" s="752"/>
      <c r="F15" s="752"/>
      <c r="G15" s="752"/>
      <c r="H15" s="753"/>
      <c r="I15" s="392"/>
      <c r="J15" s="391"/>
      <c r="K15" s="393"/>
      <c r="L15" s="757" t="e">
        <f>#REF!</f>
        <v>#REF!</v>
      </c>
      <c r="M15" s="758"/>
    </row>
    <row r="16" spans="1:13" ht="12.75" customHeight="1">
      <c r="A16" s="763"/>
      <c r="B16" s="749"/>
      <c r="C16" s="764"/>
      <c r="D16" s="754"/>
      <c r="E16" s="755"/>
      <c r="F16" s="755"/>
      <c r="G16" s="755"/>
      <c r="H16" s="756"/>
      <c r="I16" s="394"/>
      <c r="J16" s="395"/>
      <c r="K16" s="396"/>
      <c r="L16" s="759"/>
      <c r="M16" s="760"/>
    </row>
    <row r="17" spans="1:13" ht="12.75" customHeight="1">
      <c r="A17" s="397"/>
      <c r="B17" s="398"/>
      <c r="C17" s="399"/>
      <c r="D17" s="754"/>
      <c r="E17" s="755"/>
      <c r="F17" s="755"/>
      <c r="G17" s="755"/>
      <c r="H17" s="756"/>
      <c r="I17" s="394"/>
      <c r="J17" s="395"/>
      <c r="K17" s="396"/>
      <c r="L17" s="759"/>
      <c r="M17" s="760"/>
    </row>
    <row r="18" spans="1:13" ht="12.75" customHeight="1">
      <c r="A18" s="397"/>
      <c r="B18" s="398"/>
      <c r="C18" s="399"/>
      <c r="D18" s="754"/>
      <c r="E18" s="755"/>
      <c r="F18" s="755"/>
      <c r="G18" s="755"/>
      <c r="H18" s="756"/>
      <c r="I18" s="394"/>
      <c r="J18" s="395"/>
      <c r="K18" s="396"/>
      <c r="L18" s="759"/>
      <c r="M18" s="760"/>
    </row>
    <row r="19" spans="1:13" ht="12.75" customHeight="1">
      <c r="A19" s="400"/>
      <c r="B19" s="401"/>
      <c r="C19" s="402"/>
      <c r="D19" s="754"/>
      <c r="E19" s="755"/>
      <c r="F19" s="755"/>
      <c r="G19" s="755"/>
      <c r="H19" s="756"/>
      <c r="I19" s="403"/>
      <c r="J19" s="402"/>
      <c r="K19" s="396"/>
      <c r="L19" s="759"/>
      <c r="M19" s="760"/>
    </row>
    <row r="20" spans="1:13" ht="12.75" customHeight="1">
      <c r="A20" s="400"/>
      <c r="B20" s="401"/>
      <c r="C20" s="402"/>
      <c r="D20" s="754"/>
      <c r="E20" s="755"/>
      <c r="F20" s="755"/>
      <c r="G20" s="755"/>
      <c r="H20" s="756"/>
      <c r="I20" s="403"/>
      <c r="J20" s="402"/>
      <c r="K20" s="396"/>
      <c r="L20" s="759"/>
      <c r="M20" s="760"/>
    </row>
    <row r="21" spans="1:13" ht="15">
      <c r="A21" s="400"/>
      <c r="B21" s="401"/>
      <c r="C21" s="402"/>
      <c r="D21" s="754"/>
      <c r="E21" s="755"/>
      <c r="F21" s="755"/>
      <c r="G21" s="755"/>
      <c r="H21" s="756"/>
      <c r="I21" s="403"/>
      <c r="J21" s="402"/>
      <c r="K21" s="404"/>
      <c r="L21" s="759"/>
      <c r="M21" s="760"/>
    </row>
    <row r="22" spans="1:13" ht="15">
      <c r="A22" s="400"/>
      <c r="B22" s="401"/>
      <c r="C22" s="402"/>
      <c r="D22" s="754"/>
      <c r="E22" s="755"/>
      <c r="F22" s="755"/>
      <c r="G22" s="755"/>
      <c r="H22" s="756"/>
      <c r="I22" s="403"/>
      <c r="J22" s="402"/>
      <c r="K22" s="404"/>
      <c r="L22" s="759"/>
      <c r="M22" s="760"/>
    </row>
    <row r="23" spans="1:13" ht="15">
      <c r="A23" s="400"/>
      <c r="B23" s="401"/>
      <c r="C23" s="402"/>
      <c r="D23" s="754"/>
      <c r="E23" s="755"/>
      <c r="F23" s="755"/>
      <c r="G23" s="755"/>
      <c r="H23" s="756"/>
      <c r="I23" s="403"/>
      <c r="J23" s="402"/>
      <c r="K23" s="404"/>
      <c r="L23" s="761"/>
      <c r="M23" s="762"/>
    </row>
    <row r="24" spans="1:13" ht="16.5" customHeight="1" thickBot="1">
      <c r="A24" s="405"/>
      <c r="B24" s="406"/>
      <c r="C24" s="407"/>
      <c r="D24" s="740" t="s">
        <v>1118</v>
      </c>
      <c r="E24" s="741"/>
      <c r="F24" s="741"/>
      <c r="G24" s="741"/>
      <c r="H24" s="742"/>
      <c r="I24" s="408"/>
      <c r="J24" s="407"/>
      <c r="K24" s="407"/>
      <c r="L24" s="743" t="e">
        <f>L15</f>
        <v>#REF!</v>
      </c>
      <c r="M24" s="744"/>
    </row>
    <row r="25" spans="1:13" ht="9" customHeight="1">
      <c r="A25" s="745" t="s">
        <v>131</v>
      </c>
      <c r="B25" s="409"/>
      <c r="C25" s="410"/>
      <c r="D25" s="411"/>
      <c r="E25" s="412"/>
      <c r="F25" s="412"/>
      <c r="G25" s="412"/>
      <c r="H25" s="413"/>
      <c r="I25" s="745" t="s">
        <v>132</v>
      </c>
      <c r="J25" s="414"/>
      <c r="K25" s="410"/>
      <c r="L25" s="401"/>
      <c r="M25" s="415"/>
    </row>
    <row r="26" spans="1:13" ht="14.25" customHeight="1">
      <c r="A26" s="746"/>
      <c r="B26" s="747" t="s">
        <v>133</v>
      </c>
      <c r="C26" s="748"/>
      <c r="D26" s="749" t="s">
        <v>134</v>
      </c>
      <c r="E26" s="749"/>
      <c r="F26" s="749"/>
      <c r="G26" s="749"/>
      <c r="H26" s="750"/>
      <c r="I26" s="746"/>
      <c r="J26" s="416" t="s">
        <v>1119</v>
      </c>
      <c r="K26" s="401"/>
      <c r="L26" s="401"/>
      <c r="M26" s="415"/>
    </row>
    <row r="27" spans="1:13" ht="15">
      <c r="A27" s="417"/>
      <c r="B27" s="401" t="s">
        <v>136</v>
      </c>
      <c r="C27" s="401"/>
      <c r="D27" s="401"/>
      <c r="E27" s="401"/>
      <c r="F27" s="401"/>
      <c r="G27" s="401"/>
      <c r="H27" s="415"/>
      <c r="I27" s="400"/>
      <c r="J27" s="401" t="s">
        <v>1120</v>
      </c>
      <c r="K27" s="401"/>
      <c r="L27" s="401"/>
      <c r="M27" s="415"/>
    </row>
    <row r="28" spans="1:13" ht="15">
      <c r="A28" s="728"/>
      <c r="B28" s="401" t="s">
        <v>138</v>
      </c>
      <c r="C28" s="401"/>
      <c r="D28" s="401"/>
      <c r="E28" s="401"/>
      <c r="F28" s="401"/>
      <c r="G28" s="401"/>
      <c r="H28" s="415"/>
      <c r="I28" s="401"/>
      <c r="J28" s="401" t="s">
        <v>1121</v>
      </c>
      <c r="K28" s="401"/>
      <c r="L28" s="401"/>
      <c r="M28" s="415"/>
    </row>
    <row r="29" spans="1:13" ht="12.75" customHeight="1">
      <c r="A29" s="728"/>
      <c r="B29" s="401"/>
      <c r="C29" s="401"/>
      <c r="D29" s="401"/>
      <c r="E29" s="401"/>
      <c r="F29" s="401"/>
      <c r="G29" s="401"/>
      <c r="H29" s="415"/>
      <c r="I29" s="401"/>
      <c r="J29" s="401"/>
      <c r="K29" s="401"/>
      <c r="L29" s="401"/>
      <c r="M29" s="415"/>
    </row>
    <row r="30" spans="1:13" ht="12.75" customHeight="1">
      <c r="A30" s="418"/>
      <c r="B30" s="419"/>
      <c r="C30" s="419"/>
      <c r="D30" s="419"/>
      <c r="E30" s="419"/>
      <c r="F30" s="419"/>
      <c r="G30" s="401"/>
      <c r="H30" s="415"/>
      <c r="I30" s="401"/>
      <c r="J30" s="401"/>
      <c r="K30" s="401"/>
      <c r="L30" s="401"/>
      <c r="M30" s="415"/>
    </row>
    <row r="31" spans="1:13" ht="12.75" customHeight="1">
      <c r="A31" s="418"/>
      <c r="B31" s="401"/>
      <c r="C31" s="401"/>
      <c r="D31" s="401"/>
      <c r="E31" s="401"/>
      <c r="F31" s="401"/>
      <c r="G31" s="401"/>
      <c r="H31" s="415"/>
      <c r="I31" s="401"/>
      <c r="J31" s="401"/>
      <c r="K31" s="401"/>
      <c r="L31" s="401"/>
      <c r="M31" s="415"/>
    </row>
    <row r="32" spans="1:13" ht="12.75" customHeight="1">
      <c r="A32" s="729" t="s">
        <v>1122</v>
      </c>
      <c r="B32" s="718"/>
      <c r="C32" s="730" t="s">
        <v>1123</v>
      </c>
      <c r="D32" s="730"/>
      <c r="E32" s="730"/>
      <c r="F32" s="730"/>
      <c r="G32" s="730"/>
      <c r="H32" s="731"/>
      <c r="I32" s="401" t="s">
        <v>1124</v>
      </c>
      <c r="J32" s="401"/>
      <c r="K32" s="420" t="s">
        <v>1125</v>
      </c>
      <c r="L32" s="401"/>
      <c r="M32" s="415"/>
    </row>
    <row r="33" spans="1:13" ht="15">
      <c r="A33" s="421"/>
      <c r="B33" s="422"/>
      <c r="C33" s="422"/>
      <c r="D33" s="422"/>
      <c r="E33" s="422"/>
      <c r="F33" s="422"/>
      <c r="G33" s="422"/>
      <c r="H33" s="423"/>
      <c r="I33" s="401"/>
      <c r="J33" s="401"/>
      <c r="K33" s="401"/>
      <c r="L33" s="401"/>
      <c r="M33" s="415"/>
    </row>
    <row r="34" spans="1:13" ht="18" customHeight="1">
      <c r="A34" s="729" t="s">
        <v>140</v>
      </c>
      <c r="B34" s="718"/>
      <c r="C34" s="732" t="s">
        <v>1126</v>
      </c>
      <c r="D34" s="732"/>
      <c r="E34" s="732"/>
      <c r="F34" s="732"/>
      <c r="G34" s="732"/>
      <c r="H34" s="733"/>
      <c r="I34" s="401" t="s">
        <v>140</v>
      </c>
      <c r="J34" s="401"/>
      <c r="K34" s="424" t="s">
        <v>1127</v>
      </c>
      <c r="L34" s="401"/>
      <c r="M34" s="415"/>
    </row>
    <row r="35" spans="1:13" ht="15">
      <c r="A35" s="421"/>
      <c r="B35" s="422"/>
      <c r="C35" s="425"/>
      <c r="D35" s="425"/>
      <c r="E35" s="425"/>
      <c r="F35" s="425"/>
      <c r="G35" s="426"/>
      <c r="H35" s="427"/>
      <c r="I35" s="401"/>
      <c r="J35" s="401"/>
      <c r="K35" s="428"/>
      <c r="L35" s="401"/>
      <c r="M35" s="415"/>
    </row>
    <row r="36" spans="1:13" ht="12.75" customHeight="1">
      <c r="A36" s="729" t="s">
        <v>1128</v>
      </c>
      <c r="B36" s="718"/>
      <c r="C36" s="734" t="s">
        <v>1129</v>
      </c>
      <c r="D36" s="734"/>
      <c r="E36" s="734"/>
      <c r="F36" s="734"/>
      <c r="G36" s="734"/>
      <c r="H36" s="735"/>
      <c r="I36" s="401" t="s">
        <v>1128</v>
      </c>
      <c r="J36" s="401"/>
      <c r="K36" s="429" t="s">
        <v>1130</v>
      </c>
      <c r="L36" s="401"/>
      <c r="M36" s="415"/>
    </row>
    <row r="37" spans="1:13" ht="28.5" customHeight="1">
      <c r="A37" s="421"/>
      <c r="B37" s="422"/>
      <c r="C37" s="718" t="s">
        <v>142</v>
      </c>
      <c r="D37" s="718"/>
      <c r="E37" s="718"/>
      <c r="F37" s="718"/>
      <c r="G37" s="718"/>
      <c r="H37" s="736"/>
      <c r="I37" s="401"/>
      <c r="J37" s="401"/>
      <c r="K37" s="737" t="s">
        <v>143</v>
      </c>
      <c r="L37" s="737"/>
      <c r="M37" s="738"/>
    </row>
    <row r="38" spans="1:13" ht="12.75" customHeight="1">
      <c r="A38" s="729" t="s">
        <v>1131</v>
      </c>
      <c r="B38" s="718"/>
      <c r="C38" s="730" t="s">
        <v>1132</v>
      </c>
      <c r="D38" s="730"/>
      <c r="E38" s="730"/>
      <c r="F38" s="730"/>
      <c r="G38" s="730"/>
      <c r="H38" s="731"/>
      <c r="I38" s="401" t="s">
        <v>1131</v>
      </c>
      <c r="J38" s="401"/>
      <c r="K38" s="401" t="s">
        <v>1133</v>
      </c>
      <c r="L38" s="401"/>
      <c r="M38" s="415"/>
    </row>
    <row r="39" spans="1:13" ht="9.75" customHeight="1" thickBot="1">
      <c r="A39" s="430"/>
      <c r="B39" s="431"/>
      <c r="C39" s="431"/>
      <c r="D39" s="431"/>
      <c r="E39" s="431"/>
      <c r="F39" s="431"/>
      <c r="G39" s="431"/>
      <c r="H39" s="432"/>
      <c r="I39" s="406"/>
      <c r="J39" s="406"/>
      <c r="K39" s="406"/>
      <c r="L39" s="406"/>
      <c r="M39" s="433"/>
    </row>
    <row r="40" spans="1:13" ht="3.75" customHeight="1" thickBot="1">
      <c r="A40" s="434"/>
      <c r="B40" s="435"/>
      <c r="C40" s="410"/>
      <c r="D40" s="410"/>
      <c r="E40" s="410"/>
      <c r="F40" s="410"/>
      <c r="G40" s="410"/>
      <c r="H40" s="410"/>
      <c r="I40" s="410"/>
      <c r="J40" s="410"/>
      <c r="K40" s="410"/>
      <c r="L40" s="410"/>
      <c r="M40" s="436"/>
    </row>
    <row r="41" spans="1:13" ht="15.75" thickBot="1">
      <c r="A41" s="437" t="s">
        <v>145</v>
      </c>
      <c r="B41" s="739" t="s">
        <v>146</v>
      </c>
      <c r="C41" s="726"/>
      <c r="D41" s="726"/>
      <c r="E41" s="726"/>
      <c r="F41" s="726"/>
      <c r="G41" s="726"/>
      <c r="H41" s="726"/>
      <c r="I41" s="726"/>
      <c r="J41" s="726"/>
      <c r="K41" s="726"/>
      <c r="L41" s="726"/>
      <c r="M41" s="727"/>
    </row>
    <row r="42" spans="1:13" ht="13.5" customHeight="1" thickBot="1">
      <c r="A42" s="725" t="s">
        <v>147</v>
      </c>
      <c r="B42" s="726"/>
      <c r="C42" s="726"/>
      <c r="D42" s="726"/>
      <c r="E42" s="726"/>
      <c r="F42" s="726"/>
      <c r="G42" s="727"/>
      <c r="H42" s="725" t="s">
        <v>37</v>
      </c>
      <c r="I42" s="726"/>
      <c r="J42" s="726"/>
      <c r="K42" s="726"/>
      <c r="L42" s="726"/>
      <c r="M42" s="727"/>
    </row>
    <row r="43" spans="1:13" ht="13.5" customHeight="1">
      <c r="A43" s="711" t="s">
        <v>53</v>
      </c>
      <c r="B43" s="713" t="s">
        <v>41</v>
      </c>
      <c r="C43" s="714"/>
      <c r="D43" s="714"/>
      <c r="E43" s="717" t="s">
        <v>1134</v>
      </c>
      <c r="F43" s="718"/>
      <c r="G43" s="719"/>
      <c r="H43" s="710" t="s">
        <v>43</v>
      </c>
      <c r="I43" s="723" t="s">
        <v>149</v>
      </c>
      <c r="J43" s="724"/>
      <c r="K43" s="710" t="s">
        <v>150</v>
      </c>
      <c r="L43" s="691" t="s">
        <v>151</v>
      </c>
      <c r="M43" s="692"/>
    </row>
    <row r="44" spans="1:13" ht="26.25" customHeight="1">
      <c r="A44" s="711"/>
      <c r="B44" s="713"/>
      <c r="C44" s="714"/>
      <c r="D44" s="714"/>
      <c r="E44" s="717"/>
      <c r="F44" s="718"/>
      <c r="G44" s="719"/>
      <c r="H44" s="710"/>
      <c r="I44" s="723"/>
      <c r="J44" s="724"/>
      <c r="K44" s="710"/>
      <c r="L44" s="438" t="s">
        <v>43</v>
      </c>
      <c r="M44" s="439" t="s">
        <v>149</v>
      </c>
    </row>
    <row r="45" spans="1:13" ht="15.6" customHeight="1">
      <c r="A45" s="712"/>
      <c r="B45" s="715"/>
      <c r="C45" s="716"/>
      <c r="D45" s="716"/>
      <c r="E45" s="720"/>
      <c r="F45" s="721"/>
      <c r="G45" s="722"/>
      <c r="H45" s="440" t="s">
        <v>152</v>
      </c>
      <c r="I45" s="693" t="s">
        <v>153</v>
      </c>
      <c r="J45" s="694"/>
      <c r="K45" s="440" t="s">
        <v>154</v>
      </c>
      <c r="L45" s="440" t="s">
        <v>155</v>
      </c>
      <c r="M45" s="441" t="s">
        <v>156</v>
      </c>
    </row>
    <row r="46" spans="1:13" ht="15" customHeight="1">
      <c r="A46" s="442"/>
      <c r="B46" s="695" t="str">
        <f>D15</f>
        <v>Wages for the period July 1-15, 2025.</v>
      </c>
      <c r="C46" s="696"/>
      <c r="D46" s="697"/>
      <c r="E46" s="394"/>
      <c r="F46" s="401"/>
      <c r="G46" s="402"/>
      <c r="H46" s="704" t="e">
        <f>L15</f>
        <v>#REF!</v>
      </c>
      <c r="I46" s="403"/>
      <c r="J46" s="391"/>
      <c r="K46" s="396"/>
      <c r="L46" s="443"/>
      <c r="M46" s="444"/>
    </row>
    <row r="47" spans="1:13" ht="15" customHeight="1">
      <c r="A47" s="442"/>
      <c r="B47" s="698"/>
      <c r="C47" s="699"/>
      <c r="D47" s="700"/>
      <c r="E47" s="394"/>
      <c r="F47" s="401"/>
      <c r="G47" s="402"/>
      <c r="H47" s="705"/>
      <c r="I47" s="445"/>
      <c r="J47" s="446"/>
      <c r="K47" s="447"/>
      <c r="L47" s="447"/>
      <c r="M47" s="448"/>
    </row>
    <row r="48" spans="1:13" ht="15" customHeight="1">
      <c r="A48" s="442"/>
      <c r="B48" s="698"/>
      <c r="C48" s="699"/>
      <c r="D48" s="700"/>
      <c r="E48" s="707"/>
      <c r="F48" s="708"/>
      <c r="G48" s="709"/>
      <c r="H48" s="705"/>
      <c r="I48" s="445"/>
      <c r="J48" s="446"/>
      <c r="K48" s="447"/>
      <c r="L48" s="447"/>
      <c r="M48" s="448"/>
    </row>
    <row r="49" spans="1:13" ht="15" customHeight="1">
      <c r="A49" s="442"/>
      <c r="B49" s="698"/>
      <c r="C49" s="699"/>
      <c r="D49" s="700"/>
      <c r="E49" s="394"/>
      <c r="F49" s="401"/>
      <c r="G49" s="402"/>
      <c r="H49" s="705"/>
      <c r="I49" s="445"/>
      <c r="J49" s="446"/>
      <c r="K49" s="447"/>
      <c r="L49" s="449"/>
      <c r="M49" s="448"/>
    </row>
    <row r="50" spans="1:13" ht="15" customHeight="1">
      <c r="A50" s="450"/>
      <c r="B50" s="698"/>
      <c r="C50" s="699"/>
      <c r="D50" s="700"/>
      <c r="E50" s="403"/>
      <c r="F50" s="401"/>
      <c r="G50" s="402"/>
      <c r="H50" s="705"/>
      <c r="I50" s="403"/>
      <c r="J50" s="402"/>
      <c r="K50" s="396"/>
      <c r="L50" s="396"/>
      <c r="M50" s="415"/>
    </row>
    <row r="51" spans="1:13" ht="15" customHeight="1">
      <c r="A51" s="450"/>
      <c r="B51" s="698"/>
      <c r="C51" s="699"/>
      <c r="D51" s="700"/>
      <c r="E51" s="403"/>
      <c r="F51" s="401"/>
      <c r="G51" s="402"/>
      <c r="H51" s="705"/>
      <c r="I51" s="403"/>
      <c r="J51" s="402"/>
      <c r="K51" s="396"/>
      <c r="L51" s="396"/>
      <c r="M51" s="415"/>
    </row>
    <row r="52" spans="1:13" ht="15" customHeight="1" thickBot="1">
      <c r="A52" s="451"/>
      <c r="B52" s="701"/>
      <c r="C52" s="702"/>
      <c r="D52" s="703"/>
      <c r="E52" s="452"/>
      <c r="F52" s="453"/>
      <c r="G52" s="454"/>
      <c r="H52" s="706"/>
      <c r="I52" s="452"/>
      <c r="J52" s="454"/>
      <c r="K52" s="455"/>
      <c r="L52" s="455"/>
      <c r="M52" s="456"/>
    </row>
    <row r="53" spans="1:13" ht="15">
      <c r="A53" s="457" t="s">
        <v>1135</v>
      </c>
      <c r="B53" s="401"/>
      <c r="C53" s="401"/>
      <c r="D53" s="401"/>
      <c r="E53" s="401"/>
      <c r="F53" s="401"/>
      <c r="G53" s="401"/>
      <c r="H53" s="401"/>
      <c r="I53" s="401"/>
      <c r="J53" s="401"/>
      <c r="K53" s="401"/>
      <c r="L53" s="401"/>
      <c r="M53" s="401"/>
    </row>
  </sheetData>
  <mergeCells count="52">
    <mergeCell ref="A2:J2"/>
    <mergeCell ref="K2:M2"/>
    <mergeCell ref="A3:J3"/>
    <mergeCell ref="K3:M3"/>
    <mergeCell ref="A4:J4"/>
    <mergeCell ref="K4:M4"/>
    <mergeCell ref="D15:H23"/>
    <mergeCell ref="L15:M23"/>
    <mergeCell ref="A16:C16"/>
    <mergeCell ref="A5:M6"/>
    <mergeCell ref="A7:C8"/>
    <mergeCell ref="D7:M8"/>
    <mergeCell ref="A9:C10"/>
    <mergeCell ref="D9:M10"/>
    <mergeCell ref="A11:C12"/>
    <mergeCell ref="D11:M12"/>
    <mergeCell ref="A13:C14"/>
    <mergeCell ref="D13:H14"/>
    <mergeCell ref="I13:J14"/>
    <mergeCell ref="K13:K14"/>
    <mergeCell ref="L13:M14"/>
    <mergeCell ref="D24:H24"/>
    <mergeCell ref="L24:M24"/>
    <mergeCell ref="A25:A26"/>
    <mergeCell ref="I25:I26"/>
    <mergeCell ref="B26:C26"/>
    <mergeCell ref="D26:H26"/>
    <mergeCell ref="A42:G42"/>
    <mergeCell ref="H42:M42"/>
    <mergeCell ref="A28:A29"/>
    <mergeCell ref="A32:B32"/>
    <mergeCell ref="C32:H32"/>
    <mergeCell ref="A34:B34"/>
    <mergeCell ref="C34:H34"/>
    <mergeCell ref="A36:B36"/>
    <mergeCell ref="C36:H36"/>
    <mergeCell ref="C37:H37"/>
    <mergeCell ref="K37:M37"/>
    <mergeCell ref="A38:B38"/>
    <mergeCell ref="C38:H38"/>
    <mergeCell ref="B41:M41"/>
    <mergeCell ref="A43:A45"/>
    <mergeCell ref="B43:D45"/>
    <mergeCell ref="E43:G45"/>
    <mergeCell ref="H43:H44"/>
    <mergeCell ref="I43:J44"/>
    <mergeCell ref="L43:M43"/>
    <mergeCell ref="I45:J45"/>
    <mergeCell ref="B46:D52"/>
    <mergeCell ref="H46:H52"/>
    <mergeCell ref="E48:G48"/>
    <mergeCell ref="K43:K44"/>
  </mergeCells>
  <printOptions horizontalCentered="1"/>
  <pageMargins left="0" right="0" top="0.70866141732283472" bottom="0.23622047244094491" header="0" footer="0.51181102362204722"/>
  <pageSetup paperSize="14" scale="95" fitToWidth="0" fitToHeight="0" orientation="portrait" r:id="rId1"/>
  <headerFooter>
    <oddFooter>&amp;L&amp;"Tahoma,Bold"&amp;8NIA-ACIMO-FIN-INT-Form06 Rev07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68"/>
  <sheetViews>
    <sheetView showGridLines="0" topLeftCell="A13" zoomScaleNormal="100" zoomScaleSheetLayoutView="85" workbookViewId="0">
      <selection activeCell="L31" sqref="L31"/>
    </sheetView>
  </sheetViews>
  <sheetFormatPr defaultColWidth="8.85546875" defaultRowHeight="12.75"/>
  <cols>
    <col min="1" max="1" width="2.5703125" style="460" customWidth="1"/>
    <col min="2" max="2" width="4" style="460" customWidth="1"/>
    <col min="3" max="3" width="3.7109375" style="460" customWidth="1"/>
    <col min="4" max="4" width="1.5703125" style="460" hidden="1" customWidth="1"/>
    <col min="5" max="5" width="2.42578125" style="460" customWidth="1"/>
    <col min="6" max="16" width="2.85546875" style="460" customWidth="1"/>
    <col min="17" max="17" width="14.85546875" style="460" customWidth="1"/>
    <col min="18" max="18" width="8.42578125" style="460" customWidth="1"/>
    <col min="19" max="32" width="2.85546875" style="460" customWidth="1"/>
    <col min="33" max="33" width="7.28515625" style="460" customWidth="1"/>
    <col min="34" max="34" width="0.140625" style="460" hidden="1" customWidth="1"/>
    <col min="35" max="16384" width="8.85546875" style="460"/>
  </cols>
  <sheetData>
    <row r="2" spans="1:34" s="458" customFormat="1" ht="13.5" customHeight="1">
      <c r="A2" s="1005"/>
      <c r="B2" s="1005"/>
      <c r="C2" s="1005"/>
      <c r="D2" s="1005"/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  <c r="U2" s="1005"/>
      <c r="V2" s="1005"/>
      <c r="W2" s="1005"/>
      <c r="X2" s="1005"/>
      <c r="Y2" s="1005"/>
      <c r="Z2" s="1005"/>
      <c r="AA2" s="1005"/>
      <c r="AB2" s="1003"/>
      <c r="AC2" s="1003"/>
      <c r="AD2" s="1003"/>
      <c r="AE2" s="1003"/>
      <c r="AF2" s="1003"/>
      <c r="AG2" s="1003"/>
    </row>
    <row r="3" spans="1:34" s="458" customFormat="1" ht="13.5" customHeight="1">
      <c r="A3" s="1006"/>
      <c r="B3" s="1006"/>
      <c r="C3" s="100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6"/>
      <c r="W3" s="1006"/>
      <c r="X3" s="1006"/>
      <c r="Y3" s="1006"/>
      <c r="Z3" s="1006"/>
      <c r="AA3" s="1006"/>
      <c r="AB3" s="459"/>
      <c r="AC3" s="459"/>
      <c r="AD3" s="459"/>
      <c r="AE3" s="459"/>
      <c r="AF3" s="459"/>
      <c r="AG3" s="459"/>
    </row>
    <row r="4" spans="1:34" s="458" customFormat="1" ht="13.5" customHeight="1">
      <c r="A4" s="1007"/>
      <c r="B4" s="1007"/>
      <c r="C4" s="1007"/>
      <c r="D4" s="1007"/>
      <c r="E4" s="1007"/>
      <c r="F4" s="1007"/>
      <c r="G4" s="1007"/>
      <c r="H4" s="1007"/>
      <c r="I4" s="1007"/>
      <c r="J4" s="1007"/>
      <c r="K4" s="1007"/>
      <c r="L4" s="1007"/>
      <c r="M4" s="1007"/>
      <c r="N4" s="1007"/>
      <c r="O4" s="1007"/>
      <c r="P4" s="1007"/>
      <c r="Q4" s="1007"/>
      <c r="R4" s="1007"/>
      <c r="S4" s="1007"/>
      <c r="T4" s="1007"/>
      <c r="U4" s="1007"/>
      <c r="V4" s="1007"/>
      <c r="W4" s="1007"/>
      <c r="X4" s="1007"/>
      <c r="Y4" s="1007"/>
      <c r="Z4" s="1007"/>
      <c r="AA4" s="1007"/>
      <c r="AB4" s="1003"/>
      <c r="AC4" s="1003"/>
      <c r="AD4" s="1003"/>
      <c r="AE4" s="1003"/>
      <c r="AF4" s="1003"/>
      <c r="AG4" s="1003"/>
    </row>
    <row r="5" spans="1:34" ht="15" customHeight="1">
      <c r="A5" s="1001" t="s">
        <v>158</v>
      </c>
      <c r="B5" s="1001"/>
      <c r="C5" s="1001"/>
      <c r="D5" s="1001"/>
      <c r="E5" s="1001"/>
      <c r="F5" s="1001"/>
      <c r="G5" s="1001"/>
      <c r="H5" s="1001"/>
      <c r="I5" s="1001"/>
      <c r="J5" s="1001"/>
      <c r="K5" s="1001"/>
      <c r="L5" s="1001"/>
      <c r="M5" s="1001"/>
      <c r="N5" s="1001"/>
      <c r="O5" s="1001"/>
      <c r="P5" s="1001"/>
      <c r="Q5" s="1001"/>
      <c r="R5" s="1001"/>
      <c r="S5" s="1001"/>
      <c r="T5" s="1001"/>
      <c r="U5" s="1001"/>
      <c r="V5" s="1001"/>
      <c r="W5" s="1001"/>
      <c r="X5" s="1001"/>
      <c r="Y5" s="1001"/>
      <c r="Z5" s="1001"/>
      <c r="AA5" s="1001"/>
      <c r="AB5" s="1003" t="s">
        <v>157</v>
      </c>
      <c r="AC5" s="1003"/>
      <c r="AD5" s="1003"/>
      <c r="AE5" s="1003"/>
      <c r="AF5" s="1003"/>
      <c r="AG5" s="1003"/>
    </row>
    <row r="6" spans="1:34" ht="15" customHeight="1">
      <c r="A6" s="1001"/>
      <c r="B6" s="1001"/>
      <c r="C6" s="1001"/>
      <c r="D6" s="1001"/>
      <c r="E6" s="1001"/>
      <c r="F6" s="1001"/>
      <c r="G6" s="1001"/>
      <c r="H6" s="1001"/>
      <c r="I6" s="1001"/>
      <c r="J6" s="1001"/>
      <c r="K6" s="1001"/>
      <c r="L6" s="1001"/>
      <c r="M6" s="1001"/>
      <c r="N6" s="1001"/>
      <c r="O6" s="1001"/>
      <c r="P6" s="1001"/>
      <c r="Q6" s="1001"/>
      <c r="R6" s="1001"/>
      <c r="S6" s="1001"/>
      <c r="T6" s="1001"/>
      <c r="U6" s="1001"/>
      <c r="V6" s="1001"/>
      <c r="W6" s="1001"/>
      <c r="X6" s="1001"/>
      <c r="Y6" s="1001"/>
      <c r="Z6" s="1001"/>
      <c r="AA6" s="1001"/>
      <c r="AB6" s="1004" t="s">
        <v>159</v>
      </c>
      <c r="AC6" s="1004"/>
      <c r="AD6" s="1004"/>
      <c r="AE6" s="1004"/>
      <c r="AF6" s="1004"/>
      <c r="AG6" s="1004"/>
    </row>
    <row r="7" spans="1:34" ht="21.75" customHeight="1" thickBot="1">
      <c r="A7" s="1002"/>
      <c r="B7" s="1002"/>
      <c r="C7" s="1002"/>
      <c r="D7" s="1002"/>
      <c r="E7" s="1002"/>
      <c r="F7" s="1002"/>
      <c r="G7" s="1002"/>
      <c r="H7" s="1002"/>
      <c r="I7" s="1002"/>
      <c r="J7" s="1002"/>
      <c r="K7" s="1002"/>
      <c r="L7" s="1002"/>
      <c r="M7" s="1002"/>
      <c r="N7" s="1002"/>
      <c r="O7" s="1002"/>
      <c r="P7" s="1002"/>
      <c r="Q7" s="1002"/>
      <c r="R7" s="1002"/>
      <c r="S7" s="1002"/>
      <c r="T7" s="1002"/>
      <c r="U7" s="1002"/>
      <c r="V7" s="1002"/>
      <c r="W7" s="1002"/>
      <c r="X7" s="1002"/>
      <c r="Y7" s="1002"/>
      <c r="Z7" s="1002"/>
      <c r="AA7" s="1002"/>
      <c r="AB7" s="968" t="s">
        <v>160</v>
      </c>
      <c r="AC7" s="968"/>
      <c r="AD7" s="968"/>
      <c r="AE7" s="968"/>
      <c r="AF7" s="968"/>
      <c r="AG7" s="968"/>
    </row>
    <row r="8" spans="1:34" s="463" customFormat="1" ht="9.75" customHeight="1">
      <c r="A8" s="981" t="s">
        <v>161</v>
      </c>
      <c r="B8" s="982"/>
      <c r="C8" s="983"/>
      <c r="D8" s="461"/>
      <c r="E8" s="987"/>
      <c r="F8" s="809"/>
      <c r="G8" s="809"/>
      <c r="H8" s="809"/>
      <c r="I8" s="809"/>
      <c r="J8" s="809"/>
      <c r="K8" s="809"/>
      <c r="L8" s="809"/>
      <c r="M8" s="809"/>
      <c r="N8" s="809"/>
      <c r="O8" s="809"/>
      <c r="P8" s="809"/>
      <c r="Q8" s="809"/>
      <c r="R8" s="809"/>
      <c r="S8" s="809"/>
      <c r="T8" s="809"/>
      <c r="U8" s="809"/>
      <c r="V8" s="809"/>
      <c r="W8" s="809"/>
      <c r="X8" s="809"/>
      <c r="Y8" s="809"/>
      <c r="Z8" s="809"/>
      <c r="AA8" s="809"/>
      <c r="AB8" s="809"/>
      <c r="AC8" s="809"/>
      <c r="AD8" s="809"/>
      <c r="AE8" s="809"/>
      <c r="AF8" s="809"/>
      <c r="AG8" s="810"/>
      <c r="AH8" s="462"/>
    </row>
    <row r="9" spans="1:34" s="463" customFormat="1" ht="15">
      <c r="A9" s="981"/>
      <c r="B9" s="982"/>
      <c r="C9" s="983"/>
      <c r="D9" s="460"/>
      <c r="E9" s="464"/>
      <c r="F9" s="465"/>
      <c r="G9" s="466"/>
      <c r="H9" s="460" t="s">
        <v>162</v>
      </c>
      <c r="I9" s="460"/>
      <c r="J9" s="460"/>
      <c r="K9" s="460"/>
      <c r="L9" s="467"/>
      <c r="M9" s="460" t="s">
        <v>163</v>
      </c>
      <c r="N9" s="465"/>
      <c r="O9" s="460"/>
      <c r="P9" s="460"/>
      <c r="Q9" s="460"/>
      <c r="R9" s="460"/>
      <c r="S9" s="466"/>
      <c r="T9" s="460" t="s">
        <v>164</v>
      </c>
      <c r="U9" s="465"/>
      <c r="V9" s="460"/>
      <c r="W9" s="466"/>
      <c r="X9" s="460" t="s">
        <v>165</v>
      </c>
      <c r="Y9" s="460"/>
      <c r="AC9" s="460"/>
      <c r="AD9" s="460"/>
      <c r="AE9" s="465"/>
      <c r="AF9" s="465"/>
      <c r="AG9" s="468"/>
      <c r="AH9" s="462"/>
    </row>
    <row r="10" spans="1:34" s="463" customFormat="1" ht="14.25" customHeight="1" thickBot="1">
      <c r="A10" s="984"/>
      <c r="B10" s="985"/>
      <c r="C10" s="986"/>
      <c r="D10" s="469"/>
      <c r="E10" s="470"/>
      <c r="F10" s="471"/>
      <c r="G10" s="471"/>
      <c r="H10" s="471"/>
      <c r="I10" s="469"/>
      <c r="J10" s="851"/>
      <c r="K10" s="851"/>
      <c r="L10" s="851"/>
      <c r="M10" s="851"/>
      <c r="N10" s="471"/>
      <c r="O10" s="851"/>
      <c r="P10" s="851"/>
      <c r="Q10" s="851"/>
      <c r="R10" s="851"/>
      <c r="S10" s="851"/>
      <c r="T10" s="851"/>
      <c r="U10" s="471"/>
      <c r="V10" s="471"/>
      <c r="W10" s="471"/>
      <c r="X10" s="471"/>
      <c r="Y10" s="471"/>
      <c r="Z10" s="471"/>
      <c r="AA10" s="472" t="s">
        <v>166</v>
      </c>
      <c r="AB10" s="471"/>
      <c r="AC10" s="471"/>
      <c r="AD10" s="471"/>
      <c r="AE10" s="471"/>
      <c r="AF10" s="471"/>
      <c r="AG10" s="473"/>
      <c r="AH10" s="462"/>
    </row>
    <row r="11" spans="1:34" s="463" customFormat="1" ht="15" customHeight="1">
      <c r="A11" s="988" t="s">
        <v>122</v>
      </c>
      <c r="B11" s="989"/>
      <c r="C11" s="990"/>
      <c r="D11" s="474"/>
      <c r="E11" s="991" t="s">
        <v>1114</v>
      </c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  <c r="Q11" s="989"/>
      <c r="R11" s="990"/>
      <c r="S11" s="993" t="s">
        <v>167</v>
      </c>
      <c r="T11" s="829"/>
      <c r="U11" s="829"/>
      <c r="V11" s="829"/>
      <c r="W11" s="829"/>
      <c r="X11" s="829"/>
      <c r="Y11" s="829"/>
      <c r="Z11" s="829"/>
      <c r="AA11" s="994"/>
      <c r="AB11" s="995" t="s">
        <v>168</v>
      </c>
      <c r="AC11" s="996"/>
      <c r="AD11" s="996"/>
      <c r="AE11" s="996"/>
      <c r="AF11" s="996"/>
      <c r="AG11" s="997"/>
      <c r="AH11" s="475"/>
    </row>
    <row r="12" spans="1:34" s="463" customFormat="1" ht="10.5" customHeight="1">
      <c r="A12" s="981"/>
      <c r="B12" s="982"/>
      <c r="C12" s="983"/>
      <c r="D12" s="460"/>
      <c r="E12" s="992"/>
      <c r="F12" s="982"/>
      <c r="G12" s="982"/>
      <c r="H12" s="982"/>
      <c r="I12" s="982"/>
      <c r="J12" s="982"/>
      <c r="K12" s="982"/>
      <c r="L12" s="982"/>
      <c r="M12" s="982"/>
      <c r="N12" s="982"/>
      <c r="O12" s="982"/>
      <c r="P12" s="982"/>
      <c r="Q12" s="982"/>
      <c r="R12" s="983"/>
      <c r="S12" s="998"/>
      <c r="T12" s="999"/>
      <c r="U12" s="999"/>
      <c r="V12" s="999"/>
      <c r="W12" s="999"/>
      <c r="X12" s="999"/>
      <c r="Y12" s="999"/>
      <c r="Z12" s="999"/>
      <c r="AA12" s="1000"/>
      <c r="AB12" s="835"/>
      <c r="AC12" s="809"/>
      <c r="AD12" s="809"/>
      <c r="AE12" s="809"/>
      <c r="AF12" s="809"/>
      <c r="AG12" s="810"/>
      <c r="AH12" s="462"/>
    </row>
    <row r="13" spans="1:34" s="463" customFormat="1" ht="12" customHeight="1">
      <c r="A13" s="964" t="s">
        <v>124</v>
      </c>
      <c r="B13" s="965"/>
      <c r="C13" s="966"/>
      <c r="D13" s="460"/>
      <c r="E13" s="970" t="s">
        <v>1079</v>
      </c>
      <c r="F13" s="965"/>
      <c r="G13" s="965"/>
      <c r="H13" s="965"/>
      <c r="I13" s="965"/>
      <c r="J13" s="965"/>
      <c r="K13" s="965"/>
      <c r="L13" s="965"/>
      <c r="M13" s="965"/>
      <c r="N13" s="965"/>
      <c r="O13" s="965"/>
      <c r="P13" s="965"/>
      <c r="Q13" s="965"/>
      <c r="R13" s="965"/>
      <c r="S13" s="965"/>
      <c r="T13" s="965"/>
      <c r="U13" s="965"/>
      <c r="V13" s="965"/>
      <c r="W13" s="965"/>
      <c r="X13" s="965"/>
      <c r="Y13" s="965"/>
      <c r="Z13" s="965"/>
      <c r="AA13" s="965"/>
      <c r="AB13" s="965"/>
      <c r="AC13" s="965"/>
      <c r="AD13" s="965"/>
      <c r="AE13" s="965"/>
      <c r="AF13" s="965"/>
      <c r="AG13" s="971"/>
      <c r="AH13" s="462"/>
    </row>
    <row r="14" spans="1:34" s="463" customFormat="1" ht="12" customHeight="1" thickBot="1">
      <c r="A14" s="967"/>
      <c r="B14" s="968"/>
      <c r="C14" s="969"/>
      <c r="D14" s="469"/>
      <c r="E14" s="972"/>
      <c r="F14" s="968"/>
      <c r="G14" s="968"/>
      <c r="H14" s="968"/>
      <c r="I14" s="968"/>
      <c r="J14" s="968"/>
      <c r="K14" s="968"/>
      <c r="L14" s="968"/>
      <c r="M14" s="968"/>
      <c r="N14" s="968"/>
      <c r="O14" s="968"/>
      <c r="P14" s="968"/>
      <c r="Q14" s="968"/>
      <c r="R14" s="968"/>
      <c r="S14" s="968"/>
      <c r="T14" s="968"/>
      <c r="U14" s="968"/>
      <c r="V14" s="968"/>
      <c r="W14" s="968"/>
      <c r="X14" s="968"/>
      <c r="Y14" s="968"/>
      <c r="Z14" s="968"/>
      <c r="AA14" s="968"/>
      <c r="AB14" s="968"/>
      <c r="AC14" s="968"/>
      <c r="AD14" s="968"/>
      <c r="AE14" s="968"/>
      <c r="AF14" s="968"/>
      <c r="AG14" s="973"/>
      <c r="AH14" s="476"/>
    </row>
    <row r="15" spans="1:34" s="478" customFormat="1" ht="28.15" customHeight="1">
      <c r="A15" s="974" t="s">
        <v>41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975"/>
      <c r="O15" s="975"/>
      <c r="P15" s="975"/>
      <c r="Q15" s="976"/>
      <c r="R15" s="977" t="s">
        <v>125</v>
      </c>
      <c r="S15" s="978"/>
      <c r="T15" s="978"/>
      <c r="U15" s="978"/>
      <c r="V15" s="979"/>
      <c r="W15" s="977" t="s">
        <v>169</v>
      </c>
      <c r="X15" s="975"/>
      <c r="Y15" s="975"/>
      <c r="Z15" s="975"/>
      <c r="AA15" s="976"/>
      <c r="AB15" s="977" t="s">
        <v>37</v>
      </c>
      <c r="AC15" s="975"/>
      <c r="AD15" s="975"/>
      <c r="AE15" s="975"/>
      <c r="AF15" s="975"/>
      <c r="AG15" s="980"/>
      <c r="AH15" s="477"/>
    </row>
    <row r="16" spans="1:34" s="463" customFormat="1" ht="28.5" customHeight="1">
      <c r="A16" s="940" t="s">
        <v>1142</v>
      </c>
      <c r="B16" s="928"/>
      <c r="C16" s="928"/>
      <c r="D16" s="928"/>
      <c r="E16" s="928"/>
      <c r="F16" s="928"/>
      <c r="G16" s="928"/>
      <c r="H16" s="928"/>
      <c r="I16" s="928"/>
      <c r="J16" s="928"/>
      <c r="K16" s="928"/>
      <c r="L16" s="928"/>
      <c r="M16" s="928"/>
      <c r="N16" s="928"/>
      <c r="O16" s="928"/>
      <c r="P16" s="928"/>
      <c r="Q16" s="929"/>
      <c r="R16" s="941"/>
      <c r="S16" s="942"/>
      <c r="T16" s="942"/>
      <c r="U16" s="942"/>
      <c r="V16" s="943"/>
      <c r="W16" s="941"/>
      <c r="X16" s="942"/>
      <c r="Y16" s="942"/>
      <c r="Z16" s="942"/>
      <c r="AA16" s="943"/>
      <c r="AB16" s="946">
        <f>Q22</f>
        <v>4585.3900000000003</v>
      </c>
      <c r="AC16" s="947"/>
      <c r="AD16" s="947"/>
      <c r="AE16" s="947"/>
      <c r="AF16" s="947"/>
      <c r="AG16" s="948"/>
      <c r="AH16" s="462"/>
    </row>
    <row r="17" spans="1:35" s="463" customFormat="1" ht="15">
      <c r="A17" s="479"/>
      <c r="B17" s="480"/>
      <c r="C17" s="481"/>
      <c r="D17" s="481"/>
      <c r="E17" s="481"/>
      <c r="F17" s="481"/>
      <c r="G17" s="481"/>
      <c r="H17" s="955"/>
      <c r="I17" s="955"/>
      <c r="J17" s="955"/>
      <c r="K17" s="955"/>
      <c r="L17" s="955"/>
      <c r="M17" s="955"/>
      <c r="N17" s="481"/>
      <c r="O17" s="481"/>
      <c r="P17" s="481"/>
      <c r="Q17" s="482"/>
      <c r="R17" s="944"/>
      <c r="S17" s="917"/>
      <c r="T17" s="917"/>
      <c r="U17" s="917"/>
      <c r="V17" s="945"/>
      <c r="W17" s="944"/>
      <c r="X17" s="917"/>
      <c r="Y17" s="917"/>
      <c r="Z17" s="917"/>
      <c r="AA17" s="945"/>
      <c r="AB17" s="949"/>
      <c r="AC17" s="950"/>
      <c r="AD17" s="950"/>
      <c r="AE17" s="950"/>
      <c r="AF17" s="950"/>
      <c r="AG17" s="951"/>
      <c r="AH17" s="462"/>
    </row>
    <row r="18" spans="1:35" s="463" customFormat="1" ht="15">
      <c r="A18" s="956"/>
      <c r="B18" s="931"/>
      <c r="C18" s="931"/>
      <c r="D18" s="931"/>
      <c r="E18" s="931"/>
      <c r="F18" s="931"/>
      <c r="G18" s="931"/>
      <c r="H18" s="931"/>
      <c r="I18" s="957"/>
      <c r="J18" s="958"/>
      <c r="K18" s="958"/>
      <c r="L18" s="958"/>
      <c r="M18" s="958"/>
      <c r="N18" s="481"/>
      <c r="O18" s="481"/>
      <c r="P18" s="481"/>
      <c r="Q18" s="483" t="s">
        <v>54</v>
      </c>
      <c r="R18" s="944"/>
      <c r="S18" s="917"/>
      <c r="T18" s="917"/>
      <c r="U18" s="917"/>
      <c r="V18" s="945"/>
      <c r="W18" s="944"/>
      <c r="X18" s="917"/>
      <c r="Y18" s="917"/>
      <c r="Z18" s="917"/>
      <c r="AA18" s="945"/>
      <c r="AB18" s="949"/>
      <c r="AC18" s="950"/>
      <c r="AD18" s="950"/>
      <c r="AE18" s="950"/>
      <c r="AF18" s="950"/>
      <c r="AG18" s="951"/>
      <c r="AH18" s="462"/>
    </row>
    <row r="19" spans="1:35" s="463" customFormat="1" ht="14.25" customHeight="1">
      <c r="A19" s="484"/>
      <c r="B19" s="461"/>
      <c r="C19" s="461">
        <v>1</v>
      </c>
      <c r="D19" s="461"/>
      <c r="E19" s="931" t="s">
        <v>1114</v>
      </c>
      <c r="F19" s="931"/>
      <c r="G19" s="931"/>
      <c r="H19" s="931"/>
      <c r="I19" s="931"/>
      <c r="J19" s="931"/>
      <c r="K19" s="931"/>
      <c r="L19" s="931"/>
      <c r="M19" s="486"/>
      <c r="N19" s="481"/>
      <c r="O19" s="481"/>
      <c r="P19" s="481"/>
      <c r="Q19" s="537">
        <v>4933.3900000000003</v>
      </c>
      <c r="R19" s="944"/>
      <c r="S19" s="917"/>
      <c r="T19" s="917"/>
      <c r="U19" s="917"/>
      <c r="V19" s="945"/>
      <c r="W19" s="944"/>
      <c r="X19" s="917"/>
      <c r="Y19" s="917"/>
      <c r="Z19" s="917"/>
      <c r="AA19" s="945"/>
      <c r="AB19" s="949"/>
      <c r="AC19" s="950"/>
      <c r="AD19" s="950"/>
      <c r="AE19" s="950"/>
      <c r="AF19" s="950"/>
      <c r="AG19" s="951"/>
      <c r="AH19" s="462"/>
    </row>
    <row r="20" spans="1:35" s="463" customFormat="1" ht="14.25" customHeight="1">
      <c r="A20" s="484"/>
      <c r="C20" s="488"/>
      <c r="D20" s="461"/>
      <c r="E20" s="461"/>
      <c r="F20" s="461"/>
      <c r="G20" s="461"/>
      <c r="H20" s="923" t="s">
        <v>1143</v>
      </c>
      <c r="I20" s="923"/>
      <c r="J20" s="536"/>
      <c r="K20" s="486"/>
      <c r="L20" s="486"/>
      <c r="M20" s="486"/>
      <c r="N20" s="960">
        <v>148</v>
      </c>
      <c r="O20" s="960"/>
      <c r="P20" s="961"/>
      <c r="Q20" s="535"/>
      <c r="R20" s="944"/>
      <c r="S20" s="917"/>
      <c r="T20" s="917"/>
      <c r="U20" s="917"/>
      <c r="V20" s="945"/>
      <c r="W20" s="944"/>
      <c r="X20" s="917"/>
      <c r="Y20" s="917"/>
      <c r="Z20" s="917"/>
      <c r="AA20" s="945"/>
      <c r="AB20" s="949"/>
      <c r="AC20" s="950"/>
      <c r="AD20" s="950"/>
      <c r="AE20" s="950"/>
      <c r="AF20" s="950"/>
      <c r="AG20" s="951"/>
      <c r="AH20" s="462"/>
    </row>
    <row r="21" spans="1:35" s="463" customFormat="1" ht="14.25" customHeight="1">
      <c r="A21" s="484"/>
      <c r="C21" s="488"/>
      <c r="D21" s="461"/>
      <c r="E21" s="461"/>
      <c r="F21" s="461"/>
      <c r="G21" s="461"/>
      <c r="H21" s="923" t="s">
        <v>22</v>
      </c>
      <c r="I21" s="923"/>
      <c r="J21" s="923"/>
      <c r="K21" s="486"/>
      <c r="L21" s="486"/>
      <c r="M21" s="486"/>
      <c r="N21" s="962">
        <v>200</v>
      </c>
      <c r="O21" s="962"/>
      <c r="P21" s="963"/>
      <c r="Q21" s="538">
        <f>SUM(N20:P21)</f>
        <v>348</v>
      </c>
      <c r="R21" s="944"/>
      <c r="S21" s="917"/>
      <c r="T21" s="917"/>
      <c r="U21" s="917"/>
      <c r="V21" s="945"/>
      <c r="W21" s="944"/>
      <c r="X21" s="917"/>
      <c r="Y21" s="917"/>
      <c r="Z21" s="917"/>
      <c r="AA21" s="945"/>
      <c r="AB21" s="949"/>
      <c r="AC21" s="950"/>
      <c r="AD21" s="950"/>
      <c r="AE21" s="950"/>
      <c r="AF21" s="950"/>
      <c r="AG21" s="951"/>
      <c r="AH21" s="462"/>
    </row>
    <row r="22" spans="1:35" s="463" customFormat="1" ht="15.75" thickBot="1">
      <c r="A22" s="484"/>
      <c r="B22" s="461"/>
      <c r="C22" s="461"/>
      <c r="D22" s="461"/>
      <c r="E22" s="461"/>
      <c r="F22" s="461"/>
      <c r="G22" s="461"/>
      <c r="H22" s="461"/>
      <c r="I22" s="485"/>
      <c r="J22" s="950" t="s">
        <v>130</v>
      </c>
      <c r="K22" s="959"/>
      <c r="L22" s="959"/>
      <c r="M22" s="959"/>
      <c r="N22" s="959"/>
      <c r="O22" s="959"/>
      <c r="P22" s="959"/>
      <c r="Q22" s="489">
        <f>Q19-Q21</f>
        <v>4585.3900000000003</v>
      </c>
      <c r="R22" s="944"/>
      <c r="S22" s="917"/>
      <c r="T22" s="917"/>
      <c r="U22" s="917"/>
      <c r="V22" s="945"/>
      <c r="W22" s="944"/>
      <c r="X22" s="917"/>
      <c r="Y22" s="917"/>
      <c r="Z22" s="917"/>
      <c r="AA22" s="945"/>
      <c r="AB22" s="949"/>
      <c r="AC22" s="950"/>
      <c r="AD22" s="950"/>
      <c r="AE22" s="950"/>
      <c r="AF22" s="950"/>
      <c r="AG22" s="951"/>
      <c r="AH22" s="462"/>
    </row>
    <row r="23" spans="1:35" s="463" customFormat="1" ht="15.75" thickTop="1">
      <c r="A23" s="490"/>
      <c r="B23" s="481"/>
      <c r="C23" s="481"/>
      <c r="D23" s="481"/>
      <c r="E23" s="481"/>
      <c r="F23" s="481"/>
      <c r="G23" s="481"/>
      <c r="H23" s="481"/>
      <c r="I23" s="481"/>
      <c r="J23" s="481"/>
      <c r="K23" s="481"/>
      <c r="L23" s="481"/>
      <c r="M23" s="481"/>
      <c r="N23" s="481"/>
      <c r="O23" s="481"/>
      <c r="P23" s="481"/>
      <c r="Q23" s="487"/>
      <c r="R23" s="944"/>
      <c r="S23" s="917"/>
      <c r="T23" s="917"/>
      <c r="U23" s="917"/>
      <c r="V23" s="945"/>
      <c r="W23" s="944"/>
      <c r="X23" s="917"/>
      <c r="Y23" s="917"/>
      <c r="Z23" s="917"/>
      <c r="AA23" s="945"/>
      <c r="AB23" s="952"/>
      <c r="AC23" s="953"/>
      <c r="AD23" s="953"/>
      <c r="AE23" s="953"/>
      <c r="AF23" s="953"/>
      <c r="AG23" s="954"/>
      <c r="AH23" s="462"/>
    </row>
    <row r="24" spans="1:35" s="463" customFormat="1" ht="16.5" customHeight="1" thickBot="1">
      <c r="A24" s="811" t="s">
        <v>171</v>
      </c>
      <c r="B24" s="812"/>
      <c r="C24" s="812"/>
      <c r="D24" s="812"/>
      <c r="E24" s="812"/>
      <c r="F24" s="812"/>
      <c r="G24" s="812"/>
      <c r="H24" s="812"/>
      <c r="I24" s="812"/>
      <c r="J24" s="812"/>
      <c r="K24" s="812"/>
      <c r="L24" s="812"/>
      <c r="M24" s="812"/>
      <c r="N24" s="812"/>
      <c r="O24" s="812"/>
      <c r="P24" s="812"/>
      <c r="Q24" s="813"/>
      <c r="R24" s="491"/>
      <c r="S24" s="469"/>
      <c r="T24" s="469"/>
      <c r="U24" s="469"/>
      <c r="V24" s="492"/>
      <c r="W24" s="491"/>
      <c r="X24" s="469"/>
      <c r="Y24" s="469"/>
      <c r="Z24" s="469"/>
      <c r="AA24" s="492"/>
      <c r="AB24" s="933">
        <f>+AB16</f>
        <v>4585.3900000000003</v>
      </c>
      <c r="AC24" s="934"/>
      <c r="AD24" s="934"/>
      <c r="AE24" s="934"/>
      <c r="AF24" s="934"/>
      <c r="AG24" s="935"/>
      <c r="AH24" s="462"/>
      <c r="AI24" s="493"/>
    </row>
    <row r="25" spans="1:35" s="463" customFormat="1" ht="13.9" customHeight="1">
      <c r="A25" s="494" t="s">
        <v>131</v>
      </c>
      <c r="B25" s="936" t="s">
        <v>172</v>
      </c>
      <c r="C25" s="936"/>
      <c r="D25" s="936"/>
      <c r="E25" s="936"/>
      <c r="F25" s="936"/>
      <c r="G25" s="936"/>
      <c r="H25" s="936"/>
      <c r="I25" s="936"/>
      <c r="J25" s="936"/>
      <c r="K25" s="936"/>
      <c r="L25" s="936"/>
      <c r="M25" s="936"/>
      <c r="N25" s="936"/>
      <c r="O25" s="936"/>
      <c r="P25" s="936"/>
      <c r="Q25" s="936"/>
      <c r="R25" s="936"/>
      <c r="S25" s="936"/>
      <c r="T25" s="936"/>
      <c r="U25" s="936"/>
      <c r="V25" s="936"/>
      <c r="W25" s="936"/>
      <c r="X25" s="936"/>
      <c r="Y25" s="936"/>
      <c r="Z25" s="936"/>
      <c r="AA25" s="936"/>
      <c r="AB25" s="937"/>
      <c r="AC25" s="937"/>
      <c r="AD25" s="937"/>
      <c r="AE25" s="937"/>
      <c r="AF25" s="937"/>
      <c r="AG25" s="938"/>
      <c r="AH25" s="462"/>
      <c r="AI25" s="493"/>
    </row>
    <row r="26" spans="1:35" s="463" customFormat="1" ht="15.75" customHeight="1">
      <c r="A26" s="495"/>
      <c r="B26" s="461"/>
      <c r="C26" s="461"/>
      <c r="D26" s="461"/>
      <c r="E26" s="465" t="s">
        <v>173</v>
      </c>
      <c r="F26" s="465"/>
      <c r="G26" s="465"/>
      <c r="H26" s="465"/>
      <c r="I26" s="465"/>
      <c r="J26" s="465"/>
      <c r="K26" s="465"/>
      <c r="L26" s="465"/>
      <c r="M26" s="465"/>
      <c r="N26" s="465"/>
      <c r="O26" s="465"/>
      <c r="P26" s="465"/>
      <c r="Q26" s="465"/>
      <c r="R26" s="461"/>
      <c r="S26" s="461"/>
      <c r="T26" s="496"/>
      <c r="U26" s="496"/>
      <c r="V26" s="496"/>
      <c r="W26" s="496"/>
      <c r="X26" s="496"/>
      <c r="Y26" s="460"/>
      <c r="Z26" s="496"/>
      <c r="AA26" s="496"/>
      <c r="AB26" s="497"/>
      <c r="AC26" s="498"/>
      <c r="AD26" s="498"/>
      <c r="AE26" s="498"/>
      <c r="AF26" s="498"/>
      <c r="AG26" s="499"/>
      <c r="AH26" s="462"/>
      <c r="AI26" s="493"/>
    </row>
    <row r="27" spans="1:35" s="463" customFormat="1" ht="15.75" customHeight="1">
      <c r="A27" s="495"/>
      <c r="B27" s="939" t="s">
        <v>1136</v>
      </c>
      <c r="C27" s="939"/>
      <c r="D27" s="939"/>
      <c r="E27" s="939"/>
      <c r="F27" s="939"/>
      <c r="G27" s="939"/>
      <c r="H27" s="939"/>
      <c r="I27" s="939"/>
      <c r="J27" s="939"/>
      <c r="K27" s="939"/>
      <c r="L27" s="939"/>
      <c r="M27" s="939"/>
      <c r="N27" s="939"/>
      <c r="O27" s="939"/>
      <c r="P27" s="939"/>
      <c r="Q27" s="939"/>
      <c r="R27" s="939"/>
      <c r="S27" s="939"/>
      <c r="T27" s="939"/>
      <c r="U27" s="939"/>
      <c r="V27" s="939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499"/>
      <c r="AH27" s="462"/>
      <c r="AI27" s="493"/>
    </row>
    <row r="28" spans="1:35" s="463" customFormat="1" ht="15">
      <c r="A28" s="495"/>
      <c r="B28" s="917" t="s">
        <v>1083</v>
      </c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7"/>
      <c r="Q28" s="917"/>
      <c r="R28" s="917"/>
      <c r="S28" s="917"/>
      <c r="T28" s="917"/>
      <c r="U28" s="917"/>
      <c r="V28" s="917"/>
      <c r="W28" s="917"/>
      <c r="X28" s="917"/>
      <c r="Y28" s="917"/>
      <c r="Z28" s="917"/>
      <c r="AA28" s="917"/>
      <c r="AB28" s="917"/>
      <c r="AC28" s="917"/>
      <c r="AD28" s="917"/>
      <c r="AE28" s="917"/>
      <c r="AF28" s="917"/>
      <c r="AG28" s="499"/>
      <c r="AH28" s="462"/>
      <c r="AI28" s="493"/>
    </row>
    <row r="29" spans="1:35" s="463" customFormat="1" ht="15">
      <c r="A29" s="495"/>
      <c r="B29" s="461"/>
      <c r="C29" s="461"/>
      <c r="D29" s="461"/>
      <c r="E29" s="460"/>
      <c r="F29" s="460"/>
      <c r="G29" s="460"/>
      <c r="H29" s="460"/>
      <c r="I29" s="460"/>
      <c r="J29" s="460"/>
      <c r="K29" s="460"/>
      <c r="L29" s="917"/>
      <c r="M29" s="917"/>
      <c r="N29" s="917"/>
      <c r="O29" s="917"/>
      <c r="P29" s="917"/>
      <c r="Q29" s="917"/>
      <c r="R29" s="917"/>
      <c r="S29" s="917"/>
      <c r="T29" s="917"/>
      <c r="U29" s="917"/>
      <c r="V29" s="917"/>
      <c r="W29" s="917"/>
      <c r="X29" s="917"/>
      <c r="Y29" s="465"/>
      <c r="Z29" s="496"/>
      <c r="AA29" s="496"/>
      <c r="AB29" s="497"/>
      <c r="AC29" s="498"/>
      <c r="AD29" s="498"/>
      <c r="AE29" s="498"/>
      <c r="AF29" s="498"/>
      <c r="AG29" s="499"/>
      <c r="AH29" s="462"/>
      <c r="AI29" s="493"/>
    </row>
    <row r="30" spans="1:35" s="463" customFormat="1" ht="15.75" thickBot="1">
      <c r="A30" s="500"/>
      <c r="B30" s="460"/>
      <c r="C30" s="460"/>
      <c r="D30" s="460"/>
      <c r="E30" s="460"/>
      <c r="F30" s="460"/>
      <c r="G30" s="460"/>
      <c r="H30" s="460"/>
      <c r="I30" s="460"/>
      <c r="J30" s="460"/>
      <c r="K30" s="460"/>
      <c r="L30" s="917"/>
      <c r="M30" s="917"/>
      <c r="N30" s="917"/>
      <c r="O30" s="917"/>
      <c r="P30" s="917"/>
      <c r="Q30" s="917"/>
      <c r="R30" s="917"/>
      <c r="S30" s="917"/>
      <c r="T30" s="917"/>
      <c r="U30" s="917"/>
      <c r="V30" s="917"/>
      <c r="W30" s="917"/>
      <c r="X30" s="917"/>
      <c r="Y30" s="460"/>
      <c r="Z30" s="460"/>
      <c r="AA30" s="460"/>
      <c r="AB30" s="460"/>
      <c r="AC30" s="460"/>
      <c r="AD30" s="460"/>
      <c r="AE30" s="460"/>
      <c r="AF30" s="460"/>
      <c r="AG30" s="501"/>
      <c r="AH30" s="462"/>
      <c r="AI30" s="493"/>
    </row>
    <row r="31" spans="1:35" s="463" customFormat="1" ht="15.75" customHeight="1">
      <c r="A31" s="502" t="s">
        <v>132</v>
      </c>
      <c r="B31" s="503" t="s">
        <v>175</v>
      </c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5"/>
      <c r="AH31" s="462"/>
      <c r="AI31" s="493"/>
    </row>
    <row r="32" spans="1:35" s="463" customFormat="1" ht="15.75" customHeight="1">
      <c r="A32" s="918" t="s">
        <v>176</v>
      </c>
      <c r="B32" s="919"/>
      <c r="C32" s="919"/>
      <c r="D32" s="919"/>
      <c r="E32" s="919"/>
      <c r="F32" s="919"/>
      <c r="G32" s="919"/>
      <c r="H32" s="919"/>
      <c r="I32" s="919"/>
      <c r="J32" s="919"/>
      <c r="K32" s="919"/>
      <c r="L32" s="919"/>
      <c r="M32" s="919"/>
      <c r="N32" s="919"/>
      <c r="O32" s="919"/>
      <c r="P32" s="919"/>
      <c r="Q32" s="919"/>
      <c r="R32" s="919"/>
      <c r="S32" s="919" t="s">
        <v>177</v>
      </c>
      <c r="T32" s="919"/>
      <c r="U32" s="919"/>
      <c r="V32" s="919"/>
      <c r="W32" s="919"/>
      <c r="X32" s="920" t="s">
        <v>178</v>
      </c>
      <c r="Y32" s="920"/>
      <c r="Z32" s="920"/>
      <c r="AA32" s="920"/>
      <c r="AB32" s="920"/>
      <c r="AC32" s="921" t="s">
        <v>179</v>
      </c>
      <c r="AD32" s="921"/>
      <c r="AE32" s="921"/>
      <c r="AF32" s="921"/>
      <c r="AG32" s="922"/>
      <c r="AH32" s="462"/>
      <c r="AI32" s="493"/>
    </row>
    <row r="33" spans="1:35" s="463" customFormat="1" ht="15.75" customHeight="1">
      <c r="A33" s="490"/>
      <c r="B33" s="481"/>
      <c r="C33" s="481"/>
      <c r="D33" s="481"/>
      <c r="E33" s="465"/>
      <c r="F33" s="465"/>
      <c r="G33" s="465"/>
      <c r="H33" s="923"/>
      <c r="I33" s="923"/>
      <c r="J33" s="923"/>
      <c r="K33" s="923"/>
      <c r="L33" s="923"/>
      <c r="M33" s="923"/>
      <c r="N33" s="923"/>
      <c r="O33" s="923"/>
      <c r="P33" s="923"/>
      <c r="Q33" s="465"/>
      <c r="R33" s="506"/>
      <c r="S33" s="924"/>
      <c r="T33" s="925"/>
      <c r="U33" s="925"/>
      <c r="V33" s="925"/>
      <c r="W33" s="926"/>
      <c r="X33" s="927"/>
      <c r="Y33" s="928"/>
      <c r="Z33" s="928"/>
      <c r="AA33" s="928"/>
      <c r="AB33" s="929"/>
      <c r="AC33" s="496"/>
      <c r="AD33" s="496"/>
      <c r="AE33" s="496"/>
      <c r="AF33" s="496"/>
      <c r="AG33" s="507"/>
      <c r="AH33" s="462"/>
      <c r="AI33" s="493"/>
    </row>
    <row r="34" spans="1:35" s="463" customFormat="1" ht="15.75" customHeight="1">
      <c r="A34" s="490"/>
      <c r="B34" s="481"/>
      <c r="C34" s="481"/>
      <c r="D34" s="481"/>
      <c r="E34" s="465"/>
      <c r="F34" s="465"/>
      <c r="G34" s="465"/>
      <c r="H34" s="510"/>
      <c r="I34" s="510"/>
      <c r="J34" s="510"/>
      <c r="K34" s="510"/>
      <c r="L34" s="510"/>
      <c r="M34" s="510"/>
      <c r="N34" s="510"/>
      <c r="O34" s="510"/>
      <c r="P34" s="510"/>
      <c r="Q34" s="465"/>
      <c r="R34" s="506"/>
      <c r="S34" s="539"/>
      <c r="T34" s="509"/>
      <c r="U34" s="509"/>
      <c r="V34" s="509"/>
      <c r="W34" s="540"/>
      <c r="X34" s="541"/>
      <c r="Y34" s="461"/>
      <c r="Z34" s="461"/>
      <c r="AA34" s="461"/>
      <c r="AB34" s="542"/>
      <c r="AC34" s="496"/>
      <c r="AD34" s="496"/>
      <c r="AE34" s="496"/>
      <c r="AF34" s="496"/>
      <c r="AG34" s="507"/>
      <c r="AH34" s="462"/>
      <c r="AI34" s="493"/>
    </row>
    <row r="35" spans="1:35" s="463" customFormat="1" ht="15.75" customHeight="1">
      <c r="A35" s="490"/>
      <c r="B35" s="481"/>
      <c r="C35" s="481"/>
      <c r="D35" s="481"/>
      <c r="E35" s="465"/>
      <c r="F35" s="465"/>
      <c r="G35" s="465"/>
      <c r="H35" s="510"/>
      <c r="I35" s="510"/>
      <c r="J35" s="510"/>
      <c r="K35" s="510"/>
      <c r="L35" s="510"/>
      <c r="M35" s="510"/>
      <c r="N35" s="510"/>
      <c r="O35" s="510"/>
      <c r="P35" s="510"/>
      <c r="Q35" s="465"/>
      <c r="R35" s="506"/>
      <c r="S35" s="539"/>
      <c r="T35" s="509"/>
      <c r="U35" s="509"/>
      <c r="V35" s="509"/>
      <c r="W35" s="540"/>
      <c r="X35" s="541"/>
      <c r="Y35" s="461"/>
      <c r="Z35" s="461"/>
      <c r="AA35" s="461"/>
      <c r="AB35" s="542"/>
      <c r="AC35" s="496"/>
      <c r="AD35" s="496"/>
      <c r="AE35" s="496"/>
      <c r="AF35" s="496"/>
      <c r="AG35" s="507"/>
      <c r="AH35" s="462"/>
      <c r="AI35" s="493"/>
    </row>
    <row r="36" spans="1:35" s="463" customFormat="1" ht="15.75" customHeight="1">
      <c r="A36" s="490"/>
      <c r="B36" s="481"/>
      <c r="C36" s="481"/>
      <c r="D36" s="481"/>
      <c r="E36" s="465"/>
      <c r="F36" s="465"/>
      <c r="G36" s="465"/>
      <c r="H36" s="510"/>
      <c r="I36" s="510"/>
      <c r="J36" s="510"/>
      <c r="K36" s="510"/>
      <c r="L36" s="510"/>
      <c r="M36" s="510"/>
      <c r="N36" s="510"/>
      <c r="O36" s="510"/>
      <c r="P36" s="510"/>
      <c r="Q36" s="465"/>
      <c r="R36" s="506"/>
      <c r="S36" s="539"/>
      <c r="T36" s="509"/>
      <c r="U36" s="509"/>
      <c r="V36" s="509"/>
      <c r="W36" s="540"/>
      <c r="X36" s="541"/>
      <c r="Y36" s="461"/>
      <c r="Z36" s="461"/>
      <c r="AA36" s="461"/>
      <c r="AB36" s="542"/>
      <c r="AC36" s="496"/>
      <c r="AD36" s="496"/>
      <c r="AE36" s="496"/>
      <c r="AF36" s="496"/>
      <c r="AG36" s="507"/>
      <c r="AH36" s="462"/>
      <c r="AI36" s="493"/>
    </row>
    <row r="37" spans="1:35" s="463" customFormat="1" ht="15.75" customHeight="1">
      <c r="A37" s="490"/>
      <c r="B37" s="481"/>
      <c r="C37" s="481"/>
      <c r="D37" s="481"/>
      <c r="E37" s="465"/>
      <c r="F37" s="465"/>
      <c r="G37" s="465"/>
      <c r="H37" s="510"/>
      <c r="I37" s="510"/>
      <c r="J37" s="510"/>
      <c r="K37" s="510"/>
      <c r="L37" s="510"/>
      <c r="M37" s="510"/>
      <c r="N37" s="510"/>
      <c r="O37" s="510"/>
      <c r="P37" s="510"/>
      <c r="Q37" s="465"/>
      <c r="R37" s="506"/>
      <c r="S37" s="539"/>
      <c r="T37" s="509"/>
      <c r="U37" s="509"/>
      <c r="V37" s="509"/>
      <c r="W37" s="540"/>
      <c r="X37" s="541"/>
      <c r="Y37" s="461"/>
      <c r="Z37" s="461"/>
      <c r="AA37" s="461"/>
      <c r="AB37" s="542"/>
      <c r="AC37" s="496"/>
      <c r="AD37" s="496"/>
      <c r="AE37" s="496"/>
      <c r="AF37" s="496"/>
      <c r="AG37" s="507"/>
      <c r="AH37" s="462"/>
      <c r="AI37" s="493"/>
    </row>
    <row r="38" spans="1:35" s="463" customFormat="1" ht="15.75" customHeight="1">
      <c r="A38" s="490"/>
      <c r="B38" s="481"/>
      <c r="C38" s="481"/>
      <c r="D38" s="481"/>
      <c r="E38" s="465"/>
      <c r="F38" s="465"/>
      <c r="G38" s="465"/>
      <c r="H38" s="510"/>
      <c r="I38" s="510"/>
      <c r="J38" s="510"/>
      <c r="K38" s="510"/>
      <c r="L38" s="510"/>
      <c r="M38" s="510"/>
      <c r="N38" s="510"/>
      <c r="O38" s="510"/>
      <c r="P38" s="510"/>
      <c r="Q38" s="465"/>
      <c r="R38" s="506"/>
      <c r="S38" s="539"/>
      <c r="T38" s="509"/>
      <c r="U38" s="509"/>
      <c r="V38" s="509"/>
      <c r="W38" s="540"/>
      <c r="X38" s="541"/>
      <c r="Y38" s="461"/>
      <c r="Z38" s="461"/>
      <c r="AA38" s="461"/>
      <c r="AB38" s="542"/>
      <c r="AC38" s="496"/>
      <c r="AD38" s="496"/>
      <c r="AE38" s="496"/>
      <c r="AF38" s="496"/>
      <c r="AG38" s="507"/>
      <c r="AH38" s="462"/>
      <c r="AI38" s="493"/>
    </row>
    <row r="39" spans="1:35" s="463" customFormat="1" ht="15.75" customHeight="1">
      <c r="A39" s="508"/>
      <c r="B39" s="509"/>
      <c r="C39" s="509"/>
      <c r="D39" s="509"/>
      <c r="E39" s="509"/>
      <c r="F39" s="509"/>
      <c r="G39" s="465"/>
      <c r="H39" s="510"/>
      <c r="I39" s="510"/>
      <c r="J39" s="510"/>
      <c r="K39" s="510"/>
      <c r="L39" s="510"/>
      <c r="N39" s="465"/>
      <c r="O39" s="465"/>
      <c r="P39" s="465"/>
      <c r="Q39" s="465"/>
      <c r="R39" s="506"/>
      <c r="S39" s="912"/>
      <c r="T39" s="913"/>
      <c r="U39" s="913"/>
      <c r="V39" s="913"/>
      <c r="W39" s="914"/>
      <c r="X39" s="930"/>
      <c r="Y39" s="931"/>
      <c r="Z39" s="931"/>
      <c r="AA39" s="931"/>
      <c r="AB39" s="932"/>
      <c r="AC39" s="899"/>
      <c r="AD39" s="900"/>
      <c r="AE39" s="900"/>
      <c r="AF39" s="900"/>
      <c r="AG39" s="916"/>
      <c r="AH39" s="462"/>
      <c r="AI39" s="493"/>
    </row>
    <row r="40" spans="1:35" s="463" customFormat="1" ht="15.75" customHeight="1">
      <c r="A40" s="508"/>
      <c r="B40" s="509"/>
      <c r="C40" s="509"/>
      <c r="D40" s="509"/>
      <c r="E40" s="509"/>
      <c r="F40" s="509"/>
      <c r="G40" s="465"/>
      <c r="H40" s="510"/>
      <c r="I40" s="510"/>
      <c r="J40" s="510"/>
      <c r="K40" s="510"/>
      <c r="L40" s="510"/>
      <c r="M40" s="510"/>
      <c r="N40" s="510"/>
      <c r="O40" s="510"/>
      <c r="P40" s="465"/>
      <c r="Q40" s="465"/>
      <c r="R40" s="506"/>
      <c r="S40" s="912"/>
      <c r="T40" s="913"/>
      <c r="U40" s="913"/>
      <c r="V40" s="913"/>
      <c r="W40" s="914"/>
      <c r="X40" s="465"/>
      <c r="Y40" s="465"/>
      <c r="Z40" s="465"/>
      <c r="AA40" s="465"/>
      <c r="AB40" s="506"/>
      <c r="AC40" s="915"/>
      <c r="AD40" s="900"/>
      <c r="AE40" s="900"/>
      <c r="AF40" s="900"/>
      <c r="AG40" s="916"/>
      <c r="AH40" s="462"/>
      <c r="AI40" s="493"/>
    </row>
    <row r="41" spans="1:35" s="463" customFormat="1" ht="15.75" customHeight="1">
      <c r="A41" s="508"/>
      <c r="B41" s="509"/>
      <c r="C41" s="509"/>
      <c r="D41" s="509"/>
      <c r="E41" s="509"/>
      <c r="F41" s="509"/>
      <c r="G41" s="465"/>
      <c r="H41" s="510"/>
      <c r="I41" s="510"/>
      <c r="J41" s="510"/>
      <c r="K41" s="510"/>
      <c r="L41" s="510"/>
      <c r="M41" s="510"/>
      <c r="N41" s="510"/>
      <c r="O41" s="510"/>
      <c r="P41" s="465"/>
      <c r="Q41" s="465"/>
      <c r="R41" s="506"/>
      <c r="S41" s="912"/>
      <c r="T41" s="913"/>
      <c r="U41" s="913"/>
      <c r="V41" s="913"/>
      <c r="W41" s="914"/>
      <c r="X41" s="465"/>
      <c r="Y41" s="465"/>
      <c r="Z41" s="465"/>
      <c r="AA41" s="465"/>
      <c r="AB41" s="506"/>
      <c r="AC41" s="915"/>
      <c r="AD41" s="900"/>
      <c r="AE41" s="900"/>
      <c r="AF41" s="900"/>
      <c r="AG41" s="916"/>
      <c r="AH41" s="462"/>
      <c r="AI41" s="493"/>
    </row>
    <row r="42" spans="1:35" s="463" customFormat="1" ht="15.75" customHeight="1">
      <c r="A42" s="508"/>
      <c r="B42" s="509"/>
      <c r="C42" s="509"/>
      <c r="D42" s="509"/>
      <c r="E42" s="509"/>
      <c r="F42" s="509"/>
      <c r="G42" s="465"/>
      <c r="H42" s="510"/>
      <c r="I42" s="510"/>
      <c r="J42" s="510"/>
      <c r="K42" s="510"/>
      <c r="L42" s="510"/>
      <c r="M42" s="510"/>
      <c r="N42" s="510"/>
      <c r="O42" s="510"/>
      <c r="P42" s="465"/>
      <c r="Q42" s="465"/>
      <c r="R42" s="506"/>
      <c r="S42" s="511"/>
      <c r="T42" s="512"/>
      <c r="U42" s="512"/>
      <c r="V42" s="512"/>
      <c r="W42" s="513"/>
      <c r="X42" s="465"/>
      <c r="Y42" s="465"/>
      <c r="Z42" s="465"/>
      <c r="AA42" s="465"/>
      <c r="AB42" s="506"/>
      <c r="AC42" s="509"/>
      <c r="AD42" s="509"/>
      <c r="AE42" s="509"/>
      <c r="AF42" s="509"/>
      <c r="AG42" s="514"/>
      <c r="AH42" s="462"/>
      <c r="AI42" s="493"/>
    </row>
    <row r="43" spans="1:35" s="463" customFormat="1" ht="15.75" customHeight="1">
      <c r="A43" s="508"/>
      <c r="B43" s="509"/>
      <c r="C43" s="509"/>
      <c r="D43" s="509"/>
      <c r="E43" s="509"/>
      <c r="F43" s="509"/>
      <c r="G43" s="465"/>
      <c r="H43" s="510"/>
      <c r="I43" s="510"/>
      <c r="J43" s="510"/>
      <c r="K43" s="510"/>
      <c r="L43" s="510"/>
      <c r="M43" s="510"/>
      <c r="N43" s="510"/>
      <c r="O43" s="510"/>
      <c r="P43" s="465"/>
      <c r="Q43" s="465"/>
      <c r="R43" s="506"/>
      <c r="S43" s="896"/>
      <c r="T43" s="897"/>
      <c r="U43" s="897"/>
      <c r="V43" s="897"/>
      <c r="W43" s="898"/>
      <c r="X43" s="465"/>
      <c r="Y43" s="465"/>
      <c r="Z43" s="465"/>
      <c r="AA43" s="465"/>
      <c r="AB43" s="506"/>
      <c r="AC43" s="465"/>
      <c r="AD43" s="465"/>
      <c r="AE43" s="465"/>
      <c r="AF43" s="465"/>
      <c r="AG43" s="468"/>
      <c r="AH43" s="462"/>
    </row>
    <row r="44" spans="1:35" s="463" customFormat="1" ht="15.75" customHeight="1">
      <c r="A44" s="508"/>
      <c r="B44" s="509"/>
      <c r="C44" s="509"/>
      <c r="D44" s="509"/>
      <c r="E44" s="509"/>
      <c r="F44" s="509"/>
      <c r="G44" s="465"/>
      <c r="H44" s="510"/>
      <c r="I44" s="510"/>
      <c r="J44" s="510"/>
      <c r="K44" s="510"/>
      <c r="L44" s="510"/>
      <c r="M44" s="510"/>
      <c r="N44" s="510"/>
      <c r="O44" s="510"/>
      <c r="P44" s="465"/>
      <c r="Q44" s="465"/>
      <c r="R44" s="506"/>
      <c r="S44" s="896"/>
      <c r="T44" s="897"/>
      <c r="U44" s="897"/>
      <c r="V44" s="897"/>
      <c r="W44" s="898"/>
      <c r="X44" s="465"/>
      <c r="Y44" s="465"/>
      <c r="Z44" s="465"/>
      <c r="AA44" s="465"/>
      <c r="AB44" s="506"/>
      <c r="AC44" s="465"/>
      <c r="AD44" s="465"/>
      <c r="AE44" s="465"/>
      <c r="AF44" s="465"/>
      <c r="AG44" s="468"/>
      <c r="AH44" s="462"/>
    </row>
    <row r="45" spans="1:35" s="463" customFormat="1" ht="15.75" customHeight="1" thickBot="1">
      <c r="A45" s="508"/>
      <c r="B45" s="509"/>
      <c r="C45" s="509"/>
      <c r="D45" s="509"/>
      <c r="E45" s="509"/>
      <c r="F45" s="509"/>
      <c r="G45" s="465"/>
      <c r="H45" s="510"/>
      <c r="I45" s="510"/>
      <c r="J45" s="510"/>
      <c r="K45" s="510"/>
      <c r="L45" s="510"/>
      <c r="M45" s="510"/>
      <c r="N45" s="510"/>
      <c r="O45" s="510"/>
      <c r="P45" s="465"/>
      <c r="Q45" s="465"/>
      <c r="R45" s="506"/>
      <c r="S45" s="899"/>
      <c r="T45" s="900"/>
      <c r="U45" s="900"/>
      <c r="V45" s="900"/>
      <c r="W45" s="901"/>
      <c r="X45" s="471"/>
      <c r="Y45" s="471"/>
      <c r="Z45" s="471"/>
      <c r="AA45" s="471"/>
      <c r="AB45" s="515"/>
      <c r="AC45" s="471"/>
      <c r="AD45" s="471"/>
      <c r="AE45" s="471"/>
      <c r="AF45" s="471"/>
      <c r="AG45" s="473"/>
      <c r="AH45" s="462"/>
    </row>
    <row r="46" spans="1:35" s="463" customFormat="1" ht="15.75" customHeight="1">
      <c r="A46" s="516" t="s">
        <v>145</v>
      </c>
      <c r="B46" s="517" t="s">
        <v>133</v>
      </c>
      <c r="C46" s="517"/>
      <c r="D46" s="517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9"/>
      <c r="S46" s="516" t="s">
        <v>1137</v>
      </c>
      <c r="T46" s="902" t="s">
        <v>181</v>
      </c>
      <c r="U46" s="902"/>
      <c r="V46" s="902"/>
      <c r="W46" s="902"/>
      <c r="X46" s="902"/>
      <c r="Y46" s="902"/>
      <c r="Z46" s="902"/>
      <c r="AA46" s="902"/>
      <c r="AB46" s="902"/>
      <c r="AC46" s="902"/>
      <c r="AD46" s="902"/>
      <c r="AE46" s="520"/>
      <c r="AF46" s="520"/>
      <c r="AG46" s="521"/>
      <c r="AH46" s="462"/>
    </row>
    <row r="47" spans="1:35" s="463" customFormat="1" ht="11.25" customHeight="1">
      <c r="A47" s="500"/>
      <c r="B47" s="522"/>
      <c r="C47" s="460" t="s">
        <v>182</v>
      </c>
      <c r="D47" s="460"/>
      <c r="E47" s="460"/>
      <c r="F47" s="460"/>
      <c r="G47" s="460"/>
      <c r="H47" s="460"/>
      <c r="I47" s="460"/>
      <c r="J47" s="460"/>
      <c r="K47" s="460"/>
      <c r="L47" s="460"/>
      <c r="M47" s="460"/>
      <c r="N47" s="460"/>
      <c r="O47" s="460"/>
      <c r="P47" s="460"/>
      <c r="Q47" s="460"/>
      <c r="R47" s="501"/>
      <c r="S47" s="903" t="str">
        <f>UPPER(CHOOSE(LEFT(TEXT(AB24,"000000000.00"))+1,,"One","Two","Three","Four","Five","Six","Seven","Eight","Nine")&amp;IF(--LEFT(TEXT(AB24,"000000000.00"))=0,,IF(AND(--MID(TEXT(AB24,"000000000.00"),2,1)=0,--MID(TEXT(AB24,"000000000.00"),3,1)=0)," Hundred"," Hundred "))&amp;CHOOSE(MID(TEXT(AB24,"000000000.00"),2,1)+1,,,"Twenty ","Thirty ","Forty ","Fifty ","Sixty ","Seventy ","Eighty ","Ninety ")&amp;IF(--MID(TEXT(AB24,"000000000.00"),2,1)&lt;&gt;1,CHOOSE(MID(TEXT(AB24,"000000000.00"),3,1)+1,,"One","Two","Three","Four","Five","Six","Seven","Eight","Nine"),CHOOSE(MID(TEXT(AB24,"000000000.00"),3,1)+1,"Ten","Eleven","Twelve","Thirteen","Fourteen","Fifteen","Sixteen","Seventeen","Eighteen","Nineteen"))&amp;IF((--LEFT(TEXT(AB24,"000000000.00"))+MID(TEXT(AB24,"000000000.00"),2,1)+MID(TEXT(AB24,"000000000.00"),3,1))=0,,IF(AND((--MID(TEXT(AB24,"000000000.00"),4,1)+MID(TEXT(AB24,"000000000.00"),5,1)+MID(TEXT(AB24,"000000000.00"),6,1)+MID(TEXT(AB24,"000000000.00"),7,1))=0,(--MID(TEXT(AB24,"000000000.00"),8,1)+RIGHT(TEXT(AB24,"000000000.00")))&gt;0)," Million"," Million "))&amp;CHOOSE(MID(TEXT(AB24,"000000000.00"),4,1)+1,,"One","Two","Three","Four","Five","Six","Seven","Eight","Nine")&amp;IF(--MID(TEXT(AB24,"000000000.00"),4,1)=0,,IF(AND(--MID(TEXT(AB24,"000000000.00"),5,1)=0,--MID(TEXT(AB24,"000000000.00"),6,1)=0)," Hundred"," Hundred "))&amp;CHOOSE(MID(TEXT(AB24,"000000000.00"),5,1)+1,,," Twenty"," Thirty"," Forty"," Fifty"," Sixty"," Seventy"," Eighty"," Ninety")&amp;IF(--MID(TEXT(AB24,"000000000.00"),5,1)&lt;&gt;1,CHOOSE(MID(TEXT(AB24,"000000000.00"),6,1)+1,," One"," Two"," Three"," Four"," Five"," Six"," Seven"," Eight"," Nine"),CHOOSE(MID(TEXT(AB24,"000000000.00"),6,1)+1," Ten"," Eleven"," Twelve"," Thirteen"," Fourteen"," Fifteen"," Sixteen"," Seventeen"," Eighteen"," Nineteen"))&amp;IF((--MID(TEXT(AB24,"000000000.00"),4,1)+MID(TEXT(AB24,"000000000.00"),5,1)+MID(TEXT(AB24,"000000000.00"),6,1))=0,,IF(OR((--MID(TEXT(AB24,"000000000.00"),7,1)+MID(TEXT(AB24,"000000000.00"),8,1)+MID(TEXT(AB24,"000000000.00"),9,1))=0,--MID(TEXT(AB24,"000000000.00"),7,1)&lt;&gt;0)," Thousand "," Thousand "))&amp;CHOOSE(MID(TEXT(AB24,"000000000.00"),7,1)+1,,"One","Two","Three","Four","Five","Six","Seven","Eight","Nine")&amp;IF(--MID(TEXT(AB24,"000000000.00"),7,1)=0,,IF(AND(--MID(TEXT(AB24,"000000000.00"),8,1)=0,--MID(TEXT(AB24,"000000000.00"),9,1)=0)," Hundred "," Hundred "))&amp;CHOOSE(MID(TEXT(AB24,"000000000.00"),8,1)+1,,,"Twenty ","Thirty ","Forty ","Fifty ","Sixty ","Seventy ","Eighty ","Ninety ")&amp;IF(--MID(TEXT(AB24,"000000000.00"),8,1)&lt;&gt;1,CHOOSE(MID(TEXT(AB24,"000000000.00"),9,1)+1,,"One","Two","Three","Four","Five","Six","Seven","Eight","Nine"),CHOOSE(MID(TEXT(AB24,"000000000.00"),9,1)+1,"Ten","Eleven","Twelve","Thirteen","Fourteen","Fifteen","Sixteen","Seventeen","Eighteen","Nineteen"))&amp;" Pesos &amp; "&amp;RIGHT(TEXT(AB24,"000000000.00"),2)&amp;"/100 only")</f>
        <v xml:space="preserve"> FOUR THOUSAND FIVE HUNDRED EIGHTY FIVE PESOS &amp; 39/100 ONLY</v>
      </c>
      <c r="T47" s="904"/>
      <c r="U47" s="904"/>
      <c r="V47" s="904"/>
      <c r="W47" s="904"/>
      <c r="X47" s="904"/>
      <c r="Y47" s="904"/>
      <c r="Z47" s="904"/>
      <c r="AA47" s="904"/>
      <c r="AB47" s="904"/>
      <c r="AC47" s="904"/>
      <c r="AD47" s="904"/>
      <c r="AE47" s="904"/>
      <c r="AF47" s="904"/>
      <c r="AG47" s="905"/>
      <c r="AH47" s="462"/>
    </row>
    <row r="48" spans="1:35" s="463" customFormat="1" ht="4.5" customHeight="1">
      <c r="A48" s="808"/>
      <c r="B48" s="809"/>
      <c r="C48" s="809"/>
      <c r="D48" s="809"/>
      <c r="E48" s="809"/>
      <c r="F48" s="809"/>
      <c r="G48" s="809"/>
      <c r="H48" s="460"/>
      <c r="I48" s="460"/>
      <c r="J48" s="460"/>
      <c r="K48" s="460"/>
      <c r="L48" s="460"/>
      <c r="M48" s="460"/>
      <c r="N48" s="460"/>
      <c r="O48" s="460"/>
      <c r="P48" s="460"/>
      <c r="Q48" s="460"/>
      <c r="R48" s="501"/>
      <c r="S48" s="906"/>
      <c r="T48" s="907"/>
      <c r="U48" s="907"/>
      <c r="V48" s="907"/>
      <c r="W48" s="907"/>
      <c r="X48" s="907"/>
      <c r="Y48" s="907"/>
      <c r="Z48" s="907"/>
      <c r="AA48" s="907"/>
      <c r="AB48" s="907"/>
      <c r="AC48" s="907"/>
      <c r="AD48" s="907"/>
      <c r="AE48" s="907"/>
      <c r="AF48" s="907"/>
      <c r="AG48" s="908"/>
      <c r="AH48" s="462"/>
    </row>
    <row r="49" spans="1:34" s="463" customFormat="1" ht="11.25" customHeight="1">
      <c r="A49" s="500"/>
      <c r="B49" s="466"/>
      <c r="C49" s="460" t="s">
        <v>183</v>
      </c>
      <c r="D49" s="460"/>
      <c r="E49" s="460"/>
      <c r="F49" s="460"/>
      <c r="G49" s="460"/>
      <c r="H49" s="460"/>
      <c r="I49" s="460"/>
      <c r="J49" s="460"/>
      <c r="K49" s="460"/>
      <c r="L49" s="460"/>
      <c r="M49" s="460"/>
      <c r="N49" s="460"/>
      <c r="O49" s="460"/>
      <c r="P49" s="460"/>
      <c r="Q49" s="460"/>
      <c r="R49" s="501"/>
      <c r="S49" s="906"/>
      <c r="T49" s="907"/>
      <c r="U49" s="907"/>
      <c r="V49" s="907"/>
      <c r="W49" s="907"/>
      <c r="X49" s="907"/>
      <c r="Y49" s="907"/>
      <c r="Z49" s="907"/>
      <c r="AA49" s="907"/>
      <c r="AB49" s="907"/>
      <c r="AC49" s="907"/>
      <c r="AD49" s="907"/>
      <c r="AE49" s="907"/>
      <c r="AF49" s="907"/>
      <c r="AG49" s="908"/>
      <c r="AH49" s="462"/>
    </row>
    <row r="50" spans="1:34" s="463" customFormat="1" ht="7.5" customHeight="1">
      <c r="A50" s="808"/>
      <c r="B50" s="809"/>
      <c r="C50" s="809"/>
      <c r="D50" s="809"/>
      <c r="E50" s="809"/>
      <c r="F50" s="809"/>
      <c r="G50" s="809"/>
      <c r="H50" s="809"/>
      <c r="I50" s="809"/>
      <c r="J50" s="809"/>
      <c r="K50" s="809"/>
      <c r="L50" s="809"/>
      <c r="M50" s="809"/>
      <c r="N50" s="809"/>
      <c r="O50" s="809"/>
      <c r="P50" s="809"/>
      <c r="Q50" s="809"/>
      <c r="R50" s="810"/>
      <c r="S50" s="906"/>
      <c r="T50" s="907"/>
      <c r="U50" s="907"/>
      <c r="V50" s="907"/>
      <c r="W50" s="907"/>
      <c r="X50" s="907"/>
      <c r="Y50" s="907"/>
      <c r="Z50" s="907"/>
      <c r="AA50" s="907"/>
      <c r="AB50" s="907"/>
      <c r="AC50" s="907"/>
      <c r="AD50" s="907"/>
      <c r="AE50" s="907"/>
      <c r="AF50" s="907"/>
      <c r="AG50" s="908"/>
      <c r="AH50" s="462"/>
    </row>
    <row r="51" spans="1:34" s="463" customFormat="1" ht="11.25" customHeight="1">
      <c r="A51" s="500"/>
      <c r="B51" s="466"/>
      <c r="C51" s="460" t="s">
        <v>184</v>
      </c>
      <c r="D51" s="460" t="s">
        <v>184</v>
      </c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501"/>
      <c r="S51" s="906"/>
      <c r="T51" s="907"/>
      <c r="U51" s="907"/>
      <c r="V51" s="907"/>
      <c r="W51" s="907"/>
      <c r="X51" s="907"/>
      <c r="Y51" s="907"/>
      <c r="Z51" s="907"/>
      <c r="AA51" s="907"/>
      <c r="AB51" s="907"/>
      <c r="AC51" s="907"/>
      <c r="AD51" s="907"/>
      <c r="AE51" s="907"/>
      <c r="AF51" s="907"/>
      <c r="AG51" s="908"/>
      <c r="AH51" s="462"/>
    </row>
    <row r="52" spans="1:34" s="463" customFormat="1" ht="11.25" customHeight="1">
      <c r="A52" s="500"/>
      <c r="B52" s="460"/>
      <c r="C52" s="523" t="s">
        <v>185</v>
      </c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501"/>
      <c r="S52" s="906"/>
      <c r="T52" s="907"/>
      <c r="U52" s="907"/>
      <c r="V52" s="907"/>
      <c r="W52" s="907"/>
      <c r="X52" s="907"/>
      <c r="Y52" s="907"/>
      <c r="Z52" s="907"/>
      <c r="AA52" s="907"/>
      <c r="AB52" s="907"/>
      <c r="AC52" s="907"/>
      <c r="AD52" s="907"/>
      <c r="AE52" s="907"/>
      <c r="AF52" s="907"/>
      <c r="AG52" s="908"/>
      <c r="AH52" s="462"/>
    </row>
    <row r="53" spans="1:34" s="463" customFormat="1" ht="6" customHeight="1">
      <c r="A53" s="524"/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525"/>
      <c r="Q53" s="525"/>
      <c r="R53" s="526"/>
      <c r="S53" s="909"/>
      <c r="T53" s="910"/>
      <c r="U53" s="910"/>
      <c r="V53" s="910"/>
      <c r="W53" s="910"/>
      <c r="X53" s="910"/>
      <c r="Y53" s="910"/>
      <c r="Z53" s="910"/>
      <c r="AA53" s="910"/>
      <c r="AB53" s="910"/>
      <c r="AC53" s="910"/>
      <c r="AD53" s="910"/>
      <c r="AE53" s="910"/>
      <c r="AF53" s="910"/>
      <c r="AG53" s="911"/>
      <c r="AH53" s="462"/>
    </row>
    <row r="54" spans="1:34" s="463" customFormat="1" ht="15" customHeight="1">
      <c r="A54" s="831" t="s">
        <v>186</v>
      </c>
      <c r="B54" s="872"/>
      <c r="C54" s="872"/>
      <c r="D54" s="872"/>
      <c r="E54" s="835"/>
      <c r="F54" s="809"/>
      <c r="G54" s="809"/>
      <c r="H54" s="809"/>
      <c r="I54" s="809"/>
      <c r="J54" s="809"/>
      <c r="K54" s="809"/>
      <c r="L54" s="809"/>
      <c r="M54" s="809"/>
      <c r="N54" s="809"/>
      <c r="O54" s="809"/>
      <c r="P54" s="809"/>
      <c r="Q54" s="809"/>
      <c r="R54" s="810"/>
      <c r="S54" s="831" t="s">
        <v>186</v>
      </c>
      <c r="T54" s="832"/>
      <c r="U54" s="832"/>
      <c r="V54" s="876"/>
      <c r="W54" s="825"/>
      <c r="X54" s="820"/>
      <c r="Y54" s="820"/>
      <c r="Z54" s="820"/>
      <c r="AA54" s="820"/>
      <c r="AB54" s="820"/>
      <c r="AC54" s="820"/>
      <c r="AD54" s="820"/>
      <c r="AE54" s="820"/>
      <c r="AF54" s="820"/>
      <c r="AG54" s="826"/>
      <c r="AH54" s="462"/>
    </row>
    <row r="55" spans="1:34" s="463" customFormat="1" ht="15">
      <c r="A55" s="873"/>
      <c r="B55" s="874"/>
      <c r="C55" s="874"/>
      <c r="D55" s="874"/>
      <c r="E55" s="837"/>
      <c r="F55" s="838"/>
      <c r="G55" s="838"/>
      <c r="H55" s="838"/>
      <c r="I55" s="838"/>
      <c r="J55" s="838"/>
      <c r="K55" s="838"/>
      <c r="L55" s="838"/>
      <c r="M55" s="838"/>
      <c r="N55" s="838"/>
      <c r="O55" s="838"/>
      <c r="P55" s="838"/>
      <c r="Q55" s="838"/>
      <c r="R55" s="875"/>
      <c r="S55" s="833"/>
      <c r="T55" s="834"/>
      <c r="U55" s="834"/>
      <c r="V55" s="853"/>
      <c r="W55" s="857"/>
      <c r="X55" s="834"/>
      <c r="Y55" s="834"/>
      <c r="Z55" s="834"/>
      <c r="AA55" s="834"/>
      <c r="AB55" s="834"/>
      <c r="AC55" s="834"/>
      <c r="AD55" s="834"/>
      <c r="AE55" s="834"/>
      <c r="AF55" s="834"/>
      <c r="AG55" s="877"/>
      <c r="AH55" s="462"/>
    </row>
    <row r="56" spans="1:34" s="463" customFormat="1" ht="15" customHeight="1">
      <c r="A56" s="819" t="s">
        <v>187</v>
      </c>
      <c r="B56" s="878"/>
      <c r="C56" s="878"/>
      <c r="D56" s="879"/>
      <c r="E56" s="881" t="s">
        <v>210</v>
      </c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3"/>
      <c r="S56" s="819" t="s">
        <v>187</v>
      </c>
      <c r="T56" s="820"/>
      <c r="U56" s="820"/>
      <c r="V56" s="821"/>
      <c r="W56" s="887" t="s">
        <v>1138</v>
      </c>
      <c r="X56" s="888"/>
      <c r="Y56" s="888"/>
      <c r="Z56" s="888"/>
      <c r="AA56" s="888"/>
      <c r="AB56" s="888"/>
      <c r="AC56" s="888"/>
      <c r="AD56" s="888"/>
      <c r="AE56" s="888"/>
      <c r="AF56" s="888"/>
      <c r="AG56" s="889"/>
      <c r="AH56" s="462"/>
    </row>
    <row r="57" spans="1:34" s="463" customFormat="1" ht="15">
      <c r="A57" s="873"/>
      <c r="B57" s="874"/>
      <c r="C57" s="874"/>
      <c r="D57" s="880"/>
      <c r="E57" s="884"/>
      <c r="F57" s="885"/>
      <c r="G57" s="885"/>
      <c r="H57" s="885"/>
      <c r="I57" s="885"/>
      <c r="J57" s="885"/>
      <c r="K57" s="885"/>
      <c r="L57" s="885"/>
      <c r="M57" s="885"/>
      <c r="N57" s="885"/>
      <c r="O57" s="885"/>
      <c r="P57" s="885"/>
      <c r="Q57" s="885"/>
      <c r="R57" s="886"/>
      <c r="S57" s="833"/>
      <c r="T57" s="834"/>
      <c r="U57" s="834"/>
      <c r="V57" s="853"/>
      <c r="W57" s="890"/>
      <c r="X57" s="891"/>
      <c r="Y57" s="891"/>
      <c r="Z57" s="891"/>
      <c r="AA57" s="891"/>
      <c r="AB57" s="891"/>
      <c r="AC57" s="891"/>
      <c r="AD57" s="891"/>
      <c r="AE57" s="891"/>
      <c r="AF57" s="891"/>
      <c r="AG57" s="892"/>
      <c r="AH57" s="462"/>
    </row>
    <row r="58" spans="1:34" s="463" customFormat="1" ht="18" customHeight="1">
      <c r="A58" s="819" t="s">
        <v>188</v>
      </c>
      <c r="B58" s="820"/>
      <c r="C58" s="820"/>
      <c r="D58" s="821"/>
      <c r="E58" s="893" t="s">
        <v>1113</v>
      </c>
      <c r="F58" s="894"/>
      <c r="G58" s="894"/>
      <c r="H58" s="894"/>
      <c r="I58" s="894"/>
      <c r="J58" s="894"/>
      <c r="K58" s="894"/>
      <c r="L58" s="894"/>
      <c r="M58" s="894"/>
      <c r="N58" s="894"/>
      <c r="O58" s="894"/>
      <c r="P58" s="894"/>
      <c r="Q58" s="894"/>
      <c r="R58" s="895"/>
      <c r="S58" s="819" t="s">
        <v>188</v>
      </c>
      <c r="T58" s="820"/>
      <c r="U58" s="820"/>
      <c r="V58" s="821"/>
      <c r="W58" s="854" t="s">
        <v>1139</v>
      </c>
      <c r="X58" s="855"/>
      <c r="Y58" s="855"/>
      <c r="Z58" s="855"/>
      <c r="AA58" s="855"/>
      <c r="AB58" s="855"/>
      <c r="AC58" s="855"/>
      <c r="AD58" s="855"/>
      <c r="AE58" s="855"/>
      <c r="AF58" s="855"/>
      <c r="AG58" s="856"/>
      <c r="AH58" s="527"/>
    </row>
    <row r="59" spans="1:34" s="463" customFormat="1" ht="15.6" customHeight="1">
      <c r="A59" s="833"/>
      <c r="B59" s="834"/>
      <c r="C59" s="834"/>
      <c r="D59" s="853"/>
      <c r="E59" s="854" t="s">
        <v>189</v>
      </c>
      <c r="F59" s="855"/>
      <c r="G59" s="855"/>
      <c r="H59" s="855"/>
      <c r="I59" s="855"/>
      <c r="J59" s="855"/>
      <c r="K59" s="855"/>
      <c r="L59" s="855"/>
      <c r="M59" s="855"/>
      <c r="N59" s="867"/>
      <c r="O59" s="867"/>
      <c r="P59" s="867"/>
      <c r="Q59" s="867"/>
      <c r="R59" s="868"/>
      <c r="S59" s="833"/>
      <c r="T59" s="834"/>
      <c r="U59" s="834"/>
      <c r="V59" s="853"/>
      <c r="W59" s="869" t="s">
        <v>190</v>
      </c>
      <c r="X59" s="870"/>
      <c r="Y59" s="870"/>
      <c r="Z59" s="870"/>
      <c r="AA59" s="870"/>
      <c r="AB59" s="870"/>
      <c r="AC59" s="870"/>
      <c r="AD59" s="870"/>
      <c r="AE59" s="870"/>
      <c r="AF59" s="870"/>
      <c r="AG59" s="871"/>
      <c r="AH59" s="462"/>
    </row>
    <row r="60" spans="1:34" s="463" customFormat="1" ht="15" customHeight="1">
      <c r="A60" s="819" t="s">
        <v>53</v>
      </c>
      <c r="B60" s="820"/>
      <c r="C60" s="820"/>
      <c r="D60" s="821"/>
      <c r="E60" s="835"/>
      <c r="F60" s="809"/>
      <c r="G60" s="809"/>
      <c r="H60" s="809"/>
      <c r="I60" s="809"/>
      <c r="J60" s="809"/>
      <c r="K60" s="809"/>
      <c r="L60" s="809"/>
      <c r="M60" s="809"/>
      <c r="N60" s="809"/>
      <c r="O60" s="809"/>
      <c r="P60" s="809"/>
      <c r="Q60" s="809"/>
      <c r="R60" s="810"/>
      <c r="S60" s="819" t="s">
        <v>53</v>
      </c>
      <c r="T60" s="820"/>
      <c r="U60" s="820"/>
      <c r="V60" s="821"/>
      <c r="W60" s="825"/>
      <c r="X60" s="820"/>
      <c r="Y60" s="820"/>
      <c r="Z60" s="820"/>
      <c r="AA60" s="820"/>
      <c r="AB60" s="820"/>
      <c r="AC60" s="820"/>
      <c r="AD60" s="820"/>
      <c r="AE60" s="820"/>
      <c r="AF60" s="820"/>
      <c r="AG60" s="826"/>
      <c r="AH60" s="462"/>
    </row>
    <row r="61" spans="1:34" s="463" customFormat="1" ht="15.75" customHeight="1" thickBot="1">
      <c r="A61" s="847"/>
      <c r="B61" s="848"/>
      <c r="C61" s="848"/>
      <c r="D61" s="849"/>
      <c r="E61" s="850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2"/>
      <c r="S61" s="822"/>
      <c r="T61" s="823"/>
      <c r="U61" s="823"/>
      <c r="V61" s="824"/>
      <c r="W61" s="827"/>
      <c r="X61" s="823"/>
      <c r="Y61" s="823"/>
      <c r="Z61" s="823"/>
      <c r="AA61" s="823"/>
      <c r="AB61" s="823"/>
      <c r="AC61" s="823"/>
      <c r="AD61" s="823"/>
      <c r="AE61" s="823"/>
      <c r="AF61" s="823"/>
      <c r="AG61" s="828"/>
      <c r="AH61" s="462"/>
    </row>
    <row r="62" spans="1:34" s="463" customFormat="1" ht="13.5" customHeight="1">
      <c r="A62" s="516" t="s">
        <v>191</v>
      </c>
      <c r="B62" s="517" t="s">
        <v>192</v>
      </c>
      <c r="C62" s="517"/>
      <c r="D62" s="517"/>
      <c r="E62" s="517"/>
      <c r="F62" s="517"/>
      <c r="G62" s="517"/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28"/>
      <c r="AB62" s="474" t="s">
        <v>193</v>
      </c>
      <c r="AC62" s="474"/>
      <c r="AD62" s="474"/>
      <c r="AE62" s="829"/>
      <c r="AF62" s="829"/>
      <c r="AG62" s="830"/>
      <c r="AH62" s="462"/>
    </row>
    <row r="63" spans="1:34" s="463" customFormat="1" ht="12.75" customHeight="1">
      <c r="A63" s="831" t="s">
        <v>194</v>
      </c>
      <c r="B63" s="832"/>
      <c r="C63" s="832"/>
      <c r="D63" s="460"/>
      <c r="E63" s="835"/>
      <c r="F63" s="809"/>
      <c r="G63" s="809"/>
      <c r="H63" s="809"/>
      <c r="I63" s="809"/>
      <c r="J63" s="809"/>
      <c r="K63" s="809"/>
      <c r="L63" s="809"/>
      <c r="M63" s="836"/>
      <c r="N63" s="840" t="s">
        <v>159</v>
      </c>
      <c r="O63" s="841"/>
      <c r="P63" s="841"/>
      <c r="Q63" s="841"/>
      <c r="R63" s="842"/>
      <c r="S63" s="846" t="s">
        <v>195</v>
      </c>
      <c r="T63" s="841"/>
      <c r="U63" s="841"/>
      <c r="V63" s="841"/>
      <c r="W63" s="841"/>
      <c r="X63" s="841"/>
      <c r="Y63" s="841"/>
      <c r="Z63" s="841"/>
      <c r="AA63" s="842"/>
      <c r="AB63" s="465"/>
      <c r="AC63" s="465"/>
      <c r="AD63" s="465"/>
      <c r="AE63" s="465"/>
      <c r="AF63" s="465"/>
      <c r="AG63" s="468"/>
      <c r="AH63" s="462"/>
    </row>
    <row r="64" spans="1:34" s="463" customFormat="1" ht="13.9" customHeight="1">
      <c r="A64" s="833"/>
      <c r="B64" s="834"/>
      <c r="C64" s="834"/>
      <c r="D64" s="525"/>
      <c r="E64" s="837"/>
      <c r="F64" s="838"/>
      <c r="G64" s="838"/>
      <c r="H64" s="838"/>
      <c r="I64" s="838"/>
      <c r="J64" s="838"/>
      <c r="K64" s="838"/>
      <c r="L64" s="838"/>
      <c r="M64" s="839"/>
      <c r="N64" s="843"/>
      <c r="O64" s="844"/>
      <c r="P64" s="844"/>
      <c r="Q64" s="844"/>
      <c r="R64" s="845"/>
      <c r="S64" s="843"/>
      <c r="T64" s="844"/>
      <c r="U64" s="844"/>
      <c r="V64" s="844"/>
      <c r="W64" s="844"/>
      <c r="X64" s="844"/>
      <c r="Y64" s="844"/>
      <c r="Z64" s="844"/>
      <c r="AA64" s="845"/>
      <c r="AB64" s="525"/>
      <c r="AC64" s="525"/>
      <c r="AD64" s="529"/>
      <c r="AE64" s="529"/>
      <c r="AF64" s="529"/>
      <c r="AG64" s="530"/>
      <c r="AH64" s="462"/>
    </row>
    <row r="65" spans="1:38" s="463" customFormat="1" ht="12.75" customHeight="1">
      <c r="A65" s="819" t="s">
        <v>196</v>
      </c>
      <c r="B65" s="817"/>
      <c r="C65" s="817"/>
      <c r="D65" s="861"/>
      <c r="E65" s="863"/>
      <c r="F65" s="817"/>
      <c r="G65" s="817"/>
      <c r="H65" s="817"/>
      <c r="I65" s="817"/>
      <c r="J65" s="817"/>
      <c r="K65" s="817"/>
      <c r="L65" s="817"/>
      <c r="M65" s="861"/>
      <c r="N65" s="864" t="s">
        <v>159</v>
      </c>
      <c r="O65" s="865"/>
      <c r="P65" s="865"/>
      <c r="Q65" s="865"/>
      <c r="R65" s="866"/>
      <c r="S65" s="814" t="s">
        <v>140</v>
      </c>
      <c r="T65" s="815"/>
      <c r="U65" s="815"/>
      <c r="V65" s="815"/>
      <c r="W65" s="815"/>
      <c r="X65" s="815"/>
      <c r="Y65" s="815"/>
      <c r="Z65" s="815"/>
      <c r="AA65" s="816"/>
      <c r="AB65" s="531" t="s">
        <v>53</v>
      </c>
      <c r="AC65" s="531"/>
      <c r="AD65" s="817"/>
      <c r="AE65" s="817"/>
      <c r="AF65" s="817"/>
      <c r="AG65" s="818"/>
      <c r="AH65" s="462"/>
    </row>
    <row r="66" spans="1:38" s="463" customFormat="1" ht="17.45" customHeight="1">
      <c r="A66" s="862"/>
      <c r="B66" s="838"/>
      <c r="C66" s="838"/>
      <c r="D66" s="839"/>
      <c r="E66" s="837"/>
      <c r="F66" s="838"/>
      <c r="G66" s="838"/>
      <c r="H66" s="838"/>
      <c r="I66" s="838"/>
      <c r="J66" s="838"/>
      <c r="K66" s="838"/>
      <c r="L66" s="838"/>
      <c r="M66" s="839"/>
      <c r="N66" s="843"/>
      <c r="O66" s="844"/>
      <c r="P66" s="844"/>
      <c r="Q66" s="844"/>
      <c r="R66" s="845"/>
      <c r="S66" s="857" t="str">
        <f>E11</f>
        <v>MA. ELAINE E. ARCILLA</v>
      </c>
      <c r="T66" s="834"/>
      <c r="U66" s="834"/>
      <c r="V66" s="834"/>
      <c r="W66" s="834"/>
      <c r="X66" s="834"/>
      <c r="Y66" s="834"/>
      <c r="Z66" s="834"/>
      <c r="AA66" s="853"/>
      <c r="AB66" s="809"/>
      <c r="AC66" s="809"/>
      <c r="AD66" s="809"/>
      <c r="AE66" s="809"/>
      <c r="AF66" s="809"/>
      <c r="AG66" s="810"/>
      <c r="AH66" s="462"/>
    </row>
    <row r="67" spans="1:38" s="463" customFormat="1" ht="15.6" customHeight="1" thickBot="1">
      <c r="A67" s="858" t="s">
        <v>197</v>
      </c>
      <c r="B67" s="859"/>
      <c r="C67" s="859"/>
      <c r="D67" s="859"/>
      <c r="E67" s="859"/>
      <c r="F67" s="859"/>
      <c r="G67" s="859"/>
      <c r="H67" s="859"/>
      <c r="I67" s="859"/>
      <c r="J67" s="859"/>
      <c r="K67" s="859"/>
      <c r="L67" s="859"/>
      <c r="M67" s="859"/>
      <c r="N67" s="859"/>
      <c r="O67" s="859"/>
      <c r="P67" s="859"/>
      <c r="Q67" s="859"/>
      <c r="R67" s="859"/>
      <c r="S67" s="859"/>
      <c r="T67" s="859"/>
      <c r="U67" s="859"/>
      <c r="V67" s="859"/>
      <c r="W67" s="859"/>
      <c r="X67" s="859"/>
      <c r="Y67" s="859"/>
      <c r="Z67" s="859"/>
      <c r="AA67" s="860"/>
      <c r="AB67" s="851"/>
      <c r="AC67" s="851"/>
      <c r="AD67" s="851"/>
      <c r="AE67" s="851"/>
      <c r="AF67" s="851"/>
      <c r="AG67" s="852"/>
      <c r="AH67" s="532"/>
      <c r="AI67" s="533"/>
      <c r="AJ67" s="533"/>
      <c r="AK67" s="533"/>
      <c r="AL67" s="533"/>
    </row>
    <row r="68" spans="1:38">
      <c r="A68" s="534" t="s">
        <v>1140</v>
      </c>
    </row>
  </sheetData>
  <sheetProtection selectLockedCells="1"/>
  <mergeCells count="97">
    <mergeCell ref="A5:AA7"/>
    <mergeCell ref="AB5:AG5"/>
    <mergeCell ref="AB6:AG6"/>
    <mergeCell ref="AB7:AG7"/>
    <mergeCell ref="A2:AA2"/>
    <mergeCell ref="AB2:AG2"/>
    <mergeCell ref="A3:AA3"/>
    <mergeCell ref="A4:AA4"/>
    <mergeCell ref="AB4:AG4"/>
    <mergeCell ref="A8:C10"/>
    <mergeCell ref="E8:AG8"/>
    <mergeCell ref="J10:M10"/>
    <mergeCell ref="O10:T10"/>
    <mergeCell ref="A11:C12"/>
    <mergeCell ref="E11:R12"/>
    <mergeCell ref="S11:AA11"/>
    <mergeCell ref="AB11:AG11"/>
    <mergeCell ref="S12:AA12"/>
    <mergeCell ref="AB12:AG12"/>
    <mergeCell ref="A13:C14"/>
    <mergeCell ref="E13:AG14"/>
    <mergeCell ref="A15:Q15"/>
    <mergeCell ref="R15:V15"/>
    <mergeCell ref="W15:AA15"/>
    <mergeCell ref="AB15:AG15"/>
    <mergeCell ref="A16:Q16"/>
    <mergeCell ref="R16:V23"/>
    <mergeCell ref="W16:AA23"/>
    <mergeCell ref="AB16:AG23"/>
    <mergeCell ref="H17:M17"/>
    <mergeCell ref="A18:H18"/>
    <mergeCell ref="I18:M18"/>
    <mergeCell ref="E19:L19"/>
    <mergeCell ref="J22:P22"/>
    <mergeCell ref="H20:I20"/>
    <mergeCell ref="H21:J21"/>
    <mergeCell ref="N20:P20"/>
    <mergeCell ref="N21:P21"/>
    <mergeCell ref="AB24:AG24"/>
    <mergeCell ref="B25:AG25"/>
    <mergeCell ref="B27:AF27"/>
    <mergeCell ref="B28:AF28"/>
    <mergeCell ref="L29:X29"/>
    <mergeCell ref="S41:W41"/>
    <mergeCell ref="AC41:AG41"/>
    <mergeCell ref="L30:X30"/>
    <mergeCell ref="A32:R32"/>
    <mergeCell ref="S32:W32"/>
    <mergeCell ref="X32:AB32"/>
    <mergeCell ref="AC32:AG32"/>
    <mergeCell ref="H33:P33"/>
    <mergeCell ref="S33:W33"/>
    <mergeCell ref="X33:AB33"/>
    <mergeCell ref="S39:W39"/>
    <mergeCell ref="X39:AB39"/>
    <mergeCell ref="AC39:AG39"/>
    <mergeCell ref="S40:W40"/>
    <mergeCell ref="AC40:AG40"/>
    <mergeCell ref="S43:W43"/>
    <mergeCell ref="S44:W44"/>
    <mergeCell ref="S45:W45"/>
    <mergeCell ref="T46:AD46"/>
    <mergeCell ref="S47:AG53"/>
    <mergeCell ref="E59:R59"/>
    <mergeCell ref="W59:AG59"/>
    <mergeCell ref="A54:D55"/>
    <mergeCell ref="E54:R55"/>
    <mergeCell ref="S54:V55"/>
    <mergeCell ref="W54:AG55"/>
    <mergeCell ref="A56:D57"/>
    <mergeCell ref="E56:R57"/>
    <mergeCell ref="S56:V57"/>
    <mergeCell ref="W56:AG57"/>
    <mergeCell ref="A58:D59"/>
    <mergeCell ref="E58:R58"/>
    <mergeCell ref="S66:AA66"/>
    <mergeCell ref="AB66:AG67"/>
    <mergeCell ref="A67:AA67"/>
    <mergeCell ref="A65:D66"/>
    <mergeCell ref="E65:M66"/>
    <mergeCell ref="N65:R66"/>
    <mergeCell ref="A48:G48"/>
    <mergeCell ref="A50:R50"/>
    <mergeCell ref="A24:Q24"/>
    <mergeCell ref="S65:AA65"/>
    <mergeCell ref="AD65:AG65"/>
    <mergeCell ref="S60:V61"/>
    <mergeCell ref="W60:AG61"/>
    <mergeCell ref="AE62:AG62"/>
    <mergeCell ref="A63:C64"/>
    <mergeCell ref="E63:M64"/>
    <mergeCell ref="N63:R64"/>
    <mergeCell ref="S63:AA64"/>
    <mergeCell ref="A60:D61"/>
    <mergeCell ref="E60:R61"/>
    <mergeCell ref="S58:V59"/>
    <mergeCell ref="W58:AG58"/>
  </mergeCells>
  <printOptions horizontalCentered="1"/>
  <pageMargins left="0.23622047244094491" right="0.23622047244094491" top="0.50468749999999996" bottom="0.23622047244094491" header="0.31496062992125984" footer="0.31496062992125984"/>
  <pageSetup paperSize="14" scale="85" fitToWidth="0" fitToHeight="0" orientation="portrait" r:id="rId1"/>
  <headerFooter>
    <oddFooter>&amp;L&amp;"Tahoma,Bold"&amp;8NIA-ACIMO-FIN-INT-Form13 Rev07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2:M51"/>
  <sheetViews>
    <sheetView zoomScale="85" zoomScaleNormal="100" zoomScalePageLayoutView="85" workbookViewId="0">
      <selection activeCell="L16" sqref="L16:M18"/>
    </sheetView>
  </sheetViews>
  <sheetFormatPr defaultColWidth="9.140625" defaultRowHeight="12.75"/>
  <cols>
    <col min="1" max="1" width="8.7109375" style="101" customWidth="1"/>
    <col min="2" max="2" width="6.7109375" style="101" customWidth="1"/>
    <col min="3" max="3" width="3.85546875" style="101" customWidth="1"/>
    <col min="4" max="4" width="6.7109375" style="101" customWidth="1"/>
    <col min="5" max="5" width="6.5703125" style="101" customWidth="1"/>
    <col min="6" max="6" width="10" style="101" customWidth="1"/>
    <col min="7" max="7" width="2" style="101" customWidth="1"/>
    <col min="8" max="8" width="13" style="101" customWidth="1"/>
    <col min="9" max="9" width="6.7109375" style="101" customWidth="1"/>
    <col min="10" max="10" width="6.85546875" style="101" customWidth="1"/>
    <col min="11" max="11" width="13.28515625" style="101" customWidth="1"/>
    <col min="12" max="12" width="11.140625" style="101" customWidth="1"/>
    <col min="13" max="13" width="15.7109375" style="101" customWidth="1"/>
    <col min="14" max="16384" width="9.140625" style="101"/>
  </cols>
  <sheetData>
    <row r="2" spans="1:13" ht="18" customHeight="1">
      <c r="A2" s="1010"/>
      <c r="B2" s="1011"/>
      <c r="C2" s="1011"/>
      <c r="D2" s="1011"/>
      <c r="E2" s="1011"/>
      <c r="F2" s="1011"/>
      <c r="G2" s="1011"/>
      <c r="H2" s="1011"/>
      <c r="I2" s="1011"/>
      <c r="J2" s="1012"/>
      <c r="K2" s="1013"/>
      <c r="L2" s="1014"/>
      <c r="M2" s="1015"/>
    </row>
    <row r="3" spans="1:13" ht="24.75" customHeight="1">
      <c r="A3" s="102"/>
      <c r="B3" s="1016" t="s">
        <v>117</v>
      </c>
      <c r="C3" s="1016"/>
      <c r="D3" s="1016"/>
      <c r="E3" s="1016"/>
      <c r="F3" s="1016"/>
      <c r="G3" s="1016"/>
      <c r="H3" s="1016"/>
      <c r="I3" s="1016"/>
      <c r="J3" s="1017"/>
      <c r="K3" s="1018" t="s">
        <v>118</v>
      </c>
      <c r="L3" s="1019"/>
      <c r="M3" s="1020"/>
    </row>
    <row r="4" spans="1:13" ht="17.25" customHeight="1">
      <c r="A4" s="1021" t="s">
        <v>207</v>
      </c>
      <c r="B4" s="1022"/>
      <c r="C4" s="1022"/>
      <c r="D4" s="1022"/>
      <c r="E4" s="1022"/>
      <c r="F4" s="1022"/>
      <c r="G4" s="1022"/>
      <c r="H4" s="1022"/>
      <c r="I4" s="1022"/>
      <c r="J4" s="1023"/>
      <c r="K4" s="1018" t="s">
        <v>119</v>
      </c>
      <c r="L4" s="1019"/>
      <c r="M4" s="1020"/>
    </row>
    <row r="5" spans="1:13" ht="17.25" customHeight="1">
      <c r="A5" s="103"/>
      <c r="B5" s="1124" t="s">
        <v>120</v>
      </c>
      <c r="C5" s="1124"/>
      <c r="D5" s="1124"/>
      <c r="E5" s="1124"/>
      <c r="F5" s="1124"/>
      <c r="G5" s="1124"/>
      <c r="H5" s="1124"/>
      <c r="I5" s="1124"/>
      <c r="J5" s="1125"/>
      <c r="K5" s="1018" t="s">
        <v>121</v>
      </c>
      <c r="L5" s="1019"/>
      <c r="M5" s="1020"/>
    </row>
    <row r="6" spans="1:13" ht="20.25" customHeight="1">
      <c r="A6" s="104"/>
      <c r="B6" s="1126"/>
      <c r="C6" s="1126"/>
      <c r="D6" s="1126"/>
      <c r="E6" s="1126"/>
      <c r="F6" s="1126"/>
      <c r="G6" s="1126"/>
      <c r="H6" s="1126"/>
      <c r="I6" s="1126"/>
      <c r="J6" s="1127"/>
      <c r="K6" s="1135"/>
      <c r="L6" s="1136"/>
      <c r="M6" s="1137"/>
    </row>
    <row r="7" spans="1:13" ht="12.75" customHeight="1">
      <c r="A7" s="1128" t="s">
        <v>122</v>
      </c>
      <c r="B7" s="1066"/>
      <c r="C7" s="1067"/>
      <c r="D7" s="1129" t="str">
        <f>'SUMMARY (1-15)-D&amp;6'!C3</f>
        <v>D.Z. MANLANGIT &amp; 6</v>
      </c>
      <c r="E7" s="1130"/>
      <c r="F7" s="1130"/>
      <c r="G7" s="1130"/>
      <c r="H7" s="1130"/>
      <c r="I7" s="1130"/>
      <c r="J7" s="1130"/>
      <c r="K7" s="1130"/>
      <c r="L7" s="1130"/>
      <c r="M7" s="1131"/>
    </row>
    <row r="8" spans="1:13" ht="12.75" customHeight="1">
      <c r="A8" s="1086"/>
      <c r="B8" s="1069"/>
      <c r="C8" s="1070"/>
      <c r="D8" s="1132"/>
      <c r="E8" s="1133"/>
      <c r="F8" s="1133"/>
      <c r="G8" s="1133"/>
      <c r="H8" s="1133"/>
      <c r="I8" s="1133"/>
      <c r="J8" s="1133"/>
      <c r="K8" s="1133"/>
      <c r="L8" s="1133"/>
      <c r="M8" s="1134"/>
    </row>
    <row r="9" spans="1:13" ht="12.75" customHeight="1">
      <c r="A9" s="1109" t="s">
        <v>123</v>
      </c>
      <c r="B9" s="1110"/>
      <c r="C9" s="1111"/>
      <c r="D9" s="1115" t="s">
        <v>1086</v>
      </c>
      <c r="E9" s="1116"/>
      <c r="F9" s="1116"/>
      <c r="G9" s="1116"/>
      <c r="H9" s="1116"/>
      <c r="I9" s="1116"/>
      <c r="J9" s="1116"/>
      <c r="K9" s="1116"/>
      <c r="L9" s="1116"/>
      <c r="M9" s="1117"/>
    </row>
    <row r="10" spans="1:13" ht="12.75" customHeight="1">
      <c r="A10" s="1086"/>
      <c r="B10" s="1069"/>
      <c r="C10" s="1070"/>
      <c r="D10" s="1121"/>
      <c r="E10" s="1122"/>
      <c r="F10" s="1122"/>
      <c r="G10" s="1122"/>
      <c r="H10" s="1122"/>
      <c r="I10" s="1122"/>
      <c r="J10" s="1122"/>
      <c r="K10" s="1122"/>
      <c r="L10" s="1122"/>
      <c r="M10" s="1123"/>
    </row>
    <row r="11" spans="1:13" ht="12.75" customHeight="1">
      <c r="A11" s="1109" t="s">
        <v>124</v>
      </c>
      <c r="B11" s="1110"/>
      <c r="C11" s="1111"/>
      <c r="D11" s="1115" t="s">
        <v>1079</v>
      </c>
      <c r="E11" s="1116"/>
      <c r="F11" s="1116"/>
      <c r="G11" s="1116"/>
      <c r="H11" s="1116"/>
      <c r="I11" s="1116"/>
      <c r="J11" s="1116"/>
      <c r="K11" s="1116"/>
      <c r="L11" s="1116"/>
      <c r="M11" s="1117"/>
    </row>
    <row r="12" spans="1:13" ht="13.5" customHeight="1">
      <c r="A12" s="1112"/>
      <c r="B12" s="1113"/>
      <c r="C12" s="1114"/>
      <c r="D12" s="1118"/>
      <c r="E12" s="1119"/>
      <c r="F12" s="1119"/>
      <c r="G12" s="1119"/>
      <c r="H12" s="1119"/>
      <c r="I12" s="1119"/>
      <c r="J12" s="1119"/>
      <c r="K12" s="1119"/>
      <c r="L12" s="1119"/>
      <c r="M12" s="1120"/>
    </row>
    <row r="13" spans="1:13" ht="12.75" customHeight="1">
      <c r="A13" s="1083" t="s">
        <v>125</v>
      </c>
      <c r="B13" s="1084"/>
      <c r="C13" s="1085"/>
      <c r="D13" s="1087" t="s">
        <v>41</v>
      </c>
      <c r="E13" s="1088"/>
      <c r="F13" s="1088"/>
      <c r="G13" s="1088"/>
      <c r="H13" s="1089"/>
      <c r="I13" s="1093" t="s">
        <v>126</v>
      </c>
      <c r="J13" s="1094"/>
      <c r="K13" s="1107" t="s">
        <v>127</v>
      </c>
      <c r="L13" s="1087" t="s">
        <v>37</v>
      </c>
      <c r="M13" s="1097"/>
    </row>
    <row r="14" spans="1:13" ht="37.15" customHeight="1">
      <c r="A14" s="1086"/>
      <c r="B14" s="1069"/>
      <c r="C14" s="1070"/>
      <c r="D14" s="1090"/>
      <c r="E14" s="1091"/>
      <c r="F14" s="1091"/>
      <c r="G14" s="1091"/>
      <c r="H14" s="1092"/>
      <c r="I14" s="1095"/>
      <c r="J14" s="1096"/>
      <c r="K14" s="1108"/>
      <c r="L14" s="1068"/>
      <c r="M14" s="1098"/>
    </row>
    <row r="15" spans="1:13" ht="15" customHeight="1">
      <c r="A15" s="108"/>
      <c r="B15" s="109"/>
      <c r="C15" s="110"/>
      <c r="D15" s="111"/>
      <c r="E15" s="109"/>
      <c r="F15" s="109"/>
      <c r="G15" s="109"/>
      <c r="H15" s="109"/>
      <c r="I15" s="111"/>
      <c r="J15" s="110"/>
      <c r="K15" s="158"/>
      <c r="L15" s="1071"/>
      <c r="M15" s="1101"/>
    </row>
    <row r="16" spans="1:13" ht="15" customHeight="1">
      <c r="A16" s="112"/>
      <c r="B16" s="113"/>
      <c r="C16" s="114"/>
      <c r="I16" s="115"/>
      <c r="J16" s="118"/>
      <c r="K16" s="143"/>
      <c r="L16" s="1099" t="e">
        <f>'SUMMARY (1-15)-D&amp;6'!C21</f>
        <v>#REF!</v>
      </c>
      <c r="M16" s="1100"/>
    </row>
    <row r="17" spans="1:13" ht="15" customHeight="1">
      <c r="A17" s="112"/>
      <c r="B17" s="113"/>
      <c r="C17" s="114"/>
      <c r="D17" s="1102" t="s">
        <v>128</v>
      </c>
      <c r="E17" s="1103"/>
      <c r="F17" s="1104" t="e">
        <f>'SUMMARY (1-15)-D&amp;6'!C5</f>
        <v>#REF!</v>
      </c>
      <c r="G17" s="1105"/>
      <c r="H17" s="1106"/>
      <c r="I17" s="115"/>
      <c r="J17" s="118"/>
      <c r="K17" s="143"/>
      <c r="L17" s="1099"/>
      <c r="M17" s="1100"/>
    </row>
    <row r="18" spans="1:13" ht="15" customHeight="1">
      <c r="A18" s="112"/>
      <c r="B18" s="113"/>
      <c r="C18" s="114"/>
      <c r="D18" s="115"/>
      <c r="E18" s="116"/>
      <c r="F18" s="116"/>
      <c r="G18" s="116"/>
      <c r="H18" s="116"/>
      <c r="I18" s="115"/>
      <c r="J18" s="118"/>
      <c r="K18" s="143"/>
      <c r="L18" s="1099"/>
      <c r="M18" s="1100"/>
    </row>
    <row r="19" spans="1:13" ht="15" customHeight="1">
      <c r="A19" s="117"/>
      <c r="B19" s="116"/>
      <c r="C19" s="118"/>
      <c r="D19" s="115"/>
      <c r="E19" s="116"/>
      <c r="F19" s="116"/>
      <c r="G19" s="116"/>
      <c r="H19" s="116"/>
      <c r="I19" s="115"/>
      <c r="J19" s="118"/>
      <c r="K19" s="143"/>
      <c r="L19" s="1024"/>
      <c r="M19" s="1025"/>
    </row>
    <row r="20" spans="1:13" ht="15" customHeight="1">
      <c r="A20" s="117"/>
      <c r="B20" s="116"/>
      <c r="C20" s="118"/>
      <c r="D20" s="115"/>
      <c r="E20" s="116"/>
      <c r="F20" s="116"/>
      <c r="G20" s="116"/>
      <c r="H20" s="116"/>
      <c r="I20" s="115"/>
      <c r="J20" s="118"/>
      <c r="K20" s="143"/>
      <c r="L20" s="1024"/>
      <c r="M20" s="1025"/>
    </row>
    <row r="21" spans="1:13" ht="15" customHeight="1">
      <c r="A21" s="117"/>
      <c r="B21" s="116"/>
      <c r="C21" s="118"/>
      <c r="D21" s="119"/>
      <c r="E21" s="120"/>
      <c r="F21" s="120"/>
      <c r="G21" s="120"/>
      <c r="H21" s="121"/>
      <c r="I21" s="115"/>
      <c r="J21" s="118"/>
      <c r="K21" s="159"/>
      <c r="L21" s="1024"/>
      <c r="M21" s="1025"/>
    </row>
    <row r="22" spans="1:13" ht="15" customHeight="1">
      <c r="A22" s="117"/>
      <c r="B22" s="116"/>
      <c r="C22" s="118"/>
      <c r="D22" s="119"/>
      <c r="E22" s="120"/>
      <c r="F22" s="120"/>
      <c r="G22" s="120"/>
      <c r="H22" s="121"/>
      <c r="I22" s="115"/>
      <c r="J22" s="118"/>
      <c r="K22" s="159"/>
      <c r="L22" s="1024"/>
      <c r="M22" s="1025"/>
    </row>
    <row r="23" spans="1:13" ht="15" customHeight="1">
      <c r="A23" s="117"/>
      <c r="B23" s="116"/>
      <c r="C23" s="118"/>
      <c r="D23" s="122"/>
      <c r="E23" s="116"/>
      <c r="F23" s="116" t="s">
        <v>129</v>
      </c>
      <c r="G23" s="116"/>
      <c r="H23" s="118"/>
      <c r="I23" s="115"/>
      <c r="J23" s="118"/>
      <c r="K23" s="159"/>
      <c r="L23" s="1024"/>
      <c r="M23" s="1025"/>
    </row>
    <row r="24" spans="1:13" ht="20.100000000000001" customHeight="1">
      <c r="A24" s="123"/>
      <c r="B24" s="124"/>
      <c r="C24" s="125"/>
      <c r="D24" s="1026" t="s">
        <v>130</v>
      </c>
      <c r="E24" s="1027"/>
      <c r="F24" s="1027"/>
      <c r="G24" s="1027"/>
      <c r="H24" s="1028"/>
      <c r="I24" s="105"/>
      <c r="J24" s="160"/>
      <c r="K24" s="160"/>
      <c r="L24" s="1029" t="e">
        <f>L16</f>
        <v>#REF!</v>
      </c>
      <c r="M24" s="1030"/>
    </row>
    <row r="25" spans="1:13" ht="9" customHeight="1">
      <c r="A25" s="1040" t="s">
        <v>131</v>
      </c>
      <c r="B25" s="126"/>
      <c r="C25" s="127"/>
      <c r="D25" s="107"/>
      <c r="E25" s="128"/>
      <c r="F25" s="128"/>
      <c r="G25" s="128"/>
      <c r="H25" s="129"/>
      <c r="I25" s="1040" t="s">
        <v>132</v>
      </c>
      <c r="J25" s="161"/>
      <c r="K25" s="127"/>
      <c r="L25" s="116"/>
      <c r="M25" s="131"/>
    </row>
    <row r="26" spans="1:13" ht="14.25" customHeight="1">
      <c r="A26" s="1041"/>
      <c r="B26" s="1031" t="s">
        <v>133</v>
      </c>
      <c r="C26" s="1032"/>
      <c r="D26" s="1033" t="s">
        <v>134</v>
      </c>
      <c r="E26" s="1033"/>
      <c r="F26" s="1033"/>
      <c r="G26" s="1033"/>
      <c r="H26" s="1025"/>
      <c r="I26" s="1041"/>
      <c r="J26" s="162" t="s">
        <v>135</v>
      </c>
      <c r="K26" s="116"/>
      <c r="L26" s="116"/>
      <c r="M26" s="131"/>
    </row>
    <row r="27" spans="1:13" ht="15">
      <c r="A27" s="130"/>
      <c r="B27" s="116" t="s">
        <v>136</v>
      </c>
      <c r="C27" s="116"/>
      <c r="D27" s="116"/>
      <c r="E27" s="116"/>
      <c r="F27" s="116"/>
      <c r="G27" s="116"/>
      <c r="H27" s="131"/>
      <c r="I27" s="117"/>
      <c r="J27" s="116" t="s">
        <v>137</v>
      </c>
      <c r="K27" s="116"/>
      <c r="L27" s="116"/>
      <c r="M27" s="131"/>
    </row>
    <row r="28" spans="1:13" ht="15">
      <c r="A28" s="1058"/>
      <c r="B28" s="116" t="s">
        <v>138</v>
      </c>
      <c r="C28" s="116"/>
      <c r="D28" s="116"/>
      <c r="E28" s="116"/>
      <c r="F28" s="116"/>
      <c r="G28" s="116"/>
      <c r="H28" s="131"/>
      <c r="I28" s="116"/>
      <c r="J28" s="116"/>
      <c r="K28" s="116"/>
      <c r="M28" s="131"/>
    </row>
    <row r="29" spans="1:13" ht="12.75" customHeight="1">
      <c r="A29" s="1058"/>
      <c r="B29" s="116"/>
      <c r="C29" s="116"/>
      <c r="D29" s="116"/>
      <c r="E29" s="116"/>
      <c r="F29" s="116"/>
      <c r="G29" s="116"/>
      <c r="H29" s="131"/>
      <c r="I29" s="116"/>
      <c r="J29" s="116"/>
      <c r="K29" s="116"/>
      <c r="L29" s="116"/>
      <c r="M29" s="131"/>
    </row>
    <row r="30" spans="1:13" ht="12.75" customHeight="1">
      <c r="A30" s="132"/>
      <c r="B30" s="133"/>
      <c r="C30" s="133"/>
      <c r="D30" s="133"/>
      <c r="E30" s="133"/>
      <c r="F30" s="133"/>
      <c r="G30" s="116"/>
      <c r="H30" s="131"/>
      <c r="I30" s="116"/>
      <c r="J30" s="116"/>
      <c r="K30" s="116"/>
      <c r="L30" s="116"/>
      <c r="M30" s="131"/>
    </row>
    <row r="31" spans="1:13" ht="12.75" customHeight="1">
      <c r="A31" s="132"/>
      <c r="B31" s="116"/>
      <c r="C31" s="116"/>
      <c r="D31" s="116"/>
      <c r="E31" s="116"/>
      <c r="F31" s="116"/>
      <c r="G31" s="116"/>
      <c r="H31" s="131"/>
      <c r="I31" s="116"/>
      <c r="J31" s="116"/>
      <c r="K31" s="116"/>
      <c r="L31" s="116"/>
      <c r="M31" s="131"/>
    </row>
    <row r="32" spans="1:13" ht="12.75" customHeight="1">
      <c r="A32" s="1034" t="s">
        <v>139</v>
      </c>
      <c r="B32" s="1035"/>
      <c r="C32" s="1036"/>
      <c r="D32" s="1036"/>
      <c r="E32" s="1036"/>
      <c r="F32" s="1036"/>
      <c r="G32" s="1036"/>
      <c r="H32" s="1037"/>
      <c r="I32" s="1034" t="s">
        <v>139</v>
      </c>
      <c r="J32" s="1035"/>
      <c r="K32" s="1038"/>
      <c r="L32" s="1038"/>
      <c r="M32" s="1039"/>
    </row>
    <row r="33" spans="1:13" ht="18" customHeight="1">
      <c r="A33" s="1034" t="s">
        <v>140</v>
      </c>
      <c r="B33" s="1035"/>
      <c r="C33" s="1042" t="e">
        <f>#REF!</f>
        <v>#REF!</v>
      </c>
      <c r="D33" s="1042"/>
      <c r="E33" s="1042"/>
      <c r="F33" s="1042"/>
      <c r="G33" s="1042"/>
      <c r="H33" s="1043"/>
      <c r="I33" s="1034" t="s">
        <v>140</v>
      </c>
      <c r="J33" s="1035"/>
      <c r="K33" s="1032" t="s">
        <v>210</v>
      </c>
      <c r="L33" s="1033"/>
      <c r="M33" s="1025"/>
    </row>
    <row r="34" spans="1:13" ht="15" customHeight="1">
      <c r="A34" s="1034" t="s">
        <v>141</v>
      </c>
      <c r="B34" s="1035"/>
      <c r="C34" s="1044" t="e">
        <f>#REF!</f>
        <v>#REF!</v>
      </c>
      <c r="D34" s="1044"/>
      <c r="E34" s="1044"/>
      <c r="F34" s="1044"/>
      <c r="G34" s="1044"/>
      <c r="H34" s="1045"/>
      <c r="I34" s="1034" t="s">
        <v>141</v>
      </c>
      <c r="J34" s="1035"/>
      <c r="K34" s="1033" t="s">
        <v>211</v>
      </c>
      <c r="L34" s="1033"/>
      <c r="M34" s="1025"/>
    </row>
    <row r="35" spans="1:13" s="100" customFormat="1" ht="15" customHeight="1">
      <c r="A35" s="134"/>
      <c r="B35" s="135"/>
      <c r="C35" s="1048" t="s">
        <v>142</v>
      </c>
      <c r="D35" s="1048"/>
      <c r="E35" s="1048"/>
      <c r="F35" s="1048"/>
      <c r="G35" s="1048"/>
      <c r="H35" s="1049"/>
      <c r="I35" s="134"/>
      <c r="J35" s="135"/>
      <c r="K35" s="1048" t="s">
        <v>143</v>
      </c>
      <c r="L35" s="1048"/>
      <c r="M35" s="1049"/>
    </row>
    <row r="36" spans="1:13" ht="12.75" customHeight="1">
      <c r="A36" s="1034" t="s">
        <v>144</v>
      </c>
      <c r="B36" s="1035"/>
      <c r="C36" s="1019"/>
      <c r="D36" s="1019"/>
      <c r="E36" s="1019"/>
      <c r="F36" s="1019"/>
      <c r="G36" s="1019"/>
      <c r="H36" s="1020"/>
      <c r="I36" s="1034" t="s">
        <v>144</v>
      </c>
      <c r="J36" s="1035"/>
      <c r="K36" s="116"/>
      <c r="L36" s="116"/>
      <c r="M36" s="131"/>
    </row>
    <row r="37" spans="1:13" ht="9.75" customHeight="1">
      <c r="A37" s="136"/>
      <c r="B37" s="106"/>
      <c r="C37" s="106"/>
      <c r="D37" s="106"/>
      <c r="E37" s="106"/>
      <c r="F37" s="106"/>
      <c r="G37" s="106"/>
      <c r="H37" s="137"/>
      <c r="I37" s="124"/>
      <c r="J37" s="124"/>
      <c r="K37" s="124"/>
      <c r="L37" s="124"/>
      <c r="M37" s="163"/>
    </row>
    <row r="38" spans="1:13" ht="14.25">
      <c r="A38" s="138" t="s">
        <v>145</v>
      </c>
      <c r="B38" s="1075" t="s">
        <v>146</v>
      </c>
      <c r="C38" s="1076"/>
      <c r="D38" s="1076"/>
      <c r="E38" s="1076"/>
      <c r="F38" s="1076"/>
      <c r="G38" s="1076"/>
      <c r="H38" s="1076"/>
      <c r="I38" s="1076"/>
      <c r="J38" s="1076"/>
      <c r="K38" s="1076"/>
      <c r="L38" s="1076"/>
      <c r="M38" s="1077"/>
    </row>
    <row r="39" spans="1:13" ht="13.5" customHeight="1">
      <c r="A39" s="1078" t="s">
        <v>147</v>
      </c>
      <c r="B39" s="1076"/>
      <c r="C39" s="1076"/>
      <c r="D39" s="1076"/>
      <c r="E39" s="1076"/>
      <c r="F39" s="1076"/>
      <c r="G39" s="1077"/>
      <c r="H39" s="1078" t="s">
        <v>37</v>
      </c>
      <c r="I39" s="1076"/>
      <c r="J39" s="1076"/>
      <c r="K39" s="1076"/>
      <c r="L39" s="1076"/>
      <c r="M39" s="1077"/>
    </row>
    <row r="40" spans="1:13" ht="13.5" customHeight="1">
      <c r="A40" s="1059" t="s">
        <v>53</v>
      </c>
      <c r="B40" s="1061" t="s">
        <v>41</v>
      </c>
      <c r="C40" s="1062"/>
      <c r="D40" s="1062"/>
      <c r="E40" s="1065" t="s">
        <v>148</v>
      </c>
      <c r="F40" s="1066"/>
      <c r="G40" s="1067"/>
      <c r="H40" s="1082" t="s">
        <v>43</v>
      </c>
      <c r="I40" s="1046" t="s">
        <v>149</v>
      </c>
      <c r="J40" s="1047"/>
      <c r="K40" s="1082" t="s">
        <v>150</v>
      </c>
      <c r="L40" s="1079" t="s">
        <v>151</v>
      </c>
      <c r="M40" s="1039"/>
    </row>
    <row r="41" spans="1:13" ht="26.25" customHeight="1">
      <c r="A41" s="1059"/>
      <c r="B41" s="1061"/>
      <c r="C41" s="1062"/>
      <c r="D41" s="1062"/>
      <c r="E41" s="1065"/>
      <c r="F41" s="1066"/>
      <c r="G41" s="1067"/>
      <c r="H41" s="1082"/>
      <c r="I41" s="1046"/>
      <c r="J41" s="1047"/>
      <c r="K41" s="1082"/>
      <c r="L41" s="139" t="s">
        <v>43</v>
      </c>
      <c r="M41" s="164" t="s">
        <v>149</v>
      </c>
    </row>
    <row r="42" spans="1:13" ht="15.6" customHeight="1">
      <c r="A42" s="1060"/>
      <c r="B42" s="1063"/>
      <c r="C42" s="1064"/>
      <c r="D42" s="1064"/>
      <c r="E42" s="1068"/>
      <c r="F42" s="1069"/>
      <c r="G42" s="1070"/>
      <c r="H42" s="140" t="s">
        <v>152</v>
      </c>
      <c r="I42" s="1080" t="s">
        <v>153</v>
      </c>
      <c r="J42" s="1081"/>
      <c r="K42" s="140" t="s">
        <v>154</v>
      </c>
      <c r="L42" s="140" t="s">
        <v>155</v>
      </c>
      <c r="M42" s="165" t="s">
        <v>156</v>
      </c>
    </row>
    <row r="43" spans="1:13" ht="15" customHeight="1">
      <c r="A43" s="141"/>
      <c r="B43" s="1050" t="str">
        <f>D17</f>
        <v>WAGES -</v>
      </c>
      <c r="C43" s="1051"/>
      <c r="D43" s="1052"/>
      <c r="E43" s="1071"/>
      <c r="F43" s="1072"/>
      <c r="G43" s="1073"/>
      <c r="H43" s="142" t="e">
        <f>L24</f>
        <v>#REF!</v>
      </c>
      <c r="I43" s="1008"/>
      <c r="J43" s="1009"/>
      <c r="K43" s="166"/>
      <c r="L43" s="167"/>
      <c r="M43" s="168"/>
    </row>
    <row r="44" spans="1:13" ht="13.5" customHeight="1">
      <c r="A44" s="141"/>
      <c r="B44" s="1053" t="e">
        <f>F17</f>
        <v>#REF!</v>
      </c>
      <c r="C44" s="1054"/>
      <c r="D44" s="1055"/>
      <c r="E44" s="1024"/>
      <c r="F44" s="1033"/>
      <c r="G44" s="1074"/>
      <c r="H44" s="143"/>
      <c r="I44" s="169"/>
      <c r="J44" s="170"/>
      <c r="K44" s="171"/>
      <c r="L44" s="171"/>
      <c r="M44" s="172"/>
    </row>
    <row r="45" spans="1:13" ht="13.5" customHeight="1">
      <c r="A45" s="141"/>
      <c r="B45" s="144"/>
      <c r="C45" s="145"/>
      <c r="D45" s="146"/>
      <c r="E45" s="147"/>
      <c r="F45" s="148"/>
      <c r="G45" s="149"/>
      <c r="H45" s="150"/>
      <c r="I45" s="173"/>
      <c r="J45" s="170"/>
      <c r="K45" s="171"/>
      <c r="L45" s="171"/>
      <c r="M45" s="172"/>
    </row>
    <row r="46" spans="1:13" ht="13.5" customHeight="1">
      <c r="A46" s="141"/>
      <c r="B46" s="151"/>
      <c r="C46" s="116"/>
      <c r="D46" s="118"/>
      <c r="E46" s="1056"/>
      <c r="F46" s="1019"/>
      <c r="G46" s="1057"/>
      <c r="H46" s="143"/>
      <c r="I46" s="169"/>
      <c r="J46" s="174"/>
      <c r="K46" s="175"/>
      <c r="L46" s="175"/>
      <c r="M46" s="176"/>
    </row>
    <row r="47" spans="1:13" ht="13.5" customHeight="1">
      <c r="A47" s="141"/>
      <c r="B47" s="151"/>
      <c r="C47" s="116"/>
      <c r="D47" s="118"/>
      <c r="E47" s="115"/>
      <c r="F47" s="116"/>
      <c r="G47" s="118"/>
      <c r="H47" s="143"/>
      <c r="I47" s="169"/>
      <c r="J47" s="174"/>
      <c r="K47" s="175"/>
      <c r="L47" s="177"/>
      <c r="M47" s="176"/>
    </row>
    <row r="48" spans="1:13" ht="13.5" customHeight="1">
      <c r="A48" s="141"/>
      <c r="B48" s="151"/>
      <c r="C48" s="116"/>
      <c r="D48" s="118"/>
      <c r="E48" s="115"/>
      <c r="F48" s="116"/>
      <c r="G48" s="118"/>
      <c r="H48" s="143"/>
      <c r="I48" s="115"/>
      <c r="J48" s="118"/>
      <c r="K48" s="143"/>
      <c r="L48" s="143"/>
      <c r="M48" s="131"/>
    </row>
    <row r="49" spans="1:13" ht="13.5" customHeight="1">
      <c r="A49" s="141"/>
      <c r="B49" s="151"/>
      <c r="C49" s="116"/>
      <c r="D49" s="118"/>
      <c r="E49" s="115"/>
      <c r="F49" s="116"/>
      <c r="G49" s="118"/>
      <c r="H49" s="143"/>
      <c r="I49" s="115"/>
      <c r="J49" s="118"/>
      <c r="K49" s="143"/>
      <c r="L49" s="143"/>
      <c r="M49" s="131"/>
    </row>
    <row r="50" spans="1:13" ht="13.5" customHeight="1">
      <c r="A50" s="152"/>
      <c r="B50" s="153"/>
      <c r="C50" s="154"/>
      <c r="D50" s="155"/>
      <c r="E50" s="156"/>
      <c r="F50" s="154"/>
      <c r="G50" s="155"/>
      <c r="H50" s="157"/>
      <c r="I50" s="156"/>
      <c r="J50" s="155"/>
      <c r="K50" s="157"/>
      <c r="L50" s="157"/>
      <c r="M50" s="178"/>
    </row>
    <row r="51" spans="1:13" ht="1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</row>
  </sheetData>
  <mergeCells count="69">
    <mergeCell ref="A11:C12"/>
    <mergeCell ref="D11:M12"/>
    <mergeCell ref="A9:C10"/>
    <mergeCell ref="D9:M10"/>
    <mergeCell ref="B5:J6"/>
    <mergeCell ref="A7:C8"/>
    <mergeCell ref="D7:M8"/>
    <mergeCell ref="K5:M5"/>
    <mergeCell ref="K6:M6"/>
    <mergeCell ref="A13:C14"/>
    <mergeCell ref="D13:H14"/>
    <mergeCell ref="I13:J14"/>
    <mergeCell ref="L13:M14"/>
    <mergeCell ref="L16:M18"/>
    <mergeCell ref="L15:M15"/>
    <mergeCell ref="D17:E17"/>
    <mergeCell ref="F17:H17"/>
    <mergeCell ref="K13:K14"/>
    <mergeCell ref="B43:D43"/>
    <mergeCell ref="B44:D44"/>
    <mergeCell ref="E46:G46"/>
    <mergeCell ref="A25:A26"/>
    <mergeCell ref="A28:A29"/>
    <mergeCell ref="A40:A42"/>
    <mergeCell ref="B40:D42"/>
    <mergeCell ref="E40:G42"/>
    <mergeCell ref="E43:G44"/>
    <mergeCell ref="B38:M38"/>
    <mergeCell ref="A39:G39"/>
    <mergeCell ref="H39:M39"/>
    <mergeCell ref="L40:M40"/>
    <mergeCell ref="I42:J42"/>
    <mergeCell ref="H40:H41"/>
    <mergeCell ref="K40:K41"/>
    <mergeCell ref="I40:J41"/>
    <mergeCell ref="C35:H35"/>
    <mergeCell ref="K35:M35"/>
    <mergeCell ref="A36:B36"/>
    <mergeCell ref="C36:H36"/>
    <mergeCell ref="I36:J36"/>
    <mergeCell ref="A33:B33"/>
    <mergeCell ref="C33:H33"/>
    <mergeCell ref="I33:J33"/>
    <mergeCell ref="K33:M33"/>
    <mergeCell ref="A34:B34"/>
    <mergeCell ref="C34:H34"/>
    <mergeCell ref="I34:J34"/>
    <mergeCell ref="K34:M34"/>
    <mergeCell ref="A32:B32"/>
    <mergeCell ref="C32:H32"/>
    <mergeCell ref="I32:J32"/>
    <mergeCell ref="K32:M32"/>
    <mergeCell ref="I25:I26"/>
    <mergeCell ref="I43:J43"/>
    <mergeCell ref="A2:J2"/>
    <mergeCell ref="K2:M2"/>
    <mergeCell ref="B3:J3"/>
    <mergeCell ref="K3:M3"/>
    <mergeCell ref="A4:J4"/>
    <mergeCell ref="K4:M4"/>
    <mergeCell ref="L19:M19"/>
    <mergeCell ref="L20:M20"/>
    <mergeCell ref="L21:M21"/>
    <mergeCell ref="L22:M22"/>
    <mergeCell ref="L23:M23"/>
    <mergeCell ref="D24:H24"/>
    <mergeCell ref="L24:M24"/>
    <mergeCell ref="B26:C26"/>
    <mergeCell ref="D26:H26"/>
  </mergeCells>
  <printOptions horizontalCentered="1"/>
  <pageMargins left="0.25" right="0.25" top="0.75" bottom="0.75" header="0.3" footer="0.3"/>
  <pageSetup paperSize="14" scale="92" fitToHeight="0" orientation="portrait" r:id="rId1"/>
  <headerFooter>
    <oddFooter>&amp;L&amp;"Tahoma,Italic"&amp;8NIA-AlCat RV-AFS-FIN-INT-Form06Rev01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AL73"/>
  <sheetViews>
    <sheetView topLeftCell="A13" zoomScaleNormal="100" workbookViewId="0">
      <selection activeCell="A31" sqref="A31:R31"/>
    </sheetView>
  </sheetViews>
  <sheetFormatPr defaultColWidth="8.85546875" defaultRowHeight="12.75"/>
  <cols>
    <col min="1" max="2" width="2.7109375" style="4" customWidth="1"/>
    <col min="3" max="5" width="8.7109375" style="4" customWidth="1"/>
    <col min="6" max="13" width="3.7109375" style="4" customWidth="1"/>
    <col min="14" max="19" width="1.7109375" style="4" customWidth="1"/>
    <col min="20" max="28" width="3.28515625" style="4" customWidth="1"/>
    <col min="29" max="29" width="5.7109375" style="4" customWidth="1"/>
    <col min="30" max="33" width="2.85546875" style="4" customWidth="1"/>
    <col min="34" max="34" width="8.7109375" style="4" customWidth="1"/>
    <col min="35" max="35" width="0.140625" style="4" hidden="1" customWidth="1"/>
    <col min="36" max="16384" width="8.85546875" style="4"/>
  </cols>
  <sheetData>
    <row r="1" spans="1:35" ht="9.9499999999999993" customHeight="1">
      <c r="AC1" s="1138"/>
      <c r="AD1" s="1138"/>
      <c r="AE1" s="1138"/>
      <c r="AF1" s="1138"/>
      <c r="AG1" s="1138"/>
      <c r="AH1" s="1138"/>
    </row>
    <row r="2" spans="1:35" ht="21" customHeight="1">
      <c r="A2" s="1139" t="s">
        <v>117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140"/>
      <c r="S2" s="1140"/>
      <c r="T2" s="1140"/>
      <c r="U2" s="1140"/>
      <c r="V2" s="1140"/>
      <c r="W2" s="1140"/>
      <c r="X2" s="1140"/>
      <c r="Y2" s="1140"/>
      <c r="Z2" s="1140"/>
      <c r="AA2" s="1140"/>
      <c r="AB2" s="1141"/>
      <c r="AC2" s="1142" t="s">
        <v>157</v>
      </c>
      <c r="AD2" s="1143"/>
      <c r="AE2" s="1143"/>
      <c r="AF2" s="1143"/>
      <c r="AG2" s="1143"/>
      <c r="AH2" s="1144"/>
    </row>
    <row r="3" spans="1:35" ht="15.75" customHeight="1">
      <c r="A3" s="1145" t="s">
        <v>207</v>
      </c>
      <c r="B3" s="1146"/>
      <c r="C3" s="1146"/>
      <c r="D3" s="1146"/>
      <c r="E3" s="1146"/>
      <c r="F3" s="1146"/>
      <c r="G3" s="1146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7"/>
      <c r="AC3" s="1148"/>
      <c r="AD3" s="1149"/>
      <c r="AE3" s="1149"/>
      <c r="AF3" s="1149"/>
      <c r="AG3" s="1149"/>
      <c r="AH3" s="1150"/>
    </row>
    <row r="4" spans="1:35" ht="15" customHeight="1">
      <c r="A4" s="1162" t="s">
        <v>158</v>
      </c>
      <c r="B4" s="1163"/>
      <c r="C4" s="1164"/>
      <c r="D4" s="1164"/>
      <c r="E4" s="1164"/>
      <c r="F4" s="1164"/>
      <c r="G4" s="1164"/>
      <c r="H4" s="1164"/>
      <c r="I4" s="1164"/>
      <c r="J4" s="1164"/>
      <c r="K4" s="1164"/>
      <c r="L4" s="1164"/>
      <c r="M4" s="1164"/>
      <c r="N4" s="1164"/>
      <c r="O4" s="1164"/>
      <c r="P4" s="1164"/>
      <c r="Q4" s="1164"/>
      <c r="R4" s="1164"/>
      <c r="S4" s="1164"/>
      <c r="T4" s="1164"/>
      <c r="U4" s="1164"/>
      <c r="V4" s="1164"/>
      <c r="W4" s="1164"/>
      <c r="X4" s="1164"/>
      <c r="Y4" s="1164"/>
      <c r="Z4" s="1164"/>
      <c r="AA4" s="1164"/>
      <c r="AB4" s="1165"/>
      <c r="AC4" s="1151" t="s">
        <v>159</v>
      </c>
      <c r="AD4" s="1152"/>
      <c r="AE4" s="1152"/>
      <c r="AF4" s="1152"/>
      <c r="AG4" s="1152"/>
      <c r="AH4" s="1153"/>
    </row>
    <row r="5" spans="1:35" ht="15" customHeight="1">
      <c r="A5" s="1162"/>
      <c r="B5" s="1163"/>
      <c r="C5" s="1164"/>
      <c r="D5" s="1164"/>
      <c r="E5" s="1164"/>
      <c r="F5" s="1164"/>
      <c r="G5" s="1164"/>
      <c r="H5" s="1164"/>
      <c r="I5" s="1164"/>
      <c r="J5" s="1164"/>
      <c r="K5" s="1164"/>
      <c r="L5" s="1164"/>
      <c r="M5" s="1164"/>
      <c r="N5" s="1164"/>
      <c r="O5" s="1164"/>
      <c r="P5" s="1164"/>
      <c r="Q5" s="1164"/>
      <c r="R5" s="1164"/>
      <c r="S5" s="1164"/>
      <c r="T5" s="1164"/>
      <c r="U5" s="1164"/>
      <c r="V5" s="1164"/>
      <c r="W5" s="1164"/>
      <c r="X5" s="1164"/>
      <c r="Y5" s="1164"/>
      <c r="Z5" s="1164"/>
      <c r="AA5" s="1164"/>
      <c r="AB5" s="1165"/>
      <c r="AC5" s="1154" t="s">
        <v>160</v>
      </c>
      <c r="AD5" s="1155"/>
      <c r="AE5" s="1155"/>
      <c r="AF5" s="1155"/>
      <c r="AG5" s="1155"/>
      <c r="AH5" s="1156"/>
    </row>
    <row r="6" spans="1:35" ht="15" customHeight="1">
      <c r="A6" s="1166"/>
      <c r="B6" s="1167"/>
      <c r="C6" s="1167"/>
      <c r="D6" s="1167"/>
      <c r="E6" s="1167"/>
      <c r="F6" s="1167"/>
      <c r="G6" s="1167"/>
      <c r="H6" s="1167"/>
      <c r="I6" s="1167"/>
      <c r="J6" s="1167"/>
      <c r="K6" s="1167"/>
      <c r="L6" s="1167"/>
      <c r="M6" s="1167"/>
      <c r="N6" s="1167"/>
      <c r="O6" s="1167"/>
      <c r="P6" s="1167"/>
      <c r="Q6" s="1167"/>
      <c r="R6" s="1167"/>
      <c r="S6" s="1167"/>
      <c r="T6" s="1167"/>
      <c r="U6" s="1167"/>
      <c r="V6" s="1167"/>
      <c r="W6" s="1167"/>
      <c r="X6" s="1167"/>
      <c r="Y6" s="1167"/>
      <c r="Z6" s="1167"/>
      <c r="AA6" s="1167"/>
      <c r="AB6" s="1168"/>
      <c r="AC6" s="1157"/>
      <c r="AD6" s="1157"/>
      <c r="AE6" s="1157"/>
      <c r="AF6" s="1157"/>
      <c r="AG6" s="1157"/>
      <c r="AH6" s="1158"/>
    </row>
    <row r="7" spans="1:35" s="1" customFormat="1" ht="9.75" customHeight="1">
      <c r="A7" s="1188" t="s">
        <v>161</v>
      </c>
      <c r="B7" s="1189"/>
      <c r="C7" s="1189"/>
      <c r="D7" s="1190"/>
      <c r="E7" s="1159"/>
      <c r="F7" s="1160"/>
      <c r="G7" s="1160"/>
      <c r="H7" s="1160"/>
      <c r="I7" s="1160"/>
      <c r="J7" s="1160"/>
      <c r="K7" s="1160"/>
      <c r="L7" s="1160"/>
      <c r="M7" s="1160"/>
      <c r="N7" s="1160"/>
      <c r="O7" s="1160"/>
      <c r="P7" s="1160"/>
      <c r="Q7" s="1160"/>
      <c r="R7" s="1160"/>
      <c r="S7" s="1160"/>
      <c r="T7" s="1160"/>
      <c r="U7" s="1160"/>
      <c r="V7" s="1160"/>
      <c r="W7" s="1160"/>
      <c r="X7" s="1160"/>
      <c r="Y7" s="1160"/>
      <c r="Z7" s="1160"/>
      <c r="AA7" s="1160"/>
      <c r="AB7" s="1160"/>
      <c r="AC7" s="1160"/>
      <c r="AD7" s="1160"/>
      <c r="AE7" s="1160"/>
      <c r="AF7" s="1160"/>
      <c r="AG7" s="1160"/>
      <c r="AH7" s="1161"/>
      <c r="AI7" s="72"/>
    </row>
    <row r="8" spans="1:35" s="1" customFormat="1" ht="15">
      <c r="A8" s="1191"/>
      <c r="B8" s="1192"/>
      <c r="C8" s="1192"/>
      <c r="D8" s="1193"/>
      <c r="E8" s="5"/>
      <c r="F8" s="6"/>
      <c r="G8" s="7"/>
      <c r="H8" s="4" t="s">
        <v>162</v>
      </c>
      <c r="I8" s="4"/>
      <c r="J8" s="4"/>
      <c r="K8" s="4"/>
      <c r="L8" s="42"/>
      <c r="M8" s="43"/>
      <c r="N8" s="4" t="s">
        <v>163</v>
      </c>
      <c r="O8" s="6"/>
      <c r="P8" s="4"/>
      <c r="Q8" s="4"/>
      <c r="R8" s="4"/>
      <c r="S8" s="4"/>
      <c r="T8" s="7"/>
      <c r="U8" s="4" t="s">
        <v>164</v>
      </c>
      <c r="V8" s="6"/>
      <c r="W8" s="4"/>
      <c r="X8" s="7"/>
      <c r="Y8" s="4" t="s">
        <v>165</v>
      </c>
      <c r="Z8" s="4"/>
      <c r="AD8" s="4"/>
      <c r="AE8" s="4"/>
      <c r="AF8" s="6"/>
      <c r="AG8" s="6"/>
      <c r="AH8" s="62"/>
      <c r="AI8" s="72"/>
    </row>
    <row r="9" spans="1:35" s="1" customFormat="1" ht="14.25" customHeight="1">
      <c r="A9" s="1194"/>
      <c r="B9" s="1195"/>
      <c r="C9" s="1195"/>
      <c r="D9" s="1196"/>
      <c r="E9" s="8"/>
      <c r="F9" s="9"/>
      <c r="G9" s="9"/>
      <c r="H9" s="9"/>
      <c r="I9" s="44"/>
      <c r="J9" s="1169"/>
      <c r="K9" s="1169"/>
      <c r="L9" s="1169"/>
      <c r="M9" s="1169"/>
      <c r="N9" s="1169"/>
      <c r="O9" s="9"/>
      <c r="P9" s="1169"/>
      <c r="Q9" s="1169"/>
      <c r="R9" s="1169"/>
      <c r="S9" s="1169"/>
      <c r="T9" s="1169"/>
      <c r="U9" s="1169"/>
      <c r="V9" s="9"/>
      <c r="W9" s="9"/>
      <c r="X9" s="9"/>
      <c r="Y9" s="9"/>
      <c r="Z9" s="9"/>
      <c r="AA9" s="9"/>
      <c r="AB9" s="63" t="s">
        <v>166</v>
      </c>
      <c r="AC9" s="9"/>
      <c r="AD9" s="9"/>
      <c r="AE9" s="9"/>
      <c r="AF9" s="9"/>
      <c r="AG9" s="9"/>
      <c r="AH9" s="73"/>
      <c r="AI9" s="72"/>
    </row>
    <row r="10" spans="1:35" s="1" customFormat="1" ht="15.75" customHeight="1">
      <c r="A10" s="1188" t="s">
        <v>122</v>
      </c>
      <c r="B10" s="1189"/>
      <c r="C10" s="1189"/>
      <c r="D10" s="1190"/>
      <c r="E10" s="1197" t="s">
        <v>17</v>
      </c>
      <c r="F10" s="1198"/>
      <c r="G10" s="1198"/>
      <c r="H10" s="1198"/>
      <c r="I10" s="1198"/>
      <c r="J10" s="1198"/>
      <c r="K10" s="1198"/>
      <c r="L10" s="1198"/>
      <c r="M10" s="1198"/>
      <c r="N10" s="1198"/>
      <c r="O10" s="1198"/>
      <c r="P10" s="1198"/>
      <c r="Q10" s="1198"/>
      <c r="R10" s="1198"/>
      <c r="S10" s="1199"/>
      <c r="T10" s="1170" t="s">
        <v>167</v>
      </c>
      <c r="U10" s="1160"/>
      <c r="V10" s="1160"/>
      <c r="W10" s="1160"/>
      <c r="X10" s="1160"/>
      <c r="Y10" s="1160"/>
      <c r="Z10" s="1160"/>
      <c r="AA10" s="1160"/>
      <c r="AB10" s="1171"/>
      <c r="AC10" s="1172" t="s">
        <v>168</v>
      </c>
      <c r="AD10" s="1173"/>
      <c r="AE10" s="1173"/>
      <c r="AF10" s="1173"/>
      <c r="AG10" s="1173"/>
      <c r="AH10" s="1174"/>
      <c r="AI10" s="74"/>
    </row>
    <row r="11" spans="1:35" s="1" customFormat="1" ht="15.75" customHeight="1">
      <c r="A11" s="1191"/>
      <c r="B11" s="1192"/>
      <c r="C11" s="1192"/>
      <c r="D11" s="1193"/>
      <c r="E11" s="1200"/>
      <c r="F11" s="1201"/>
      <c r="G11" s="1201"/>
      <c r="H11" s="1201"/>
      <c r="I11" s="1201"/>
      <c r="J11" s="1201"/>
      <c r="K11" s="1201"/>
      <c r="L11" s="1201"/>
      <c r="M11" s="1201"/>
      <c r="N11" s="1201"/>
      <c r="O11" s="1201"/>
      <c r="P11" s="1201"/>
      <c r="Q11" s="1201"/>
      <c r="R11" s="1201"/>
      <c r="S11" s="1202"/>
      <c r="T11" s="1175"/>
      <c r="U11" s="1176"/>
      <c r="V11" s="1176"/>
      <c r="W11" s="1176"/>
      <c r="X11" s="1176"/>
      <c r="Y11" s="1176"/>
      <c r="Z11" s="1176"/>
      <c r="AA11" s="1176"/>
      <c r="AB11" s="1177"/>
      <c r="AC11" s="1178"/>
      <c r="AD11" s="1179"/>
      <c r="AE11" s="1179"/>
      <c r="AF11" s="1179"/>
      <c r="AG11" s="1179"/>
      <c r="AH11" s="1180"/>
      <c r="AI11" s="72"/>
    </row>
    <row r="12" spans="1:35" s="1" customFormat="1" ht="15.75" customHeight="1">
      <c r="A12" s="1300" t="s">
        <v>124</v>
      </c>
      <c r="B12" s="1301"/>
      <c r="C12" s="1301"/>
      <c r="D12" s="1302"/>
      <c r="E12" s="1306"/>
      <c r="F12" s="1307"/>
      <c r="G12" s="1307"/>
      <c r="H12" s="1307"/>
      <c r="I12" s="1307"/>
      <c r="J12" s="1307"/>
      <c r="K12" s="1307"/>
      <c r="L12" s="1307"/>
      <c r="M12" s="1307"/>
      <c r="N12" s="1307"/>
      <c r="O12" s="1307"/>
      <c r="P12" s="1307"/>
      <c r="Q12" s="1307"/>
      <c r="R12" s="1307"/>
      <c r="S12" s="1307"/>
      <c r="T12" s="1307"/>
      <c r="U12" s="1307"/>
      <c r="V12" s="1307"/>
      <c r="W12" s="1307"/>
      <c r="X12" s="1307"/>
      <c r="Y12" s="1307"/>
      <c r="Z12" s="1307"/>
      <c r="AA12" s="1307"/>
      <c r="AB12" s="1307"/>
      <c r="AC12" s="1307"/>
      <c r="AD12" s="1307"/>
      <c r="AE12" s="1307"/>
      <c r="AF12" s="1307"/>
      <c r="AG12" s="1307"/>
      <c r="AH12" s="1308"/>
      <c r="AI12" s="72"/>
    </row>
    <row r="13" spans="1:35" s="1" customFormat="1" ht="15.75" customHeight="1">
      <c r="A13" s="1303"/>
      <c r="B13" s="1304"/>
      <c r="C13" s="1304"/>
      <c r="D13" s="1305"/>
      <c r="E13" s="1309"/>
      <c r="F13" s="1310"/>
      <c r="G13" s="1310"/>
      <c r="H13" s="1310"/>
      <c r="I13" s="1310"/>
      <c r="J13" s="1310"/>
      <c r="K13" s="1310"/>
      <c r="L13" s="1310"/>
      <c r="M13" s="1310"/>
      <c r="N13" s="1310"/>
      <c r="O13" s="1310"/>
      <c r="P13" s="1310"/>
      <c r="Q13" s="1310"/>
      <c r="R13" s="1310"/>
      <c r="S13" s="1310"/>
      <c r="T13" s="1310"/>
      <c r="U13" s="1310"/>
      <c r="V13" s="1310"/>
      <c r="W13" s="1310"/>
      <c r="X13" s="1310"/>
      <c r="Y13" s="1310"/>
      <c r="Z13" s="1310"/>
      <c r="AA13" s="1310"/>
      <c r="AB13" s="1310"/>
      <c r="AC13" s="1310"/>
      <c r="AD13" s="1310"/>
      <c r="AE13" s="1310"/>
      <c r="AF13" s="1310"/>
      <c r="AG13" s="1310"/>
      <c r="AH13" s="1311"/>
      <c r="AI13" s="75"/>
    </row>
    <row r="14" spans="1:35" s="2" customFormat="1" ht="28.15" customHeight="1">
      <c r="A14" s="1181" t="s">
        <v>41</v>
      </c>
      <c r="B14" s="1182"/>
      <c r="C14" s="1182"/>
      <c r="D14" s="1182"/>
      <c r="E14" s="1182"/>
      <c r="F14" s="1182"/>
      <c r="G14" s="1182"/>
      <c r="H14" s="1182"/>
      <c r="I14" s="1182"/>
      <c r="J14" s="1182"/>
      <c r="K14" s="1182"/>
      <c r="L14" s="1182"/>
      <c r="M14" s="1182"/>
      <c r="N14" s="1182"/>
      <c r="O14" s="1182"/>
      <c r="P14" s="1182"/>
      <c r="Q14" s="1182"/>
      <c r="R14" s="1183"/>
      <c r="S14" s="1184" t="s">
        <v>125</v>
      </c>
      <c r="T14" s="1185"/>
      <c r="U14" s="1185"/>
      <c r="V14" s="1185"/>
      <c r="W14" s="1186"/>
      <c r="X14" s="1184" t="s">
        <v>169</v>
      </c>
      <c r="Y14" s="1182"/>
      <c r="Z14" s="1182"/>
      <c r="AA14" s="1182"/>
      <c r="AB14" s="1183"/>
      <c r="AC14" s="1184" t="s">
        <v>37</v>
      </c>
      <c r="AD14" s="1182"/>
      <c r="AE14" s="1182"/>
      <c r="AF14" s="1182"/>
      <c r="AG14" s="1182"/>
      <c r="AH14" s="1187"/>
      <c r="AI14" s="76"/>
    </row>
    <row r="15" spans="1:35" s="1" customFormat="1" ht="18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50"/>
      <c r="S15" s="1331"/>
      <c r="T15" s="1332"/>
      <c r="U15" s="1332"/>
      <c r="V15" s="1332"/>
      <c r="W15" s="1333"/>
      <c r="X15" s="1331"/>
      <c r="Y15" s="1332"/>
      <c r="Z15" s="1332"/>
      <c r="AA15" s="1332"/>
      <c r="AB15" s="1333"/>
      <c r="AC15" s="64"/>
      <c r="AD15" s="11"/>
      <c r="AE15" s="11"/>
      <c r="AF15" s="11"/>
      <c r="AG15" s="11"/>
      <c r="AH15" s="77"/>
      <c r="AI15" s="72"/>
    </row>
    <row r="16" spans="1:35" s="1" customFormat="1" ht="18" customHeight="1">
      <c r="A16" s="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1"/>
      <c r="S16" s="1334"/>
      <c r="T16" s="1233"/>
      <c r="U16" s="1233"/>
      <c r="V16" s="1233"/>
      <c r="W16" s="1335"/>
      <c r="X16" s="1334"/>
      <c r="Y16" s="1233"/>
      <c r="Z16" s="1233"/>
      <c r="AA16" s="1233"/>
      <c r="AB16" s="1335"/>
      <c r="AC16" s="5"/>
      <c r="AD16" s="6"/>
      <c r="AE16" s="6"/>
      <c r="AF16" s="6"/>
      <c r="AG16" s="6"/>
      <c r="AH16" s="62"/>
      <c r="AI16" s="72"/>
    </row>
    <row r="17" spans="1:35" s="1" customFormat="1" ht="20.100000000000001" customHeight="1">
      <c r="A17" s="1312" t="s">
        <v>198</v>
      </c>
      <c r="B17" s="1313"/>
      <c r="C17" s="1313"/>
      <c r="D17" s="1313"/>
      <c r="E17" s="1313"/>
      <c r="F17" s="1313"/>
      <c r="G17" s="1313"/>
      <c r="H17" s="1313"/>
      <c r="I17" s="1313"/>
      <c r="J17" s="1313"/>
      <c r="K17" s="1313"/>
      <c r="L17" s="1313"/>
      <c r="M17" s="1313"/>
      <c r="N17" s="1313"/>
      <c r="O17" s="1313"/>
      <c r="P17" s="1313"/>
      <c r="Q17" s="1313"/>
      <c r="R17" s="1314"/>
      <c r="S17" s="1334"/>
      <c r="T17" s="1233"/>
      <c r="U17" s="1233"/>
      <c r="V17" s="1233"/>
      <c r="W17" s="1335"/>
      <c r="X17" s="1334"/>
      <c r="Y17" s="1233"/>
      <c r="Z17" s="1233"/>
      <c r="AA17" s="1233"/>
      <c r="AB17" s="1335"/>
      <c r="AC17" s="1297" t="e">
        <f>K28</f>
        <v>#REF!</v>
      </c>
      <c r="AD17" s="1204"/>
      <c r="AE17" s="1204"/>
      <c r="AF17" s="1204"/>
      <c r="AG17" s="1204"/>
      <c r="AH17" s="1298"/>
      <c r="AI17" s="72"/>
    </row>
    <row r="18" spans="1:35" s="1" customFormat="1" ht="20.100000000000001" customHeight="1">
      <c r="A18" s="1312"/>
      <c r="B18" s="1313"/>
      <c r="C18" s="1313"/>
      <c r="D18" s="1313"/>
      <c r="E18" s="1313"/>
      <c r="F18" s="1313"/>
      <c r="G18" s="1313"/>
      <c r="H18" s="1313"/>
      <c r="I18" s="1313"/>
      <c r="J18" s="1313"/>
      <c r="K18" s="1313"/>
      <c r="L18" s="1313"/>
      <c r="M18" s="1313"/>
      <c r="N18" s="1313"/>
      <c r="O18" s="1313"/>
      <c r="P18" s="1313"/>
      <c r="Q18" s="1313"/>
      <c r="R18" s="1314"/>
      <c r="S18" s="1334"/>
      <c r="T18" s="1233"/>
      <c r="U18" s="1233"/>
      <c r="V18" s="1233"/>
      <c r="W18" s="1335"/>
      <c r="X18" s="1334"/>
      <c r="Y18" s="1233"/>
      <c r="Z18" s="1233"/>
      <c r="AA18" s="1233"/>
      <c r="AB18" s="1335"/>
      <c r="AC18" s="1299"/>
      <c r="AD18" s="1204"/>
      <c r="AE18" s="1204"/>
      <c r="AF18" s="1204"/>
      <c r="AG18" s="1204"/>
      <c r="AH18" s="1298"/>
      <c r="AI18" s="72"/>
    </row>
    <row r="19" spans="1:35" s="1" customFormat="1" ht="18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52"/>
      <c r="S19" s="1334"/>
      <c r="T19" s="1233"/>
      <c r="U19" s="1233"/>
      <c r="V19" s="1233"/>
      <c r="W19" s="1335"/>
      <c r="X19" s="1334"/>
      <c r="Y19" s="1233"/>
      <c r="Z19" s="1233"/>
      <c r="AA19" s="1233"/>
      <c r="AB19" s="1335"/>
      <c r="AC19" s="65"/>
      <c r="AD19" s="14"/>
      <c r="AE19" s="14"/>
      <c r="AF19" s="14"/>
      <c r="AG19" s="14"/>
      <c r="AH19" s="78"/>
      <c r="AI19" s="72"/>
    </row>
    <row r="20" spans="1:35" s="1" customFormat="1" ht="18" customHeight="1">
      <c r="A20" s="13"/>
      <c r="B20" s="14"/>
      <c r="C20" s="14"/>
      <c r="D20" s="14"/>
      <c r="E20" s="14"/>
      <c r="F20" s="1203"/>
      <c r="G20" s="1203"/>
      <c r="H20" s="1203"/>
      <c r="K20" s="1204" t="s">
        <v>37</v>
      </c>
      <c r="L20" s="1204"/>
      <c r="M20" s="1204"/>
      <c r="N20" s="45"/>
      <c r="O20" s="1205"/>
      <c r="P20" s="1205"/>
      <c r="Q20" s="1205"/>
      <c r="R20" s="52"/>
      <c r="S20" s="1334"/>
      <c r="T20" s="1233"/>
      <c r="U20" s="1233"/>
      <c r="V20" s="1233"/>
      <c r="W20" s="1335"/>
      <c r="X20" s="1334"/>
      <c r="Y20" s="1233"/>
      <c r="Z20" s="1233"/>
      <c r="AA20" s="1233"/>
      <c r="AB20" s="1335"/>
      <c r="AC20" s="65"/>
      <c r="AD20" s="14"/>
      <c r="AE20" s="14"/>
      <c r="AF20" s="14"/>
      <c r="AG20" s="14"/>
      <c r="AH20" s="78"/>
      <c r="AI20" s="72"/>
    </row>
    <row r="21" spans="1:35" s="1" customFormat="1" ht="18" customHeight="1">
      <c r="A21" s="13"/>
      <c r="B21" s="14"/>
      <c r="C21" s="16">
        <v>1</v>
      </c>
      <c r="D21" s="1206" t="e">
        <f>#REF!</f>
        <v>#REF!</v>
      </c>
      <c r="E21" s="1206"/>
      <c r="F21" s="1206"/>
      <c r="G21" s="1206"/>
      <c r="H21" s="1206"/>
      <c r="I21" s="1206"/>
      <c r="K21" s="1212" t="e">
        <f>#REF!</f>
        <v>#REF!</v>
      </c>
      <c r="L21" s="1212"/>
      <c r="M21" s="1212"/>
      <c r="N21" s="45"/>
      <c r="O21" s="321"/>
      <c r="P21" s="321"/>
      <c r="Q21" s="321"/>
      <c r="R21" s="52"/>
      <c r="S21" s="1334"/>
      <c r="T21" s="1233"/>
      <c r="U21" s="1233"/>
      <c r="V21" s="1233"/>
      <c r="W21" s="1335"/>
      <c r="X21" s="1334"/>
      <c r="Y21" s="1233"/>
      <c r="Z21" s="1233"/>
      <c r="AA21" s="1233"/>
      <c r="AB21" s="1335"/>
      <c r="AC21" s="65"/>
      <c r="AD21" s="14"/>
      <c r="AE21" s="14"/>
      <c r="AF21" s="14"/>
      <c r="AG21" s="14"/>
      <c r="AH21" s="78"/>
      <c r="AI21" s="72"/>
    </row>
    <row r="22" spans="1:35" s="3" customFormat="1" ht="20.100000000000001" customHeight="1">
      <c r="A22" s="15"/>
      <c r="C22" s="16">
        <v>2</v>
      </c>
      <c r="D22" s="1206" t="e">
        <f>#REF!</f>
        <v>#REF!</v>
      </c>
      <c r="E22" s="1206"/>
      <c r="F22" s="1206"/>
      <c r="G22" s="1206"/>
      <c r="H22" s="1207"/>
      <c r="I22" s="1207"/>
      <c r="K22" s="1208" t="e">
        <f>#REF!</f>
        <v>#REF!</v>
      </c>
      <c r="L22" s="1209"/>
      <c r="M22" s="1209"/>
      <c r="N22" s="46"/>
      <c r="O22" s="1210"/>
      <c r="P22" s="1211"/>
      <c r="Q22" s="1211"/>
      <c r="R22" s="53"/>
      <c r="S22" s="1334"/>
      <c r="T22" s="1233"/>
      <c r="U22" s="1233"/>
      <c r="V22" s="1233"/>
      <c r="W22" s="1335"/>
      <c r="X22" s="1334"/>
      <c r="Y22" s="1233"/>
      <c r="Z22" s="1233"/>
      <c r="AA22" s="1233"/>
      <c r="AB22" s="1335"/>
      <c r="AC22" s="66"/>
      <c r="AD22" s="67"/>
      <c r="AE22" s="67"/>
      <c r="AF22" s="67"/>
      <c r="AG22" s="67"/>
      <c r="AH22" s="79"/>
      <c r="AI22" s="80"/>
    </row>
    <row r="23" spans="1:35" s="3" customFormat="1" ht="20.100000000000001" customHeight="1">
      <c r="A23" s="15"/>
      <c r="C23" s="16">
        <v>3</v>
      </c>
      <c r="D23" s="1206" t="e">
        <f>#REF!</f>
        <v>#REF!</v>
      </c>
      <c r="E23" s="1206"/>
      <c r="F23" s="1206"/>
      <c r="G23" s="1206"/>
      <c r="H23" s="1207"/>
      <c r="I23" s="1207"/>
      <c r="K23" s="1208" t="e">
        <f>#REF!</f>
        <v>#REF!</v>
      </c>
      <c r="L23" s="1209"/>
      <c r="M23" s="1209"/>
      <c r="N23" s="46"/>
      <c r="O23" s="1210"/>
      <c r="P23" s="1211"/>
      <c r="Q23" s="1211"/>
      <c r="R23" s="53"/>
      <c r="S23" s="1334"/>
      <c r="T23" s="1233"/>
      <c r="U23" s="1233"/>
      <c r="V23" s="1233"/>
      <c r="W23" s="1335"/>
      <c r="X23" s="1334"/>
      <c r="Y23" s="1233"/>
      <c r="Z23" s="1233"/>
      <c r="AA23" s="1233"/>
      <c r="AB23" s="1335"/>
      <c r="AC23" s="66"/>
      <c r="AD23" s="67"/>
      <c r="AE23" s="67"/>
      <c r="AF23" s="67"/>
      <c r="AG23" s="67"/>
      <c r="AH23" s="79"/>
      <c r="AI23" s="80"/>
    </row>
    <row r="24" spans="1:35" s="3" customFormat="1" ht="20.100000000000001" customHeight="1">
      <c r="A24" s="15"/>
      <c r="C24" s="16">
        <v>4</v>
      </c>
      <c r="D24" s="1206" t="e">
        <f>#REF!</f>
        <v>#REF!</v>
      </c>
      <c r="E24" s="1206"/>
      <c r="F24" s="1206"/>
      <c r="G24" s="1206"/>
      <c r="H24" s="1207"/>
      <c r="I24" s="1207"/>
      <c r="K24" s="1208" t="e">
        <f>#REF!</f>
        <v>#REF!</v>
      </c>
      <c r="L24" s="1209"/>
      <c r="M24" s="1209"/>
      <c r="N24" s="46"/>
      <c r="O24" s="1210"/>
      <c r="P24" s="1211"/>
      <c r="Q24" s="1211"/>
      <c r="R24" s="53"/>
      <c r="S24" s="1334"/>
      <c r="T24" s="1233"/>
      <c r="U24" s="1233"/>
      <c r="V24" s="1233"/>
      <c r="W24" s="1335"/>
      <c r="X24" s="1334"/>
      <c r="Y24" s="1233"/>
      <c r="Z24" s="1233"/>
      <c r="AA24" s="1233"/>
      <c r="AB24" s="1335"/>
      <c r="AC24" s="66"/>
      <c r="AD24" s="67"/>
      <c r="AE24" s="67"/>
      <c r="AF24" s="67"/>
      <c r="AG24" s="67"/>
      <c r="AH24" s="79"/>
      <c r="AI24" s="80"/>
    </row>
    <row r="25" spans="1:35" s="3" customFormat="1" ht="20.100000000000001" customHeight="1">
      <c r="A25" s="15"/>
      <c r="C25" s="16">
        <v>5</v>
      </c>
      <c r="D25" s="1206" t="e">
        <f>#REF!</f>
        <v>#REF!</v>
      </c>
      <c r="E25" s="1206"/>
      <c r="F25" s="1206"/>
      <c r="G25" s="1206"/>
      <c r="H25" s="1207"/>
      <c r="I25" s="1207"/>
      <c r="K25" s="1208" t="e">
        <f>#REF!</f>
        <v>#REF!</v>
      </c>
      <c r="L25" s="1208"/>
      <c r="M25" s="1208"/>
      <c r="N25" s="46"/>
      <c r="O25" s="47"/>
      <c r="P25" s="16"/>
      <c r="Q25" s="16"/>
      <c r="R25" s="53"/>
      <c r="S25" s="1334"/>
      <c r="T25" s="1233"/>
      <c r="U25" s="1233"/>
      <c r="V25" s="1233"/>
      <c r="W25" s="1335"/>
      <c r="X25" s="1334"/>
      <c r="Y25" s="1233"/>
      <c r="Z25" s="1233"/>
      <c r="AA25" s="1233"/>
      <c r="AB25" s="1335"/>
      <c r="AC25" s="66"/>
      <c r="AD25" s="67"/>
      <c r="AE25" s="67"/>
      <c r="AF25" s="67"/>
      <c r="AG25" s="67"/>
      <c r="AH25" s="79"/>
      <c r="AI25" s="80"/>
    </row>
    <row r="26" spans="1:35" s="3" customFormat="1" ht="20.100000000000001" customHeight="1">
      <c r="A26" s="17"/>
      <c r="C26" s="16">
        <v>6</v>
      </c>
      <c r="D26" s="1206" t="e">
        <f>#REF!</f>
        <v>#REF!</v>
      </c>
      <c r="E26" s="1206"/>
      <c r="F26" s="1206"/>
      <c r="G26" s="1206"/>
      <c r="H26" s="1207"/>
      <c r="I26" s="1207"/>
      <c r="K26" s="1208" t="e">
        <f>#REF!</f>
        <v>#REF!</v>
      </c>
      <c r="L26" s="1209"/>
      <c r="M26" s="1209"/>
      <c r="N26" s="46"/>
      <c r="O26" s="1213"/>
      <c r="P26" s="1214"/>
      <c r="Q26" s="1214"/>
      <c r="R26" s="54"/>
      <c r="S26" s="1334"/>
      <c r="T26" s="1233"/>
      <c r="U26" s="1233"/>
      <c r="V26" s="1233"/>
      <c r="W26" s="1335"/>
      <c r="X26" s="1334"/>
      <c r="Y26" s="1233"/>
      <c r="Z26" s="1233"/>
      <c r="AA26" s="1233"/>
      <c r="AB26" s="1335"/>
      <c r="AC26" s="66"/>
      <c r="AD26" s="67"/>
      <c r="AE26" s="67"/>
      <c r="AF26" s="67"/>
      <c r="AG26" s="67"/>
      <c r="AH26" s="79"/>
      <c r="AI26" s="80"/>
    </row>
    <row r="27" spans="1:35" s="3" customFormat="1" ht="20.100000000000001" customHeight="1">
      <c r="A27" s="17"/>
      <c r="C27" s="16">
        <v>7</v>
      </c>
      <c r="D27" s="1206" t="e">
        <f>#REF!</f>
        <v>#REF!</v>
      </c>
      <c r="E27" s="1206"/>
      <c r="F27" s="1206"/>
      <c r="G27" s="1206"/>
      <c r="H27" s="1207"/>
      <c r="I27" s="1207"/>
      <c r="K27" s="1208" t="e">
        <f>#REF!</f>
        <v>#REF!</v>
      </c>
      <c r="L27" s="1209"/>
      <c r="M27" s="1209"/>
      <c r="N27" s="46"/>
      <c r="O27" s="48"/>
      <c r="P27" s="19"/>
      <c r="Q27" s="19"/>
      <c r="R27" s="54"/>
      <c r="S27" s="1334"/>
      <c r="T27" s="1233"/>
      <c r="U27" s="1233"/>
      <c r="V27" s="1233"/>
      <c r="W27" s="1335"/>
      <c r="X27" s="1334"/>
      <c r="Y27" s="1233"/>
      <c r="Z27" s="1233"/>
      <c r="AA27" s="1233"/>
      <c r="AB27" s="1335"/>
      <c r="AC27" s="66"/>
      <c r="AD27" s="67"/>
      <c r="AE27" s="67"/>
      <c r="AF27" s="67"/>
      <c r="AG27" s="67"/>
      <c r="AH27" s="79"/>
      <c r="AI27" s="80"/>
    </row>
    <row r="28" spans="1:35" s="3" customFormat="1" ht="20.100000000000001" customHeight="1">
      <c r="A28" s="17"/>
      <c r="B28" s="18"/>
      <c r="C28" s="1214" t="s">
        <v>170</v>
      </c>
      <c r="D28" s="1214"/>
      <c r="E28" s="1214"/>
      <c r="F28" s="1214"/>
      <c r="G28" s="1214"/>
      <c r="H28" s="1214"/>
      <c r="I28" s="1214"/>
      <c r="K28" s="1215" t="e">
        <f>#REF!</f>
        <v>#REF!</v>
      </c>
      <c r="L28" s="1209"/>
      <c r="M28" s="1209"/>
      <c r="N28" s="49"/>
      <c r="O28" s="1216"/>
      <c r="P28" s="1217"/>
      <c r="Q28" s="1217"/>
      <c r="R28" s="54"/>
      <c r="S28" s="1334"/>
      <c r="T28" s="1233"/>
      <c r="U28" s="1233"/>
      <c r="V28" s="1233"/>
      <c r="W28" s="1335"/>
      <c r="X28" s="1334"/>
      <c r="Y28" s="1233"/>
      <c r="Z28" s="1233"/>
      <c r="AA28" s="1233"/>
      <c r="AB28" s="1335"/>
      <c r="AC28" s="66"/>
      <c r="AD28" s="67"/>
      <c r="AE28" s="67"/>
      <c r="AF28" s="67"/>
      <c r="AG28" s="67"/>
      <c r="AH28" s="79"/>
      <c r="AI28" s="80"/>
    </row>
    <row r="29" spans="1:35" s="3" customFormat="1" ht="18" customHeight="1">
      <c r="A29" s="17"/>
      <c r="B29" s="18"/>
      <c r="C29" s="1218"/>
      <c r="D29" s="1218"/>
      <c r="E29" s="1218"/>
      <c r="F29" s="1219"/>
      <c r="G29" s="1219"/>
      <c r="H29" s="1219"/>
      <c r="I29" s="1219"/>
      <c r="J29" s="1219"/>
      <c r="K29" s="1219"/>
      <c r="L29" s="1219"/>
      <c r="M29" s="1219"/>
      <c r="N29" s="1219"/>
      <c r="O29" s="1216"/>
      <c r="P29" s="1217"/>
      <c r="Q29" s="1217"/>
      <c r="R29" s="54"/>
      <c r="S29" s="1334"/>
      <c r="T29" s="1233"/>
      <c r="U29" s="1233"/>
      <c r="V29" s="1233"/>
      <c r="W29" s="1335"/>
      <c r="X29" s="1334"/>
      <c r="Y29" s="1233"/>
      <c r="Z29" s="1233"/>
      <c r="AA29" s="1233"/>
      <c r="AB29" s="1335"/>
      <c r="AC29" s="66"/>
      <c r="AD29" s="67"/>
      <c r="AE29" s="67"/>
      <c r="AF29" s="67"/>
      <c r="AG29" s="67"/>
      <c r="AH29" s="79"/>
      <c r="AI29" s="80"/>
    </row>
    <row r="30" spans="1:35" s="3" customFormat="1" ht="18" customHeight="1">
      <c r="A30" s="17"/>
      <c r="B30" s="18"/>
      <c r="C30" s="20"/>
      <c r="D30" s="20"/>
      <c r="E30" s="20"/>
      <c r="F30" s="1220"/>
      <c r="G30" s="1220"/>
      <c r="H30" s="1220"/>
      <c r="I30" s="1220"/>
      <c r="J30" s="1220"/>
      <c r="K30" s="1220"/>
      <c r="L30" s="1220"/>
      <c r="M30" s="1220"/>
      <c r="N30" s="1220"/>
      <c r="O30" s="1213"/>
      <c r="P30" s="1214"/>
      <c r="Q30" s="1214"/>
      <c r="R30" s="54"/>
      <c r="S30" s="1334"/>
      <c r="T30" s="1233"/>
      <c r="U30" s="1233"/>
      <c r="V30" s="1233"/>
      <c r="W30" s="1335"/>
      <c r="X30" s="1334"/>
      <c r="Y30" s="1233"/>
      <c r="Z30" s="1233"/>
      <c r="AA30" s="1233"/>
      <c r="AB30" s="1335"/>
      <c r="AC30" s="66"/>
      <c r="AD30" s="67"/>
      <c r="AE30" s="67"/>
      <c r="AF30" s="67"/>
      <c r="AG30" s="67"/>
      <c r="AH30" s="79"/>
      <c r="AI30" s="80"/>
    </row>
    <row r="31" spans="1:35" s="1" customFormat="1" ht="18" customHeight="1">
      <c r="A31" s="1221" t="s">
        <v>171</v>
      </c>
      <c r="B31" s="1222"/>
      <c r="C31" s="1223"/>
      <c r="D31" s="1223"/>
      <c r="E31" s="1223"/>
      <c r="F31" s="1223"/>
      <c r="G31" s="1223"/>
      <c r="H31" s="1223"/>
      <c r="I31" s="1223"/>
      <c r="J31" s="1223"/>
      <c r="K31" s="1223"/>
      <c r="L31" s="1223"/>
      <c r="M31" s="1223"/>
      <c r="N31" s="1223"/>
      <c r="O31" s="1223"/>
      <c r="P31" s="1223"/>
      <c r="Q31" s="1223"/>
      <c r="R31" s="1224"/>
      <c r="S31" s="55"/>
      <c r="T31" s="56"/>
      <c r="U31" s="56"/>
      <c r="V31" s="56"/>
      <c r="W31" s="57"/>
      <c r="X31" s="55"/>
      <c r="Y31" s="56"/>
      <c r="Z31" s="56"/>
      <c r="AA31" s="56"/>
      <c r="AB31" s="57"/>
      <c r="AC31" s="1225" t="e">
        <f>AC17</f>
        <v>#REF!</v>
      </c>
      <c r="AD31" s="1226"/>
      <c r="AE31" s="1226"/>
      <c r="AF31" s="1226"/>
      <c r="AG31" s="1226"/>
      <c r="AH31" s="1227"/>
      <c r="AI31" s="72"/>
    </row>
    <row r="32" spans="1:35" s="1" customFormat="1" ht="13.9" customHeight="1">
      <c r="A32" s="21" t="s">
        <v>131</v>
      </c>
      <c r="B32" s="22"/>
      <c r="C32" s="1228" t="s">
        <v>172</v>
      </c>
      <c r="D32" s="1228"/>
      <c r="E32" s="1228"/>
      <c r="F32" s="1228"/>
      <c r="G32" s="1228"/>
      <c r="H32" s="1228"/>
      <c r="I32" s="1228"/>
      <c r="J32" s="1228"/>
      <c r="K32" s="1228"/>
      <c r="L32" s="1228"/>
      <c r="M32" s="1228"/>
      <c r="N32" s="1228"/>
      <c r="O32" s="1228"/>
      <c r="P32" s="1228"/>
      <c r="Q32" s="1228"/>
      <c r="R32" s="1228"/>
      <c r="S32" s="1229"/>
      <c r="T32" s="1229"/>
      <c r="U32" s="1229"/>
      <c r="V32" s="1229"/>
      <c r="W32" s="1229"/>
      <c r="X32" s="1229"/>
      <c r="Y32" s="1229"/>
      <c r="Z32" s="1229"/>
      <c r="AA32" s="1229"/>
      <c r="AB32" s="1229"/>
      <c r="AC32" s="1228"/>
      <c r="AD32" s="1228"/>
      <c r="AE32" s="1228"/>
      <c r="AF32" s="1228"/>
      <c r="AG32" s="1228"/>
      <c r="AH32" s="1230"/>
      <c r="AI32" s="72"/>
    </row>
    <row r="33" spans="1:35" s="1" customFormat="1" ht="13.9" customHeight="1">
      <c r="A33" s="2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81"/>
      <c r="AI33" s="72"/>
    </row>
    <row r="34" spans="1:35" s="1" customFormat="1" ht="20.100000000000001" customHeight="1">
      <c r="A34" s="25"/>
      <c r="B34" s="26"/>
      <c r="C34" s="26"/>
      <c r="D34" s="26"/>
      <c r="E34" s="6" t="s">
        <v>173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6"/>
      <c r="T34" s="26"/>
      <c r="U34" s="43"/>
      <c r="V34" s="43"/>
      <c r="W34" s="43"/>
      <c r="X34" s="43"/>
      <c r="Y34" s="43"/>
      <c r="Z34" s="4"/>
      <c r="AA34" s="43"/>
      <c r="AB34" s="43"/>
      <c r="AC34" s="68"/>
      <c r="AD34" s="69"/>
      <c r="AE34" s="69"/>
      <c r="AF34" s="69"/>
      <c r="AG34" s="69"/>
      <c r="AH34" s="82"/>
      <c r="AI34" s="72"/>
    </row>
    <row r="35" spans="1:35" s="1" customFormat="1" ht="18" customHeight="1">
      <c r="A35" s="25"/>
      <c r="B35" s="26"/>
      <c r="C35" s="1204" t="e">
        <f>'BUR - Gross-D&amp;6'!C33:H33</f>
        <v>#REF!</v>
      </c>
      <c r="D35" s="1211"/>
      <c r="E35" s="1211"/>
      <c r="F35" s="1211"/>
      <c r="G35" s="1211"/>
      <c r="H35" s="1211"/>
      <c r="I35" s="1211"/>
      <c r="J35" s="1211"/>
      <c r="K35" s="1211"/>
      <c r="L35" s="1211"/>
      <c r="M35" s="1211"/>
      <c r="N35" s="1211"/>
      <c r="O35" s="1211"/>
      <c r="P35" s="1211"/>
      <c r="Q35" s="1211"/>
      <c r="R35" s="1211"/>
      <c r="S35" s="1211"/>
      <c r="T35" s="1211"/>
      <c r="U35" s="1211"/>
      <c r="V35" s="1211"/>
      <c r="W35" s="1211"/>
      <c r="X35" s="1211"/>
      <c r="Y35" s="1211"/>
      <c r="Z35" s="1211"/>
      <c r="AA35" s="1211"/>
      <c r="AB35" s="1211"/>
      <c r="AC35" s="1211"/>
      <c r="AD35" s="1211"/>
      <c r="AE35" s="1211"/>
      <c r="AF35" s="1211"/>
      <c r="AG35" s="1211"/>
      <c r="AH35" s="82"/>
      <c r="AI35" s="72"/>
    </row>
    <row r="36" spans="1:35" s="1" customFormat="1" ht="15" customHeight="1">
      <c r="A36" s="25"/>
      <c r="B36" s="26"/>
      <c r="C36" s="1231" t="e">
        <f>'BUR - Gross-D&amp;6'!C34:H34</f>
        <v>#REF!</v>
      </c>
      <c r="D36" s="1231"/>
      <c r="E36" s="1231"/>
      <c r="F36" s="1231"/>
      <c r="G36" s="1231"/>
      <c r="H36" s="1231"/>
      <c r="I36" s="1231"/>
      <c r="J36" s="1231"/>
      <c r="K36" s="1231"/>
      <c r="L36" s="1231"/>
      <c r="M36" s="1231"/>
      <c r="N36" s="1231"/>
      <c r="O36" s="1231"/>
      <c r="P36" s="1231"/>
      <c r="Q36" s="1231"/>
      <c r="R36" s="1231"/>
      <c r="S36" s="1231"/>
      <c r="T36" s="1231"/>
      <c r="U36" s="1231"/>
      <c r="V36" s="1231"/>
      <c r="W36" s="1231"/>
      <c r="X36" s="1231"/>
      <c r="Y36" s="1231"/>
      <c r="Z36" s="1231"/>
      <c r="AA36" s="1231"/>
      <c r="AB36" s="1231"/>
      <c r="AC36" s="1231"/>
      <c r="AD36" s="1231"/>
      <c r="AE36" s="1231"/>
      <c r="AF36" s="1231"/>
      <c r="AG36" s="1231"/>
      <c r="AH36" s="82"/>
      <c r="AI36" s="72"/>
    </row>
    <row r="37" spans="1:35" s="3" customFormat="1" ht="12" customHeight="1">
      <c r="A37" s="27"/>
      <c r="B37" s="28"/>
      <c r="C37" s="1232" t="s">
        <v>174</v>
      </c>
      <c r="D37" s="1232"/>
      <c r="E37" s="1232"/>
      <c r="F37" s="1232"/>
      <c r="G37" s="1232"/>
      <c r="H37" s="1232"/>
      <c r="I37" s="1232"/>
      <c r="J37" s="1232"/>
      <c r="K37" s="1232"/>
      <c r="L37" s="1232"/>
      <c r="M37" s="1232"/>
      <c r="N37" s="1232"/>
      <c r="O37" s="1232"/>
      <c r="P37" s="1232"/>
      <c r="Q37" s="1232"/>
      <c r="R37" s="1232"/>
      <c r="S37" s="1232"/>
      <c r="T37" s="1232"/>
      <c r="U37" s="1232"/>
      <c r="V37" s="1232"/>
      <c r="W37" s="1232"/>
      <c r="X37" s="1232"/>
      <c r="Y37" s="1232"/>
      <c r="Z37" s="1232"/>
      <c r="AA37" s="1232"/>
      <c r="AB37" s="1232"/>
      <c r="AC37" s="1232"/>
      <c r="AD37" s="1232"/>
      <c r="AE37" s="1232"/>
      <c r="AF37" s="1232"/>
      <c r="AG37" s="1232"/>
      <c r="AH37" s="83"/>
      <c r="AI37" s="80"/>
    </row>
    <row r="38" spans="1:35" s="1" customFormat="1" ht="12" customHeight="1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1233"/>
      <c r="M38" s="1233"/>
      <c r="N38" s="1233"/>
      <c r="O38" s="1233"/>
      <c r="P38" s="1233"/>
      <c r="Q38" s="1233"/>
      <c r="R38" s="1233"/>
      <c r="S38" s="1233"/>
      <c r="T38" s="1233"/>
      <c r="U38" s="1233"/>
      <c r="V38" s="1233"/>
      <c r="W38" s="1233"/>
      <c r="X38" s="1233"/>
      <c r="Y38" s="1233"/>
      <c r="Z38" s="4"/>
      <c r="AA38" s="4"/>
      <c r="AB38" s="4"/>
      <c r="AC38" s="4"/>
      <c r="AD38" s="4"/>
      <c r="AE38" s="4"/>
      <c r="AF38" s="4"/>
      <c r="AG38" s="4"/>
      <c r="AH38" s="61"/>
      <c r="AI38" s="72"/>
    </row>
    <row r="39" spans="1:35" s="1" customFormat="1" ht="14.1" customHeight="1">
      <c r="A39" s="30" t="s">
        <v>132</v>
      </c>
      <c r="B39" s="31"/>
      <c r="C39" s="32" t="s">
        <v>175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84"/>
      <c r="AI39" s="72"/>
    </row>
    <row r="40" spans="1:35" s="1" customFormat="1" ht="12" customHeight="1">
      <c r="A40" s="1234" t="s">
        <v>176</v>
      </c>
      <c r="B40" s="1235"/>
      <c r="C40" s="1236"/>
      <c r="D40" s="1236"/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 t="s">
        <v>177</v>
      </c>
      <c r="U40" s="1236"/>
      <c r="V40" s="1236"/>
      <c r="W40" s="1236"/>
      <c r="X40" s="1236"/>
      <c r="Y40" s="1237" t="s">
        <v>178</v>
      </c>
      <c r="Z40" s="1237"/>
      <c r="AA40" s="1237"/>
      <c r="AB40" s="1237"/>
      <c r="AC40" s="1237"/>
      <c r="AD40" s="1238" t="s">
        <v>179</v>
      </c>
      <c r="AE40" s="1238"/>
      <c r="AF40" s="1238"/>
      <c r="AG40" s="1238"/>
      <c r="AH40" s="1239"/>
      <c r="AI40" s="72"/>
    </row>
    <row r="41" spans="1:35" s="1" customFormat="1" ht="15.75" customHeight="1">
      <c r="A41" s="33"/>
      <c r="B41" s="34"/>
      <c r="C41" s="34"/>
      <c r="D41" s="34"/>
      <c r="E41" s="6"/>
      <c r="F41" s="6"/>
      <c r="G41" s="6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6"/>
      <c r="S41" s="51"/>
      <c r="T41" s="1248"/>
      <c r="U41" s="1249"/>
      <c r="V41" s="1249"/>
      <c r="W41" s="1249"/>
      <c r="X41" s="1250"/>
      <c r="Y41" s="1251"/>
      <c r="Z41" s="1252"/>
      <c r="AA41" s="1252"/>
      <c r="AB41" s="1252"/>
      <c r="AC41" s="1253"/>
      <c r="AD41" s="43"/>
      <c r="AE41" s="43"/>
      <c r="AF41" s="43"/>
      <c r="AG41" s="43"/>
      <c r="AH41" s="85"/>
      <c r="AI41" s="72"/>
    </row>
    <row r="42" spans="1:35" s="1" customFormat="1" ht="15.75" customHeight="1">
      <c r="A42" s="36"/>
      <c r="B42" s="37"/>
      <c r="C42" s="37"/>
      <c r="D42" s="37"/>
      <c r="E42" s="37"/>
      <c r="F42" s="37"/>
      <c r="G42" s="6"/>
      <c r="H42" s="35"/>
      <c r="I42" s="35"/>
      <c r="J42" s="35"/>
      <c r="K42" s="35"/>
      <c r="L42" s="35"/>
      <c r="M42" s="35"/>
      <c r="N42" s="35"/>
      <c r="O42" s="35"/>
      <c r="P42" s="35"/>
      <c r="Q42" s="6"/>
      <c r="R42" s="6"/>
      <c r="S42" s="51"/>
      <c r="T42" s="1254"/>
      <c r="U42" s="1255"/>
      <c r="V42" s="1255"/>
      <c r="W42" s="1255"/>
      <c r="X42" s="1256"/>
      <c r="Y42" s="6"/>
      <c r="Z42" s="6"/>
      <c r="AA42" s="6"/>
      <c r="AB42" s="6"/>
      <c r="AC42" s="51"/>
      <c r="AD42" s="1254"/>
      <c r="AE42" s="1255"/>
      <c r="AF42" s="1255"/>
      <c r="AG42" s="1255"/>
      <c r="AH42" s="1257"/>
      <c r="AI42" s="72"/>
    </row>
    <row r="43" spans="1:35" s="1" customFormat="1" ht="15.75" customHeight="1">
      <c r="A43" s="36"/>
      <c r="B43" s="37"/>
      <c r="C43" s="37"/>
      <c r="D43" s="37"/>
      <c r="E43" s="37"/>
      <c r="F43" s="37"/>
      <c r="G43" s="6"/>
      <c r="H43" s="35"/>
      <c r="I43" s="35"/>
      <c r="J43" s="35"/>
      <c r="K43" s="35"/>
      <c r="L43" s="35"/>
      <c r="M43" s="35"/>
      <c r="N43" s="35"/>
      <c r="O43" s="35"/>
      <c r="P43" s="35"/>
      <c r="Q43" s="6"/>
      <c r="R43" s="6"/>
      <c r="S43" s="51"/>
      <c r="T43" s="58"/>
      <c r="U43" s="37"/>
      <c r="V43" s="37"/>
      <c r="W43" s="37"/>
      <c r="X43" s="59"/>
      <c r="Y43" s="6"/>
      <c r="Z43" s="6"/>
      <c r="AA43" s="6"/>
      <c r="AB43" s="6"/>
      <c r="AC43" s="51"/>
      <c r="AD43" s="37"/>
      <c r="AE43" s="37"/>
      <c r="AF43" s="37"/>
      <c r="AG43" s="37"/>
      <c r="AH43" s="86"/>
      <c r="AI43" s="72"/>
    </row>
    <row r="44" spans="1:35" s="1" customFormat="1" ht="15.75" customHeight="1">
      <c r="A44" s="36"/>
      <c r="B44" s="37"/>
      <c r="C44" s="37"/>
      <c r="D44" s="37"/>
      <c r="E44" s="37"/>
      <c r="F44" s="37"/>
      <c r="G44" s="6"/>
      <c r="H44" s="35"/>
      <c r="I44" s="35"/>
      <c r="J44" s="35"/>
      <c r="K44" s="35"/>
      <c r="L44" s="35"/>
      <c r="M44" s="35"/>
      <c r="N44" s="35"/>
      <c r="O44" s="35"/>
      <c r="P44" s="35"/>
      <c r="Q44" s="6"/>
      <c r="R44" s="6"/>
      <c r="S44" s="51"/>
      <c r="T44" s="58"/>
      <c r="U44" s="37"/>
      <c r="V44" s="37"/>
      <c r="W44" s="37"/>
      <c r="X44" s="59"/>
      <c r="Y44" s="6"/>
      <c r="Z44" s="6"/>
      <c r="AA44" s="6"/>
      <c r="AB44" s="6"/>
      <c r="AC44" s="51"/>
      <c r="AD44" s="37"/>
      <c r="AE44" s="37"/>
      <c r="AF44" s="37"/>
      <c r="AG44" s="37"/>
      <c r="AH44" s="86"/>
      <c r="AI44" s="72"/>
    </row>
    <row r="45" spans="1:35" s="1" customFormat="1" ht="15.75" customHeight="1">
      <c r="A45" s="36"/>
      <c r="B45" s="37"/>
      <c r="C45" s="37"/>
      <c r="D45" s="37"/>
      <c r="E45" s="37"/>
      <c r="F45" s="37"/>
      <c r="G45" s="6"/>
      <c r="H45" s="35"/>
      <c r="I45" s="35"/>
      <c r="J45" s="35"/>
      <c r="K45" s="35"/>
      <c r="L45" s="35"/>
      <c r="M45" s="35"/>
      <c r="N45" s="35"/>
      <c r="O45" s="35"/>
      <c r="P45" s="35"/>
      <c r="Q45" s="6"/>
      <c r="R45" s="6"/>
      <c r="S45" s="51"/>
      <c r="T45" s="58"/>
      <c r="U45" s="37"/>
      <c r="V45" s="37"/>
      <c r="W45" s="37"/>
      <c r="X45" s="59"/>
      <c r="Y45" s="6"/>
      <c r="Z45" s="6"/>
      <c r="AA45" s="6"/>
      <c r="AB45" s="6"/>
      <c r="AC45" s="51"/>
      <c r="AD45" s="37"/>
      <c r="AE45" s="37"/>
      <c r="AF45" s="37"/>
      <c r="AG45" s="37"/>
      <c r="AH45" s="86"/>
      <c r="AI45" s="72"/>
    </row>
    <row r="46" spans="1:35" s="1" customFormat="1" ht="15.75" customHeight="1">
      <c r="A46" s="36"/>
      <c r="B46" s="37"/>
      <c r="C46" s="37"/>
      <c r="D46" s="37"/>
      <c r="E46" s="37"/>
      <c r="F46" s="37"/>
      <c r="G46" s="6"/>
      <c r="H46" s="35"/>
      <c r="I46" s="35"/>
      <c r="J46" s="35"/>
      <c r="K46" s="35"/>
      <c r="L46" s="35"/>
      <c r="M46" s="35"/>
      <c r="N46" s="35"/>
      <c r="O46" s="35"/>
      <c r="P46" s="35"/>
      <c r="Q46" s="6"/>
      <c r="R46" s="6"/>
      <c r="S46" s="51"/>
      <c r="T46" s="1254"/>
      <c r="U46" s="1255"/>
      <c r="V46" s="1255"/>
      <c r="W46" s="1255"/>
      <c r="X46" s="1256"/>
      <c r="Y46" s="6"/>
      <c r="Z46" s="6"/>
      <c r="AA46" s="6"/>
      <c r="AB46" s="6"/>
      <c r="AC46" s="51"/>
      <c r="AD46" s="37"/>
      <c r="AE46" s="37"/>
      <c r="AF46" s="37"/>
      <c r="AG46" s="37"/>
      <c r="AH46" s="86"/>
      <c r="AI46" s="72"/>
    </row>
    <row r="47" spans="1:35" s="1" customFormat="1" ht="15.75" customHeight="1">
      <c r="A47" s="36"/>
      <c r="B47" s="37"/>
      <c r="C47" s="37"/>
      <c r="D47" s="37"/>
      <c r="E47" s="37"/>
      <c r="F47" s="37"/>
      <c r="G47" s="6"/>
      <c r="H47" s="35"/>
      <c r="I47" s="35"/>
      <c r="J47" s="35"/>
      <c r="K47" s="35"/>
      <c r="L47" s="35"/>
      <c r="M47" s="35"/>
      <c r="N47" s="35"/>
      <c r="O47" s="35"/>
      <c r="P47" s="35"/>
      <c r="Q47" s="6"/>
      <c r="R47" s="6"/>
      <c r="S47" s="51"/>
      <c r="T47" s="1254"/>
      <c r="U47" s="1255"/>
      <c r="V47" s="1255"/>
      <c r="W47" s="1255"/>
      <c r="X47" s="1256"/>
      <c r="Y47" s="6"/>
      <c r="Z47" s="6"/>
      <c r="AA47" s="6"/>
      <c r="AB47" s="6"/>
      <c r="AC47" s="51"/>
      <c r="AD47" s="37"/>
      <c r="AE47" s="37"/>
      <c r="AF47" s="37"/>
      <c r="AG47" s="37"/>
      <c r="AH47" s="86"/>
      <c r="AI47" s="72"/>
    </row>
    <row r="48" spans="1:35" s="1" customFormat="1" ht="15.75" customHeight="1">
      <c r="A48" s="36"/>
      <c r="B48" s="37"/>
      <c r="C48" s="37"/>
      <c r="D48" s="37"/>
      <c r="E48" s="37"/>
      <c r="F48" s="37"/>
      <c r="G48" s="6"/>
      <c r="H48" s="35"/>
      <c r="I48" s="35"/>
      <c r="J48" s="35"/>
      <c r="K48" s="35"/>
      <c r="L48" s="35"/>
      <c r="M48" s="35"/>
      <c r="N48" s="35"/>
      <c r="O48" s="35"/>
      <c r="P48" s="35"/>
      <c r="Q48" s="6"/>
      <c r="R48" s="6"/>
      <c r="S48" s="51"/>
      <c r="T48" s="1254"/>
      <c r="U48" s="1255"/>
      <c r="V48" s="1255"/>
      <c r="W48" s="1255"/>
      <c r="X48" s="1256"/>
      <c r="Y48" s="6"/>
      <c r="Z48" s="6"/>
      <c r="AA48" s="6"/>
      <c r="AB48" s="6"/>
      <c r="AC48" s="51"/>
      <c r="AD48" s="37"/>
      <c r="AE48" s="37"/>
      <c r="AF48" s="37"/>
      <c r="AG48" s="37"/>
      <c r="AH48" s="86"/>
      <c r="AI48" s="72"/>
    </row>
    <row r="49" spans="1:35" s="1" customFormat="1" ht="15.75" customHeight="1">
      <c r="A49" s="36"/>
      <c r="B49" s="37"/>
      <c r="C49" s="37"/>
      <c r="D49" s="37"/>
      <c r="E49" s="37"/>
      <c r="F49" s="37"/>
      <c r="G49" s="6"/>
      <c r="H49" s="35"/>
      <c r="I49" s="35"/>
      <c r="J49" s="35"/>
      <c r="K49" s="35"/>
      <c r="L49" s="35"/>
      <c r="M49" s="35"/>
      <c r="N49" s="35"/>
      <c r="O49" s="35"/>
      <c r="P49" s="35"/>
      <c r="Q49" s="6"/>
      <c r="R49" s="6"/>
      <c r="S49" s="51"/>
      <c r="T49" s="1254"/>
      <c r="U49" s="1255"/>
      <c r="V49" s="1255"/>
      <c r="W49" s="1255"/>
      <c r="X49" s="1256"/>
      <c r="Y49" s="6"/>
      <c r="Z49" s="6"/>
      <c r="AA49" s="6"/>
      <c r="AB49" s="6"/>
      <c r="AC49" s="51"/>
      <c r="AD49" s="6"/>
      <c r="AE49" s="6"/>
      <c r="AF49" s="6"/>
      <c r="AG49" s="6"/>
      <c r="AH49" s="62"/>
      <c r="AI49" s="72"/>
    </row>
    <row r="50" spans="1:35" s="1" customFormat="1" ht="15.75" customHeight="1">
      <c r="A50" s="36"/>
      <c r="B50" s="37"/>
      <c r="C50" s="37"/>
      <c r="D50" s="37"/>
      <c r="E50" s="37"/>
      <c r="F50" s="37"/>
      <c r="G50" s="6"/>
      <c r="H50" s="35"/>
      <c r="I50" s="35"/>
      <c r="J50" s="35"/>
      <c r="K50" s="35"/>
      <c r="L50" s="35"/>
      <c r="M50" s="35"/>
      <c r="N50" s="35"/>
      <c r="O50" s="35"/>
      <c r="P50" s="35"/>
      <c r="Q50" s="6"/>
      <c r="R50" s="6"/>
      <c r="S50" s="51"/>
      <c r="T50" s="1254"/>
      <c r="U50" s="1255"/>
      <c r="V50" s="1255"/>
      <c r="W50" s="1255"/>
      <c r="X50" s="1256"/>
      <c r="Y50" s="6"/>
      <c r="Z50" s="6"/>
      <c r="AA50" s="6"/>
      <c r="AB50" s="6"/>
      <c r="AC50" s="51"/>
      <c r="AD50" s="6"/>
      <c r="AE50" s="6"/>
      <c r="AF50" s="6"/>
      <c r="AG50" s="6"/>
      <c r="AH50" s="62"/>
      <c r="AI50" s="72"/>
    </row>
    <row r="51" spans="1:35" s="1" customFormat="1" ht="15.75" customHeight="1">
      <c r="A51" s="36"/>
      <c r="B51" s="37"/>
      <c r="C51" s="37"/>
      <c r="D51" s="37"/>
      <c r="E51" s="37"/>
      <c r="F51" s="37"/>
      <c r="G51" s="6"/>
      <c r="H51" s="35"/>
      <c r="I51" s="35"/>
      <c r="J51" s="35"/>
      <c r="K51" s="35"/>
      <c r="L51" s="35"/>
      <c r="M51" s="35"/>
      <c r="N51" s="35"/>
      <c r="O51" s="35"/>
      <c r="P51" s="35"/>
      <c r="Q51" s="6"/>
      <c r="R51" s="6"/>
      <c r="S51" s="51"/>
      <c r="T51" s="1254"/>
      <c r="U51" s="1255"/>
      <c r="V51" s="1255"/>
      <c r="W51" s="1255"/>
      <c r="X51" s="1256"/>
      <c r="Y51" s="9"/>
      <c r="Z51" s="9"/>
      <c r="AA51" s="9"/>
      <c r="AB51" s="9"/>
      <c r="AC51" s="70"/>
      <c r="AD51" s="9"/>
      <c r="AE51" s="9"/>
      <c r="AF51" s="9"/>
      <c r="AG51" s="9"/>
      <c r="AH51" s="73"/>
      <c r="AI51" s="72"/>
    </row>
    <row r="52" spans="1:35" s="1" customFormat="1" ht="14.1" customHeight="1">
      <c r="A52" s="38" t="s">
        <v>145</v>
      </c>
      <c r="B52" s="39"/>
      <c r="C52" s="39" t="s">
        <v>133</v>
      </c>
      <c r="D52" s="3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60"/>
      <c r="T52" s="38" t="s">
        <v>180</v>
      </c>
      <c r="U52" s="1352" t="s">
        <v>181</v>
      </c>
      <c r="V52" s="1352"/>
      <c r="W52" s="1352"/>
      <c r="X52" s="1352"/>
      <c r="Y52" s="1352"/>
      <c r="Z52" s="1352"/>
      <c r="AA52" s="1352"/>
      <c r="AB52" s="1352"/>
      <c r="AC52" s="1352"/>
      <c r="AD52" s="1352"/>
      <c r="AE52" s="1352"/>
      <c r="AF52" s="71"/>
      <c r="AG52" s="71"/>
      <c r="AH52" s="87"/>
      <c r="AI52" s="72"/>
    </row>
    <row r="53" spans="1:35" s="1" customFormat="1" ht="11.25" customHeight="1">
      <c r="A53" s="29"/>
      <c r="B53" s="4"/>
      <c r="C53" s="41"/>
      <c r="D53" s="4" t="s">
        <v>182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1"/>
      <c r="T53" s="1336" t="e">
        <f>UPPER(CHOOSE(LEFT(TEXT(AC31,"000000000.00"))+1,,"One","Two","Three","Four","Five","Six","Seven","Eight","Nine")&amp;IF(--LEFT(TEXT(AC31,"000000000.00"))=0,,IF(AND(--MID(TEXT(AC31,"000000000.00"),2,1)=0,--MID(TEXT(AC31,"000000000.00"),3,1)=0)," Hundred"," Hundred "))&amp;CHOOSE(MID(TEXT(AC31,"000000000.00"),2,1)+1,,,"Twenty ","Thirty ","Forty ","Fifty ","Sixty ","Seventy ","Eighty ","Ninety ")&amp;IF(--MID(TEXT(AC31,"000000000.00"),2,1)&lt;&gt;1,CHOOSE(MID(TEXT(AC31,"000000000.00"),3,1)+1,,"One","Two","Three","Four","Five","Six","Seven","Eight","Nine"),CHOOSE(MID(TEXT(AC31,"000000000.00"),3,1)+1,"Ten","Eleven","Twelve","Thirteen","Fourteen","Fifteen","Sixteen","Seventeen","Eighteen","Nineteen"))&amp;IF((--LEFT(TEXT(AC31,"000000000.00"))+MID(TEXT(AC31,"000000000.00"),2,1)+MID(TEXT(AC31,"000000000.00"),3,1))=0,,IF(AND((--MID(TEXT(AC31,"000000000.00"),4,1)+MID(TEXT(AC31,"000000000.00"),5,1)+MID(TEXT(AC31,"000000000.00"),6,1)+MID(TEXT(AC31,"000000000.00"),7,1))=0,(--MID(TEXT(AC31,"000000000.00"),8,1)+RIGHT(TEXT(AC31,"000000000.00")))&gt;0)," Million"," Million "))&amp;CHOOSE(MID(TEXT(AC31,"000000000.00"),4,1)+1,,"One","Two","Three","Four","Five","Six","Seven","Eight","Nine")&amp;IF(--MID(TEXT(AC31,"000000000.00"),4,1)=0,,IF(AND(--MID(TEXT(AC31,"000000000.00"),5,1)=0,--MID(TEXT(AC31,"000000000.00"),6,1)=0)," Hundred"," Hundred "))&amp;CHOOSE(MID(TEXT(AC31,"000000000.00"),5,1)+1,,," Twenty"," Thirty"," Forty"," Fifty"," Sixty"," Seventy"," Eighty"," Ninety")&amp;IF(--MID(TEXT(AC31,"000000000.00"),5,1)&lt;&gt;1,CHOOSE(MID(TEXT(AC31,"000000000.00"),6,1)+1,," One"," Two"," Three"," Four"," Five"," Six"," Seven"," Eight"," Nine"),CHOOSE(MID(TEXT(AC31,"000000000.00"),6,1)+1," Ten"," Eleven"," Twelve"," Thirteen"," Fourteen"," Fifteen"," Sixteen"," Seventeen"," Eighteen"," Nineteen"))&amp;IF((--MID(TEXT(AC31,"000000000.00"),4,1)+MID(TEXT(AC31,"000000000.00"),5,1)+MID(TEXT(AC31,"000000000.00"),6,1))=0,,IF(OR((--MID(TEXT(AC31,"000000000.00"),7,1)+MID(TEXT(AC31,"000000000.00"),8,1)+MID(TEXT(AC31,"000000000.00"),9,1))=0,--MID(TEXT(AC31,"000000000.00"),7,1)&lt;&gt;0)," Thousand "," Thousand "))&amp;CHOOSE(MID(TEXT(AC31,"000000000.00"),7,1)+1,,"One","Two","Three","Four","Five","Six","Seven","Eight","Nine")&amp;IF(--MID(TEXT(AC31,"000000000.00"),7,1)=0,,IF(AND(--MID(TEXT(AC31,"000000000.00"),8,1)=0,--MID(TEXT(AC31,"000000000.00"),9,1)=0)," Hundred "," Hundred "))&amp;CHOOSE(MID(TEXT(AC31,"000000000.00"),8,1)+1,,,"Twenty ","Thirty ","Forty ","Fifty ","Sixty ","Seventy ","Eighty ","Ninety ")&amp;IF(--MID(TEXT(AC31,"000000000.00"),8,1)&lt;&gt;1,CHOOSE(MID(TEXT(AC31,"000000000.00"),9,1)+1,,"One","Two","Three","Four","Five","Six","Seven","Eight","Nine"),CHOOSE(MID(TEXT(AC31,"000000000.00"),9,1)+1,"Ten","Eleven","Twelve","Thirteen","Fourteen","Fifteen","Sixteen","Seventeen","Eighteen","Nineteen"))&amp;" Pesos &amp; "&amp;RIGHT(TEXT(AC31,"000000000.00"),2)&amp;"/100 only")</f>
        <v>#REF!</v>
      </c>
      <c r="U53" s="1337"/>
      <c r="V53" s="1337"/>
      <c r="W53" s="1337"/>
      <c r="X53" s="1337"/>
      <c r="Y53" s="1337"/>
      <c r="Z53" s="1337"/>
      <c r="AA53" s="1337"/>
      <c r="AB53" s="1337"/>
      <c r="AC53" s="1337"/>
      <c r="AD53" s="1337"/>
      <c r="AE53" s="1337"/>
      <c r="AF53" s="1337"/>
      <c r="AG53" s="1337"/>
      <c r="AH53" s="1338"/>
      <c r="AI53" s="72"/>
    </row>
    <row r="54" spans="1:35" s="1" customFormat="1" ht="4.5" customHeight="1">
      <c r="A54" s="1351"/>
      <c r="B54" s="1179"/>
      <c r="C54" s="1179"/>
      <c r="D54" s="1179"/>
      <c r="E54" s="1179"/>
      <c r="F54" s="1179"/>
      <c r="G54" s="117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1"/>
      <c r="T54" s="1339"/>
      <c r="U54" s="1340"/>
      <c r="V54" s="1340"/>
      <c r="W54" s="1340"/>
      <c r="X54" s="1340"/>
      <c r="Y54" s="1340"/>
      <c r="Z54" s="1340"/>
      <c r="AA54" s="1340"/>
      <c r="AB54" s="1340"/>
      <c r="AC54" s="1340"/>
      <c r="AD54" s="1340"/>
      <c r="AE54" s="1340"/>
      <c r="AF54" s="1340"/>
      <c r="AG54" s="1340"/>
      <c r="AH54" s="1341"/>
      <c r="AI54" s="72"/>
    </row>
    <row r="55" spans="1:35" s="1" customFormat="1" ht="11.25" customHeight="1">
      <c r="A55" s="29"/>
      <c r="B55" s="4"/>
      <c r="C55" s="7"/>
      <c r="D55" s="4" t="s">
        <v>183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1"/>
      <c r="T55" s="1339"/>
      <c r="U55" s="1340"/>
      <c r="V55" s="1340"/>
      <c r="W55" s="1340"/>
      <c r="X55" s="1340"/>
      <c r="Y55" s="1340"/>
      <c r="Z55" s="1340"/>
      <c r="AA55" s="1340"/>
      <c r="AB55" s="1340"/>
      <c r="AC55" s="1340"/>
      <c r="AD55" s="1340"/>
      <c r="AE55" s="1340"/>
      <c r="AF55" s="1340"/>
      <c r="AG55" s="1340"/>
      <c r="AH55" s="1341"/>
      <c r="AI55" s="72"/>
    </row>
    <row r="56" spans="1:35" s="1" customFormat="1" ht="7.5" customHeight="1">
      <c r="A56" s="1351"/>
      <c r="B56" s="1179"/>
      <c r="C56" s="1179"/>
      <c r="D56" s="1179"/>
      <c r="E56" s="1179"/>
      <c r="F56" s="1179"/>
      <c r="G56" s="1179"/>
      <c r="H56" s="1179"/>
      <c r="I56" s="1179"/>
      <c r="J56" s="1179"/>
      <c r="K56" s="1179"/>
      <c r="L56" s="1179"/>
      <c r="M56" s="1179"/>
      <c r="N56" s="1179"/>
      <c r="O56" s="1179"/>
      <c r="P56" s="1179"/>
      <c r="Q56" s="1179"/>
      <c r="R56" s="1179"/>
      <c r="S56" s="1180"/>
      <c r="T56" s="1339"/>
      <c r="U56" s="1340"/>
      <c r="V56" s="1340"/>
      <c r="W56" s="1340"/>
      <c r="X56" s="1340"/>
      <c r="Y56" s="1340"/>
      <c r="Z56" s="1340"/>
      <c r="AA56" s="1340"/>
      <c r="AB56" s="1340"/>
      <c r="AC56" s="1340"/>
      <c r="AD56" s="1340"/>
      <c r="AE56" s="1340"/>
      <c r="AF56" s="1340"/>
      <c r="AG56" s="1340"/>
      <c r="AH56" s="1341"/>
      <c r="AI56" s="72"/>
    </row>
    <row r="57" spans="1:35" s="1" customFormat="1" ht="11.25" customHeight="1">
      <c r="A57" s="29"/>
      <c r="B57" s="4"/>
      <c r="C57" s="7"/>
      <c r="D57" s="4" t="s">
        <v>184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1"/>
      <c r="T57" s="1339"/>
      <c r="U57" s="1340"/>
      <c r="V57" s="1340"/>
      <c r="W57" s="1340"/>
      <c r="X57" s="1340"/>
      <c r="Y57" s="1340"/>
      <c r="Z57" s="1340"/>
      <c r="AA57" s="1340"/>
      <c r="AB57" s="1340"/>
      <c r="AC57" s="1340"/>
      <c r="AD57" s="1340"/>
      <c r="AE57" s="1340"/>
      <c r="AF57" s="1340"/>
      <c r="AG57" s="1340"/>
      <c r="AH57" s="1341"/>
      <c r="AI57" s="72"/>
    </row>
    <row r="58" spans="1:35" s="1" customFormat="1" ht="11.25" customHeight="1">
      <c r="A58" s="29"/>
      <c r="B58" s="4"/>
      <c r="C58" s="4"/>
      <c r="D58" s="88" t="s">
        <v>185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61"/>
      <c r="T58" s="1339"/>
      <c r="U58" s="1340"/>
      <c r="V58" s="1340"/>
      <c r="W58" s="1340"/>
      <c r="X58" s="1340"/>
      <c r="Y58" s="1340"/>
      <c r="Z58" s="1340"/>
      <c r="AA58" s="1340"/>
      <c r="AB58" s="1340"/>
      <c r="AC58" s="1340"/>
      <c r="AD58" s="1340"/>
      <c r="AE58" s="1340"/>
      <c r="AF58" s="1340"/>
      <c r="AG58" s="1340"/>
      <c r="AH58" s="1341"/>
      <c r="AI58" s="72"/>
    </row>
    <row r="59" spans="1:35" s="1" customFormat="1" ht="6" customHeight="1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2"/>
      <c r="T59" s="1342"/>
      <c r="U59" s="1343"/>
      <c r="V59" s="1343"/>
      <c r="W59" s="1343"/>
      <c r="X59" s="1343"/>
      <c r="Y59" s="1343"/>
      <c r="Z59" s="1343"/>
      <c r="AA59" s="1343"/>
      <c r="AB59" s="1343"/>
      <c r="AC59" s="1343"/>
      <c r="AD59" s="1343"/>
      <c r="AE59" s="1343"/>
      <c r="AF59" s="1343"/>
      <c r="AG59" s="1343"/>
      <c r="AH59" s="1344"/>
      <c r="AI59" s="72"/>
    </row>
    <row r="60" spans="1:35" s="1" customFormat="1" ht="20.100000000000001" customHeight="1">
      <c r="A60" s="1293" t="s">
        <v>186</v>
      </c>
      <c r="B60" s="1294"/>
      <c r="C60" s="1321"/>
      <c r="D60" s="1321"/>
      <c r="E60" s="1178"/>
      <c r="F60" s="1179"/>
      <c r="G60" s="1179"/>
      <c r="H60" s="1179"/>
      <c r="I60" s="1179"/>
      <c r="J60" s="1179"/>
      <c r="K60" s="1179"/>
      <c r="L60" s="1179"/>
      <c r="M60" s="1179"/>
      <c r="N60" s="1179"/>
      <c r="O60" s="1179"/>
      <c r="P60" s="1179"/>
      <c r="Q60" s="1179"/>
      <c r="R60" s="1179"/>
      <c r="S60" s="1180"/>
      <c r="T60" s="1293" t="s">
        <v>186</v>
      </c>
      <c r="U60" s="1294"/>
      <c r="V60" s="1294"/>
      <c r="W60" s="1324"/>
      <c r="X60" s="1275"/>
      <c r="Y60" s="1266"/>
      <c r="Z60" s="1266"/>
      <c r="AA60" s="1266"/>
      <c r="AB60" s="1266"/>
      <c r="AC60" s="1266"/>
      <c r="AD60" s="1266"/>
      <c r="AE60" s="1266"/>
      <c r="AF60" s="1266"/>
      <c r="AG60" s="1266"/>
      <c r="AH60" s="1276"/>
      <c r="AI60" s="72"/>
    </row>
    <row r="61" spans="1:35" s="1" customFormat="1" ht="20.100000000000001" customHeight="1">
      <c r="A61" s="1322"/>
      <c r="B61" s="1323"/>
      <c r="C61" s="1323"/>
      <c r="D61" s="1323"/>
      <c r="E61" s="1327"/>
      <c r="F61" s="1286"/>
      <c r="G61" s="1286"/>
      <c r="H61" s="1286"/>
      <c r="I61" s="1286"/>
      <c r="J61" s="1286"/>
      <c r="K61" s="1286"/>
      <c r="L61" s="1286"/>
      <c r="M61" s="1286"/>
      <c r="N61" s="1286"/>
      <c r="O61" s="1286"/>
      <c r="P61" s="1286"/>
      <c r="Q61" s="1286"/>
      <c r="R61" s="1286"/>
      <c r="S61" s="1328"/>
      <c r="T61" s="1295"/>
      <c r="U61" s="1296"/>
      <c r="V61" s="1296"/>
      <c r="W61" s="1325"/>
      <c r="X61" s="1329"/>
      <c r="Y61" s="1296"/>
      <c r="Z61" s="1296"/>
      <c r="AA61" s="1296"/>
      <c r="AB61" s="1296"/>
      <c r="AC61" s="1296"/>
      <c r="AD61" s="1296"/>
      <c r="AE61" s="1296"/>
      <c r="AF61" s="1296"/>
      <c r="AG61" s="1296"/>
      <c r="AH61" s="1330"/>
      <c r="AI61" s="72"/>
    </row>
    <row r="62" spans="1:35" s="1" customFormat="1" ht="12" customHeight="1">
      <c r="A62" s="1265" t="s">
        <v>187</v>
      </c>
      <c r="B62" s="1266"/>
      <c r="C62" s="1326"/>
      <c r="D62" s="1326"/>
      <c r="E62" s="1345" t="str">
        <f>'BUR - Gross-D&amp;6'!K33:K33</f>
        <v>VIDA E. PITALLANO, CPA</v>
      </c>
      <c r="F62" s="1346"/>
      <c r="G62" s="1346"/>
      <c r="H62" s="1346"/>
      <c r="I62" s="1346"/>
      <c r="J62" s="1346"/>
      <c r="K62" s="1346"/>
      <c r="L62" s="1346"/>
      <c r="M62" s="1346"/>
      <c r="N62" s="1346"/>
      <c r="O62" s="1346"/>
      <c r="P62" s="1346"/>
      <c r="Q62" s="1346"/>
      <c r="R62" s="1346"/>
      <c r="S62" s="1347"/>
      <c r="T62" s="1265" t="s">
        <v>187</v>
      </c>
      <c r="U62" s="1266"/>
      <c r="V62" s="1266"/>
      <c r="W62" s="1271"/>
      <c r="X62" s="1315" t="str">
        <f>'SUMMARY (1-15)-D&amp;6'!A37</f>
        <v>Engr. MARK CLOYD G. SO</v>
      </c>
      <c r="Y62" s="1316"/>
      <c r="Z62" s="1316"/>
      <c r="AA62" s="1316"/>
      <c r="AB62" s="1316"/>
      <c r="AC62" s="1316"/>
      <c r="AD62" s="1316"/>
      <c r="AE62" s="1316"/>
      <c r="AF62" s="1316"/>
      <c r="AG62" s="1316"/>
      <c r="AH62" s="1317"/>
      <c r="AI62" s="72"/>
    </row>
    <row r="63" spans="1:35" s="1" customFormat="1" ht="12" customHeight="1">
      <c r="A63" s="1322"/>
      <c r="B63" s="1323"/>
      <c r="C63" s="1323"/>
      <c r="D63" s="1323"/>
      <c r="E63" s="1348"/>
      <c r="F63" s="1349"/>
      <c r="G63" s="1349"/>
      <c r="H63" s="1349"/>
      <c r="I63" s="1349"/>
      <c r="J63" s="1349"/>
      <c r="K63" s="1349"/>
      <c r="L63" s="1349"/>
      <c r="M63" s="1349"/>
      <c r="N63" s="1349"/>
      <c r="O63" s="1349"/>
      <c r="P63" s="1349"/>
      <c r="Q63" s="1349"/>
      <c r="R63" s="1349"/>
      <c r="S63" s="1350"/>
      <c r="T63" s="1295"/>
      <c r="U63" s="1296"/>
      <c r="V63" s="1296"/>
      <c r="W63" s="1325"/>
      <c r="X63" s="1318"/>
      <c r="Y63" s="1319"/>
      <c r="Z63" s="1319"/>
      <c r="AA63" s="1319"/>
      <c r="AB63" s="1319"/>
      <c r="AC63" s="1319"/>
      <c r="AD63" s="1319"/>
      <c r="AE63" s="1319"/>
      <c r="AF63" s="1319"/>
      <c r="AG63" s="1319"/>
      <c r="AH63" s="1320"/>
      <c r="AI63" s="72"/>
    </row>
    <row r="64" spans="1:35" s="3" customFormat="1" ht="20.100000000000001" customHeight="1">
      <c r="A64" s="1265" t="s">
        <v>188</v>
      </c>
      <c r="B64" s="1266"/>
      <c r="C64" s="1266"/>
      <c r="D64" s="1266"/>
      <c r="E64" s="1353" t="str">
        <f>'BUR - Gross-D&amp;6'!K34:K34</f>
        <v>Sr. Accounting Processor A</v>
      </c>
      <c r="F64" s="1354"/>
      <c r="G64" s="1354"/>
      <c r="H64" s="1354"/>
      <c r="I64" s="1354"/>
      <c r="J64" s="1354"/>
      <c r="K64" s="1354"/>
      <c r="L64" s="1354"/>
      <c r="M64" s="1354"/>
      <c r="N64" s="1354"/>
      <c r="O64" s="1354"/>
      <c r="P64" s="1354"/>
      <c r="Q64" s="1354"/>
      <c r="R64" s="1354"/>
      <c r="S64" s="1355"/>
      <c r="T64" s="1265" t="s">
        <v>188</v>
      </c>
      <c r="U64" s="1266"/>
      <c r="V64" s="1266"/>
      <c r="W64" s="1271"/>
      <c r="X64" s="1356" t="str">
        <f>'SUMMARY (1-15)-D&amp;6'!A38</f>
        <v>Acting Manager, Albay-Cat IMO</v>
      </c>
      <c r="Y64" s="1357"/>
      <c r="Z64" s="1357"/>
      <c r="AA64" s="1357"/>
      <c r="AB64" s="1357"/>
      <c r="AC64" s="1357"/>
      <c r="AD64" s="1357"/>
      <c r="AE64" s="1357"/>
      <c r="AF64" s="1357"/>
      <c r="AG64" s="1357"/>
      <c r="AH64" s="1358"/>
      <c r="AI64" s="97"/>
    </row>
    <row r="65" spans="1:38" s="1" customFormat="1" ht="15" customHeight="1">
      <c r="A65" s="1295"/>
      <c r="B65" s="1296"/>
      <c r="C65" s="1296"/>
      <c r="D65" s="1296"/>
      <c r="E65" s="1240" t="s">
        <v>189</v>
      </c>
      <c r="F65" s="1241"/>
      <c r="G65" s="1241"/>
      <c r="H65" s="1241"/>
      <c r="I65" s="1241"/>
      <c r="J65" s="1241"/>
      <c r="K65" s="1241"/>
      <c r="L65" s="1241"/>
      <c r="M65" s="1241"/>
      <c r="N65" s="1241"/>
      <c r="O65" s="1242"/>
      <c r="P65" s="1242"/>
      <c r="Q65" s="1242"/>
      <c r="R65" s="1242"/>
      <c r="S65" s="1243"/>
      <c r="T65" s="1295"/>
      <c r="U65" s="1296"/>
      <c r="V65" s="1296"/>
      <c r="W65" s="1325"/>
      <c r="X65" s="1244" t="s">
        <v>190</v>
      </c>
      <c r="Y65" s="1245"/>
      <c r="Z65" s="1245"/>
      <c r="AA65" s="1245"/>
      <c r="AB65" s="1245"/>
      <c r="AC65" s="1245"/>
      <c r="AD65" s="1245"/>
      <c r="AE65" s="1245"/>
      <c r="AF65" s="1245"/>
      <c r="AG65" s="1245"/>
      <c r="AH65" s="1246"/>
      <c r="AI65" s="72"/>
    </row>
    <row r="66" spans="1:38" s="1" customFormat="1" ht="12" customHeight="1">
      <c r="A66" s="1265" t="s">
        <v>53</v>
      </c>
      <c r="B66" s="1266"/>
      <c r="C66" s="1266"/>
      <c r="D66" s="1266"/>
      <c r="E66" s="1178"/>
      <c r="F66" s="1179"/>
      <c r="G66" s="1179"/>
      <c r="H66" s="1179"/>
      <c r="I66" s="1179"/>
      <c r="J66" s="1179"/>
      <c r="K66" s="1179"/>
      <c r="L66" s="1179"/>
      <c r="M66" s="1179"/>
      <c r="N66" s="1179"/>
      <c r="O66" s="1179"/>
      <c r="P66" s="1179"/>
      <c r="Q66" s="1179"/>
      <c r="R66" s="1179"/>
      <c r="S66" s="1180"/>
      <c r="T66" s="1265" t="s">
        <v>53</v>
      </c>
      <c r="U66" s="1266"/>
      <c r="V66" s="1266"/>
      <c r="W66" s="1271"/>
      <c r="X66" s="1275"/>
      <c r="Y66" s="1266"/>
      <c r="Z66" s="1266"/>
      <c r="AA66" s="1266"/>
      <c r="AB66" s="1266"/>
      <c r="AC66" s="1266"/>
      <c r="AD66" s="1266"/>
      <c r="AE66" s="1266"/>
      <c r="AF66" s="1266"/>
      <c r="AG66" s="1266"/>
      <c r="AH66" s="1276"/>
      <c r="AI66" s="72"/>
    </row>
    <row r="67" spans="1:38" s="1" customFormat="1" ht="12" customHeight="1">
      <c r="A67" s="1267"/>
      <c r="B67" s="1268"/>
      <c r="C67" s="1268"/>
      <c r="D67" s="1268"/>
      <c r="E67" s="1269"/>
      <c r="F67" s="1169"/>
      <c r="G67" s="1169"/>
      <c r="H67" s="1169"/>
      <c r="I67" s="1169"/>
      <c r="J67" s="1169"/>
      <c r="K67" s="1169"/>
      <c r="L67" s="1169"/>
      <c r="M67" s="1169"/>
      <c r="N67" s="1169"/>
      <c r="O67" s="1169"/>
      <c r="P67" s="1169"/>
      <c r="Q67" s="1169"/>
      <c r="R67" s="1169"/>
      <c r="S67" s="1270"/>
      <c r="T67" s="1272"/>
      <c r="U67" s="1273"/>
      <c r="V67" s="1273"/>
      <c r="W67" s="1274"/>
      <c r="X67" s="1277"/>
      <c r="Y67" s="1273"/>
      <c r="Z67" s="1273"/>
      <c r="AA67" s="1273"/>
      <c r="AB67" s="1273"/>
      <c r="AC67" s="1273"/>
      <c r="AD67" s="1273"/>
      <c r="AE67" s="1273"/>
      <c r="AF67" s="1273"/>
      <c r="AG67" s="1273"/>
      <c r="AH67" s="1278"/>
      <c r="AI67" s="72"/>
    </row>
    <row r="68" spans="1:38" s="1" customFormat="1" ht="14.1" customHeight="1">
      <c r="A68" s="38" t="s">
        <v>191</v>
      </c>
      <c r="B68" s="39"/>
      <c r="C68" s="39" t="s">
        <v>192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94"/>
      <c r="AC68" s="95" t="s">
        <v>193</v>
      </c>
      <c r="AD68" s="95"/>
      <c r="AE68" s="95"/>
      <c r="AF68" s="1160"/>
      <c r="AG68" s="1160"/>
      <c r="AH68" s="1161"/>
      <c r="AI68" s="72"/>
    </row>
    <row r="69" spans="1:38" s="1" customFormat="1" ht="15" customHeight="1">
      <c r="A69" s="1293" t="s">
        <v>194</v>
      </c>
      <c r="B69" s="1294"/>
      <c r="C69" s="1294"/>
      <c r="D69" s="1294"/>
      <c r="E69" s="1237"/>
      <c r="F69" s="1237"/>
      <c r="G69" s="1237"/>
      <c r="H69" s="1237"/>
      <c r="I69" s="1237"/>
      <c r="J69" s="1237"/>
      <c r="K69" s="1237"/>
      <c r="L69" s="1259" t="s">
        <v>159</v>
      </c>
      <c r="M69" s="1259"/>
      <c r="N69" s="1259"/>
      <c r="O69" s="1259"/>
      <c r="P69" s="1259"/>
      <c r="Q69" s="1259"/>
      <c r="R69" s="1259"/>
      <c r="S69" s="1260"/>
      <c r="T69" s="1279" t="s">
        <v>195</v>
      </c>
      <c r="U69" s="1280"/>
      <c r="V69" s="1280"/>
      <c r="W69" s="1280"/>
      <c r="X69" s="1280"/>
      <c r="Y69" s="1280"/>
      <c r="Z69" s="1280"/>
      <c r="AA69" s="1280"/>
      <c r="AB69" s="1281"/>
      <c r="AC69" s="6"/>
      <c r="AD69" s="6"/>
      <c r="AE69" s="6"/>
      <c r="AF69" s="6"/>
      <c r="AG69" s="6"/>
      <c r="AH69" s="62"/>
      <c r="AI69" s="72"/>
    </row>
    <row r="70" spans="1:38" s="1" customFormat="1" ht="15" customHeight="1">
      <c r="A70" s="1295"/>
      <c r="B70" s="1296"/>
      <c r="C70" s="1296"/>
      <c r="D70" s="1296"/>
      <c r="E70" s="1237"/>
      <c r="F70" s="1237"/>
      <c r="G70" s="1237"/>
      <c r="H70" s="1237"/>
      <c r="I70" s="1237"/>
      <c r="J70" s="1237"/>
      <c r="K70" s="1237"/>
      <c r="L70" s="1263"/>
      <c r="M70" s="1263"/>
      <c r="N70" s="1263"/>
      <c r="O70" s="1263"/>
      <c r="P70" s="1263"/>
      <c r="Q70" s="1263"/>
      <c r="R70" s="1263"/>
      <c r="S70" s="1264"/>
      <c r="T70" s="1282"/>
      <c r="U70" s="1283"/>
      <c r="V70" s="1283"/>
      <c r="W70" s="1283"/>
      <c r="X70" s="1283"/>
      <c r="Y70" s="1283"/>
      <c r="Z70" s="1283"/>
      <c r="AA70" s="1283"/>
      <c r="AB70" s="1284"/>
      <c r="AC70" s="90"/>
      <c r="AD70" s="90"/>
      <c r="AE70" s="91"/>
      <c r="AF70" s="91"/>
      <c r="AG70" s="91"/>
      <c r="AH70" s="93"/>
      <c r="AI70" s="72"/>
    </row>
    <row r="71" spans="1:38" s="1" customFormat="1" ht="15" customHeight="1">
      <c r="A71" s="1265" t="s">
        <v>196</v>
      </c>
      <c r="B71" s="1266"/>
      <c r="C71" s="1261"/>
      <c r="D71" s="1261"/>
      <c r="E71" s="1237"/>
      <c r="F71" s="1237"/>
      <c r="G71" s="1237"/>
      <c r="H71" s="1237"/>
      <c r="I71" s="1237"/>
      <c r="J71" s="1237"/>
      <c r="K71" s="1237"/>
      <c r="L71" s="1259" t="s">
        <v>159</v>
      </c>
      <c r="M71" s="1259"/>
      <c r="N71" s="1259"/>
      <c r="O71" s="1259"/>
      <c r="P71" s="1259"/>
      <c r="Q71" s="1259"/>
      <c r="R71" s="1259"/>
      <c r="S71" s="1260"/>
      <c r="T71" s="1258" t="s">
        <v>140</v>
      </c>
      <c r="U71" s="1259"/>
      <c r="V71" s="1259"/>
      <c r="W71" s="1259"/>
      <c r="X71" s="1259"/>
      <c r="Y71" s="1259"/>
      <c r="Z71" s="1259"/>
      <c r="AA71" s="1259"/>
      <c r="AB71" s="1260"/>
      <c r="AC71" s="96" t="s">
        <v>53</v>
      </c>
      <c r="AD71" s="96"/>
      <c r="AE71" s="1261"/>
      <c r="AF71" s="1261"/>
      <c r="AG71" s="1261"/>
      <c r="AH71" s="1262"/>
      <c r="AI71" s="72"/>
    </row>
    <row r="72" spans="1:38" s="1" customFormat="1" ht="15" customHeight="1">
      <c r="A72" s="1285"/>
      <c r="B72" s="1286"/>
      <c r="C72" s="1286"/>
      <c r="D72" s="1286"/>
      <c r="E72" s="1237"/>
      <c r="F72" s="1237"/>
      <c r="G72" s="1237"/>
      <c r="H72" s="1237"/>
      <c r="I72" s="1237"/>
      <c r="J72" s="1237"/>
      <c r="K72" s="1237"/>
      <c r="L72" s="1263"/>
      <c r="M72" s="1263"/>
      <c r="N72" s="1263"/>
      <c r="O72" s="1263"/>
      <c r="P72" s="1263"/>
      <c r="Q72" s="1263"/>
      <c r="R72" s="1263"/>
      <c r="S72" s="1264"/>
      <c r="T72" s="1287" t="str">
        <f>E10</f>
        <v>BIR</v>
      </c>
      <c r="U72" s="1288"/>
      <c r="V72" s="1288"/>
      <c r="W72" s="1288"/>
      <c r="X72" s="1288"/>
      <c r="Y72" s="1288"/>
      <c r="Z72" s="1288"/>
      <c r="AA72" s="1288"/>
      <c r="AB72" s="1289"/>
      <c r="AC72" s="1179"/>
      <c r="AD72" s="1179"/>
      <c r="AE72" s="1179"/>
      <c r="AF72" s="1179"/>
      <c r="AG72" s="1179"/>
      <c r="AH72" s="1180"/>
      <c r="AI72" s="72"/>
    </row>
    <row r="73" spans="1:38" s="1" customFormat="1" ht="15.6" customHeight="1">
      <c r="A73" s="1290" t="s">
        <v>197</v>
      </c>
      <c r="B73" s="1291"/>
      <c r="C73" s="1291"/>
      <c r="D73" s="1291"/>
      <c r="E73" s="1291"/>
      <c r="F73" s="1291"/>
      <c r="G73" s="1291"/>
      <c r="H73" s="1291"/>
      <c r="I73" s="1291"/>
      <c r="J73" s="1291"/>
      <c r="K73" s="1291"/>
      <c r="L73" s="1291"/>
      <c r="M73" s="1291"/>
      <c r="N73" s="1291"/>
      <c r="O73" s="1291"/>
      <c r="P73" s="1291"/>
      <c r="Q73" s="1291"/>
      <c r="R73" s="1291"/>
      <c r="S73" s="1291"/>
      <c r="T73" s="1291"/>
      <c r="U73" s="1291"/>
      <c r="V73" s="1291"/>
      <c r="W73" s="1291"/>
      <c r="X73" s="1291"/>
      <c r="Y73" s="1291"/>
      <c r="Z73" s="1291"/>
      <c r="AA73" s="1291"/>
      <c r="AB73" s="1292"/>
      <c r="AC73" s="1169"/>
      <c r="AD73" s="1169"/>
      <c r="AE73" s="1169"/>
      <c r="AF73" s="1169"/>
      <c r="AG73" s="1169"/>
      <c r="AH73" s="1270"/>
      <c r="AI73" s="98"/>
      <c r="AJ73" s="99"/>
      <c r="AK73" s="99"/>
      <c r="AL73" s="99"/>
    </row>
  </sheetData>
  <sheetProtection selectLockedCells="1"/>
  <mergeCells count="119">
    <mergeCell ref="A64:D65"/>
    <mergeCell ref="AC17:AH18"/>
    <mergeCell ref="A12:D13"/>
    <mergeCell ref="E12:AH13"/>
    <mergeCell ref="A17:R18"/>
    <mergeCell ref="X62:AH63"/>
    <mergeCell ref="A60:D61"/>
    <mergeCell ref="T60:W61"/>
    <mergeCell ref="A62:D63"/>
    <mergeCell ref="T62:W63"/>
    <mergeCell ref="E60:S61"/>
    <mergeCell ref="X60:AH61"/>
    <mergeCell ref="S15:W30"/>
    <mergeCell ref="X15:AB30"/>
    <mergeCell ref="T53:AH59"/>
    <mergeCell ref="E62:S63"/>
    <mergeCell ref="A54:G54"/>
    <mergeCell ref="A56:S56"/>
    <mergeCell ref="T64:W65"/>
    <mergeCell ref="T50:X50"/>
    <mergeCell ref="T51:X51"/>
    <mergeCell ref="U52:AE52"/>
    <mergeCell ref="E64:S64"/>
    <mergeCell ref="X64:AH64"/>
    <mergeCell ref="T71:AB71"/>
    <mergeCell ref="AE71:AH71"/>
    <mergeCell ref="E71:K72"/>
    <mergeCell ref="L71:S72"/>
    <mergeCell ref="A66:D67"/>
    <mergeCell ref="E66:S67"/>
    <mergeCell ref="T66:W67"/>
    <mergeCell ref="X66:AH67"/>
    <mergeCell ref="T69:AB70"/>
    <mergeCell ref="A71:D72"/>
    <mergeCell ref="AC72:AH73"/>
    <mergeCell ref="E69:K70"/>
    <mergeCell ref="L69:S70"/>
    <mergeCell ref="T72:AB72"/>
    <mergeCell ref="A73:AB73"/>
    <mergeCell ref="A69:D70"/>
    <mergeCell ref="E65:S65"/>
    <mergeCell ref="X65:AH65"/>
    <mergeCell ref="AF68:AH68"/>
    <mergeCell ref="H41:Q41"/>
    <mergeCell ref="T41:X41"/>
    <mergeCell ref="Y41:AC41"/>
    <mergeCell ref="T42:X42"/>
    <mergeCell ref="AD42:AH42"/>
    <mergeCell ref="T46:X46"/>
    <mergeCell ref="T47:X47"/>
    <mergeCell ref="T48:X48"/>
    <mergeCell ref="T49:X49"/>
    <mergeCell ref="A31:R31"/>
    <mergeCell ref="AC31:AH31"/>
    <mergeCell ref="C32:AH32"/>
    <mergeCell ref="C35:AG35"/>
    <mergeCell ref="C36:AG36"/>
    <mergeCell ref="C37:AG37"/>
    <mergeCell ref="L38:Y38"/>
    <mergeCell ref="A40:S40"/>
    <mergeCell ref="T40:X40"/>
    <mergeCell ref="Y40:AC40"/>
    <mergeCell ref="AD40:AH40"/>
    <mergeCell ref="C28:I28"/>
    <mergeCell ref="K28:M28"/>
    <mergeCell ref="O28:Q28"/>
    <mergeCell ref="C29:E29"/>
    <mergeCell ref="F29:H29"/>
    <mergeCell ref="I29:K29"/>
    <mergeCell ref="L29:N29"/>
    <mergeCell ref="O29:Q29"/>
    <mergeCell ref="F30:H30"/>
    <mergeCell ref="I30:K30"/>
    <mergeCell ref="L30:N30"/>
    <mergeCell ref="O30:Q30"/>
    <mergeCell ref="D24:I24"/>
    <mergeCell ref="K24:M24"/>
    <mergeCell ref="O24:Q24"/>
    <mergeCell ref="D25:I25"/>
    <mergeCell ref="K25:M25"/>
    <mergeCell ref="D26:I26"/>
    <mergeCell ref="K26:M26"/>
    <mergeCell ref="O26:Q26"/>
    <mergeCell ref="D27:I27"/>
    <mergeCell ref="K27:M27"/>
    <mergeCell ref="F20:H20"/>
    <mergeCell ref="K20:M20"/>
    <mergeCell ref="O20:Q20"/>
    <mergeCell ref="D22:I22"/>
    <mergeCell ref="K22:M22"/>
    <mergeCell ref="O22:Q22"/>
    <mergeCell ref="D23:I23"/>
    <mergeCell ref="K23:M23"/>
    <mergeCell ref="O23:Q23"/>
    <mergeCell ref="D21:I21"/>
    <mergeCell ref="K21:M21"/>
    <mergeCell ref="J9:N9"/>
    <mergeCell ref="P9:U9"/>
    <mergeCell ref="T10:AB10"/>
    <mergeCell ref="AC10:AH10"/>
    <mergeCell ref="T11:AB11"/>
    <mergeCell ref="AC11:AH11"/>
    <mergeCell ref="A14:R14"/>
    <mergeCell ref="S14:W14"/>
    <mergeCell ref="X14:AB14"/>
    <mergeCell ref="AC14:AH14"/>
    <mergeCell ref="A7:D9"/>
    <mergeCell ref="A10:D11"/>
    <mergeCell ref="E10:S11"/>
    <mergeCell ref="AC1:AH1"/>
    <mergeCell ref="A2:AB2"/>
    <mergeCell ref="AC2:AH2"/>
    <mergeCell ref="A3:AB3"/>
    <mergeCell ref="AC3:AH3"/>
    <mergeCell ref="AC4:AH4"/>
    <mergeCell ref="AC5:AH5"/>
    <mergeCell ref="AC6:AH6"/>
    <mergeCell ref="E7:AH7"/>
    <mergeCell ref="A4:AB6"/>
  </mergeCells>
  <printOptions horizontalCentered="1"/>
  <pageMargins left="0.25" right="0.25" top="0.75" bottom="0.75" header="0.3" footer="0.3"/>
  <pageSetup paperSize="14" scale="74" orientation="portrait" r:id="rId1"/>
  <headerFooter>
    <oddFooter>&amp;L&amp;"Tahoma,Italic"&amp;8NIA-RO V-AFD-FIN-INT-Form13Rev00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I53"/>
  <sheetViews>
    <sheetView topLeftCell="B3" zoomScale="70" zoomScaleNormal="85" zoomScalePageLayoutView="70" workbookViewId="0">
      <selection activeCell="N30" sqref="N30"/>
    </sheetView>
  </sheetViews>
  <sheetFormatPr defaultColWidth="9" defaultRowHeight="12.75"/>
  <cols>
    <col min="1" max="1" width="5.7109375" style="184" customWidth="1"/>
    <col min="2" max="2" width="33.7109375" style="184" customWidth="1"/>
    <col min="3" max="3" width="21.5703125" style="184" customWidth="1"/>
    <col min="4" max="19" width="3.5703125" style="184" customWidth="1"/>
    <col min="20" max="20" width="6.7109375" style="184" customWidth="1"/>
    <col min="21" max="21" width="13.85546875" style="347" customWidth="1"/>
    <col min="22" max="22" width="17.28515625" style="347" customWidth="1"/>
    <col min="23" max="24" width="15.7109375" style="347" customWidth="1"/>
    <col min="25" max="25" width="15.7109375" style="222" customWidth="1"/>
    <col min="26" max="26" width="18.7109375" style="222" customWidth="1"/>
    <col min="27" max="27" width="18.42578125" style="347" customWidth="1"/>
    <col min="28" max="28" width="18.85546875" style="347" customWidth="1"/>
    <col min="29" max="29" width="22.85546875" style="347" customWidth="1"/>
    <col min="30" max="30" width="4.42578125" style="184" customWidth="1"/>
    <col min="31" max="31" width="18" style="184" customWidth="1"/>
    <col min="32" max="34" width="9" style="184"/>
    <col min="35" max="35" width="12.85546875" style="184" customWidth="1"/>
    <col min="36" max="257" width="9" style="184"/>
    <col min="258" max="258" width="2.5703125" style="184" customWidth="1"/>
    <col min="259" max="259" width="27.5703125" style="184" customWidth="1"/>
    <col min="260" max="260" width="16.140625" style="184" customWidth="1"/>
    <col min="261" max="276" width="3.5703125" style="184" customWidth="1"/>
    <col min="277" max="277" width="5.5703125" style="184" customWidth="1"/>
    <col min="278" max="278" width="11.5703125" style="184" customWidth="1"/>
    <col min="279" max="279" width="15.7109375" style="184" customWidth="1"/>
    <col min="280" max="282" width="13.42578125" style="184" customWidth="1"/>
    <col min="283" max="283" width="15.7109375" style="184" customWidth="1"/>
    <col min="284" max="284" width="16.140625" style="184" customWidth="1"/>
    <col min="285" max="285" width="9" style="184"/>
    <col min="286" max="286" width="13" style="184" customWidth="1"/>
    <col min="287" max="513" width="9" style="184"/>
    <col min="514" max="514" width="2.5703125" style="184" customWidth="1"/>
    <col min="515" max="515" width="27.5703125" style="184" customWidth="1"/>
    <col min="516" max="516" width="16.140625" style="184" customWidth="1"/>
    <col min="517" max="532" width="3.5703125" style="184" customWidth="1"/>
    <col min="533" max="533" width="5.5703125" style="184" customWidth="1"/>
    <col min="534" max="534" width="11.5703125" style="184" customWidth="1"/>
    <col min="535" max="535" width="15.7109375" style="184" customWidth="1"/>
    <col min="536" max="538" width="13.42578125" style="184" customWidth="1"/>
    <col min="539" max="539" width="15.7109375" style="184" customWidth="1"/>
    <col min="540" max="540" width="16.140625" style="184" customWidth="1"/>
    <col min="541" max="541" width="9" style="184"/>
    <col min="542" max="542" width="13" style="184" customWidth="1"/>
    <col min="543" max="769" width="9" style="184"/>
    <col min="770" max="770" width="2.5703125" style="184" customWidth="1"/>
    <col min="771" max="771" width="27.5703125" style="184" customWidth="1"/>
    <col min="772" max="772" width="16.140625" style="184" customWidth="1"/>
    <col min="773" max="788" width="3.5703125" style="184" customWidth="1"/>
    <col min="789" max="789" width="5.5703125" style="184" customWidth="1"/>
    <col min="790" max="790" width="11.5703125" style="184" customWidth="1"/>
    <col min="791" max="791" width="15.7109375" style="184" customWidth="1"/>
    <col min="792" max="794" width="13.42578125" style="184" customWidth="1"/>
    <col min="795" max="795" width="15.7109375" style="184" customWidth="1"/>
    <col min="796" max="796" width="16.140625" style="184" customWidth="1"/>
    <col min="797" max="797" width="9" style="184"/>
    <col min="798" max="798" width="13" style="184" customWidth="1"/>
    <col min="799" max="1025" width="9" style="184"/>
    <col min="1026" max="1026" width="2.5703125" style="184" customWidth="1"/>
    <col min="1027" max="1027" width="27.5703125" style="184" customWidth="1"/>
    <col min="1028" max="1028" width="16.140625" style="184" customWidth="1"/>
    <col min="1029" max="1044" width="3.5703125" style="184" customWidth="1"/>
    <col min="1045" max="1045" width="5.5703125" style="184" customWidth="1"/>
    <col min="1046" max="1046" width="11.5703125" style="184" customWidth="1"/>
    <col min="1047" max="1047" width="15.7109375" style="184" customWidth="1"/>
    <col min="1048" max="1050" width="13.42578125" style="184" customWidth="1"/>
    <col min="1051" max="1051" width="15.7109375" style="184" customWidth="1"/>
    <col min="1052" max="1052" width="16.140625" style="184" customWidth="1"/>
    <col min="1053" max="1053" width="9" style="184"/>
    <col min="1054" max="1054" width="13" style="184" customWidth="1"/>
    <col min="1055" max="1281" width="9" style="184"/>
    <col min="1282" max="1282" width="2.5703125" style="184" customWidth="1"/>
    <col min="1283" max="1283" width="27.5703125" style="184" customWidth="1"/>
    <col min="1284" max="1284" width="16.140625" style="184" customWidth="1"/>
    <col min="1285" max="1300" width="3.5703125" style="184" customWidth="1"/>
    <col min="1301" max="1301" width="5.5703125" style="184" customWidth="1"/>
    <col min="1302" max="1302" width="11.5703125" style="184" customWidth="1"/>
    <col min="1303" max="1303" width="15.7109375" style="184" customWidth="1"/>
    <col min="1304" max="1306" width="13.42578125" style="184" customWidth="1"/>
    <col min="1307" max="1307" width="15.7109375" style="184" customWidth="1"/>
    <col min="1308" max="1308" width="16.140625" style="184" customWidth="1"/>
    <col min="1309" max="1309" width="9" style="184"/>
    <col min="1310" max="1310" width="13" style="184" customWidth="1"/>
    <col min="1311" max="1537" width="9" style="184"/>
    <col min="1538" max="1538" width="2.5703125" style="184" customWidth="1"/>
    <col min="1539" max="1539" width="27.5703125" style="184" customWidth="1"/>
    <col min="1540" max="1540" width="16.140625" style="184" customWidth="1"/>
    <col min="1541" max="1556" width="3.5703125" style="184" customWidth="1"/>
    <col min="1557" max="1557" width="5.5703125" style="184" customWidth="1"/>
    <col min="1558" max="1558" width="11.5703125" style="184" customWidth="1"/>
    <col min="1559" max="1559" width="15.7109375" style="184" customWidth="1"/>
    <col min="1560" max="1562" width="13.42578125" style="184" customWidth="1"/>
    <col min="1563" max="1563" width="15.7109375" style="184" customWidth="1"/>
    <col min="1564" max="1564" width="16.140625" style="184" customWidth="1"/>
    <col min="1565" max="1565" width="9" style="184"/>
    <col min="1566" max="1566" width="13" style="184" customWidth="1"/>
    <col min="1567" max="1793" width="9" style="184"/>
    <col min="1794" max="1794" width="2.5703125" style="184" customWidth="1"/>
    <col min="1795" max="1795" width="27.5703125" style="184" customWidth="1"/>
    <col min="1796" max="1796" width="16.140625" style="184" customWidth="1"/>
    <col min="1797" max="1812" width="3.5703125" style="184" customWidth="1"/>
    <col min="1813" max="1813" width="5.5703125" style="184" customWidth="1"/>
    <col min="1814" max="1814" width="11.5703125" style="184" customWidth="1"/>
    <col min="1815" max="1815" width="15.7109375" style="184" customWidth="1"/>
    <col min="1816" max="1818" width="13.42578125" style="184" customWidth="1"/>
    <col min="1819" max="1819" width="15.7109375" style="184" customWidth="1"/>
    <col min="1820" max="1820" width="16.140625" style="184" customWidth="1"/>
    <col min="1821" max="1821" width="9" style="184"/>
    <col min="1822" max="1822" width="13" style="184" customWidth="1"/>
    <col min="1823" max="2049" width="9" style="184"/>
    <col min="2050" max="2050" width="2.5703125" style="184" customWidth="1"/>
    <col min="2051" max="2051" width="27.5703125" style="184" customWidth="1"/>
    <col min="2052" max="2052" width="16.140625" style="184" customWidth="1"/>
    <col min="2053" max="2068" width="3.5703125" style="184" customWidth="1"/>
    <col min="2069" max="2069" width="5.5703125" style="184" customWidth="1"/>
    <col min="2070" max="2070" width="11.5703125" style="184" customWidth="1"/>
    <col min="2071" max="2071" width="15.7109375" style="184" customWidth="1"/>
    <col min="2072" max="2074" width="13.42578125" style="184" customWidth="1"/>
    <col min="2075" max="2075" width="15.7109375" style="184" customWidth="1"/>
    <col min="2076" max="2076" width="16.140625" style="184" customWidth="1"/>
    <col min="2077" max="2077" width="9" style="184"/>
    <col min="2078" max="2078" width="13" style="184" customWidth="1"/>
    <col min="2079" max="2305" width="9" style="184"/>
    <col min="2306" max="2306" width="2.5703125" style="184" customWidth="1"/>
    <col min="2307" max="2307" width="27.5703125" style="184" customWidth="1"/>
    <col min="2308" max="2308" width="16.140625" style="184" customWidth="1"/>
    <col min="2309" max="2324" width="3.5703125" style="184" customWidth="1"/>
    <col min="2325" max="2325" width="5.5703125" style="184" customWidth="1"/>
    <col min="2326" max="2326" width="11.5703125" style="184" customWidth="1"/>
    <col min="2327" max="2327" width="15.7109375" style="184" customWidth="1"/>
    <col min="2328" max="2330" width="13.42578125" style="184" customWidth="1"/>
    <col min="2331" max="2331" width="15.7109375" style="184" customWidth="1"/>
    <col min="2332" max="2332" width="16.140625" style="184" customWidth="1"/>
    <col min="2333" max="2333" width="9" style="184"/>
    <col min="2334" max="2334" width="13" style="184" customWidth="1"/>
    <col min="2335" max="2561" width="9" style="184"/>
    <col min="2562" max="2562" width="2.5703125" style="184" customWidth="1"/>
    <col min="2563" max="2563" width="27.5703125" style="184" customWidth="1"/>
    <col min="2564" max="2564" width="16.140625" style="184" customWidth="1"/>
    <col min="2565" max="2580" width="3.5703125" style="184" customWidth="1"/>
    <col min="2581" max="2581" width="5.5703125" style="184" customWidth="1"/>
    <col min="2582" max="2582" width="11.5703125" style="184" customWidth="1"/>
    <col min="2583" max="2583" width="15.7109375" style="184" customWidth="1"/>
    <col min="2584" max="2586" width="13.42578125" style="184" customWidth="1"/>
    <col min="2587" max="2587" width="15.7109375" style="184" customWidth="1"/>
    <col min="2588" max="2588" width="16.140625" style="184" customWidth="1"/>
    <col min="2589" max="2589" width="9" style="184"/>
    <col min="2590" max="2590" width="13" style="184" customWidth="1"/>
    <col min="2591" max="2817" width="9" style="184"/>
    <col min="2818" max="2818" width="2.5703125" style="184" customWidth="1"/>
    <col min="2819" max="2819" width="27.5703125" style="184" customWidth="1"/>
    <col min="2820" max="2820" width="16.140625" style="184" customWidth="1"/>
    <col min="2821" max="2836" width="3.5703125" style="184" customWidth="1"/>
    <col min="2837" max="2837" width="5.5703125" style="184" customWidth="1"/>
    <col min="2838" max="2838" width="11.5703125" style="184" customWidth="1"/>
    <col min="2839" max="2839" width="15.7109375" style="184" customWidth="1"/>
    <col min="2840" max="2842" width="13.42578125" style="184" customWidth="1"/>
    <col min="2843" max="2843" width="15.7109375" style="184" customWidth="1"/>
    <col min="2844" max="2844" width="16.140625" style="184" customWidth="1"/>
    <col min="2845" max="2845" width="9" style="184"/>
    <col min="2846" max="2846" width="13" style="184" customWidth="1"/>
    <col min="2847" max="3073" width="9" style="184"/>
    <col min="3074" max="3074" width="2.5703125" style="184" customWidth="1"/>
    <col min="3075" max="3075" width="27.5703125" style="184" customWidth="1"/>
    <col min="3076" max="3076" width="16.140625" style="184" customWidth="1"/>
    <col min="3077" max="3092" width="3.5703125" style="184" customWidth="1"/>
    <col min="3093" max="3093" width="5.5703125" style="184" customWidth="1"/>
    <col min="3094" max="3094" width="11.5703125" style="184" customWidth="1"/>
    <col min="3095" max="3095" width="15.7109375" style="184" customWidth="1"/>
    <col min="3096" max="3098" width="13.42578125" style="184" customWidth="1"/>
    <col min="3099" max="3099" width="15.7109375" style="184" customWidth="1"/>
    <col min="3100" max="3100" width="16.140625" style="184" customWidth="1"/>
    <col min="3101" max="3101" width="9" style="184"/>
    <col min="3102" max="3102" width="13" style="184" customWidth="1"/>
    <col min="3103" max="3329" width="9" style="184"/>
    <col min="3330" max="3330" width="2.5703125" style="184" customWidth="1"/>
    <col min="3331" max="3331" width="27.5703125" style="184" customWidth="1"/>
    <col min="3332" max="3332" width="16.140625" style="184" customWidth="1"/>
    <col min="3333" max="3348" width="3.5703125" style="184" customWidth="1"/>
    <col min="3349" max="3349" width="5.5703125" style="184" customWidth="1"/>
    <col min="3350" max="3350" width="11.5703125" style="184" customWidth="1"/>
    <col min="3351" max="3351" width="15.7109375" style="184" customWidth="1"/>
    <col min="3352" max="3354" width="13.42578125" style="184" customWidth="1"/>
    <col min="3355" max="3355" width="15.7109375" style="184" customWidth="1"/>
    <col min="3356" max="3356" width="16.140625" style="184" customWidth="1"/>
    <col min="3357" max="3357" width="9" style="184"/>
    <col min="3358" max="3358" width="13" style="184" customWidth="1"/>
    <col min="3359" max="3585" width="9" style="184"/>
    <col min="3586" max="3586" width="2.5703125" style="184" customWidth="1"/>
    <col min="3587" max="3587" width="27.5703125" style="184" customWidth="1"/>
    <col min="3588" max="3588" width="16.140625" style="184" customWidth="1"/>
    <col min="3589" max="3604" width="3.5703125" style="184" customWidth="1"/>
    <col min="3605" max="3605" width="5.5703125" style="184" customWidth="1"/>
    <col min="3606" max="3606" width="11.5703125" style="184" customWidth="1"/>
    <col min="3607" max="3607" width="15.7109375" style="184" customWidth="1"/>
    <col min="3608" max="3610" width="13.42578125" style="184" customWidth="1"/>
    <col min="3611" max="3611" width="15.7109375" style="184" customWidth="1"/>
    <col min="3612" max="3612" width="16.140625" style="184" customWidth="1"/>
    <col min="3613" max="3613" width="9" style="184"/>
    <col min="3614" max="3614" width="13" style="184" customWidth="1"/>
    <col min="3615" max="3841" width="9" style="184"/>
    <col min="3842" max="3842" width="2.5703125" style="184" customWidth="1"/>
    <col min="3843" max="3843" width="27.5703125" style="184" customWidth="1"/>
    <col min="3844" max="3844" width="16.140625" style="184" customWidth="1"/>
    <col min="3845" max="3860" width="3.5703125" style="184" customWidth="1"/>
    <col min="3861" max="3861" width="5.5703125" style="184" customWidth="1"/>
    <col min="3862" max="3862" width="11.5703125" style="184" customWidth="1"/>
    <col min="3863" max="3863" width="15.7109375" style="184" customWidth="1"/>
    <col min="3864" max="3866" width="13.42578125" style="184" customWidth="1"/>
    <col min="3867" max="3867" width="15.7109375" style="184" customWidth="1"/>
    <col min="3868" max="3868" width="16.140625" style="184" customWidth="1"/>
    <col min="3869" max="3869" width="9" style="184"/>
    <col min="3870" max="3870" width="13" style="184" customWidth="1"/>
    <col min="3871" max="4097" width="9" style="184"/>
    <col min="4098" max="4098" width="2.5703125" style="184" customWidth="1"/>
    <col min="4099" max="4099" width="27.5703125" style="184" customWidth="1"/>
    <col min="4100" max="4100" width="16.140625" style="184" customWidth="1"/>
    <col min="4101" max="4116" width="3.5703125" style="184" customWidth="1"/>
    <col min="4117" max="4117" width="5.5703125" style="184" customWidth="1"/>
    <col min="4118" max="4118" width="11.5703125" style="184" customWidth="1"/>
    <col min="4119" max="4119" width="15.7109375" style="184" customWidth="1"/>
    <col min="4120" max="4122" width="13.42578125" style="184" customWidth="1"/>
    <col min="4123" max="4123" width="15.7109375" style="184" customWidth="1"/>
    <col min="4124" max="4124" width="16.140625" style="184" customWidth="1"/>
    <col min="4125" max="4125" width="9" style="184"/>
    <col min="4126" max="4126" width="13" style="184" customWidth="1"/>
    <col min="4127" max="4353" width="9" style="184"/>
    <col min="4354" max="4354" width="2.5703125" style="184" customWidth="1"/>
    <col min="4355" max="4355" width="27.5703125" style="184" customWidth="1"/>
    <col min="4356" max="4356" width="16.140625" style="184" customWidth="1"/>
    <col min="4357" max="4372" width="3.5703125" style="184" customWidth="1"/>
    <col min="4373" max="4373" width="5.5703125" style="184" customWidth="1"/>
    <col min="4374" max="4374" width="11.5703125" style="184" customWidth="1"/>
    <col min="4375" max="4375" width="15.7109375" style="184" customWidth="1"/>
    <col min="4376" max="4378" width="13.42578125" style="184" customWidth="1"/>
    <col min="4379" max="4379" width="15.7109375" style="184" customWidth="1"/>
    <col min="4380" max="4380" width="16.140625" style="184" customWidth="1"/>
    <col min="4381" max="4381" width="9" style="184"/>
    <col min="4382" max="4382" width="13" style="184" customWidth="1"/>
    <col min="4383" max="4609" width="9" style="184"/>
    <col min="4610" max="4610" width="2.5703125" style="184" customWidth="1"/>
    <col min="4611" max="4611" width="27.5703125" style="184" customWidth="1"/>
    <col min="4612" max="4612" width="16.140625" style="184" customWidth="1"/>
    <col min="4613" max="4628" width="3.5703125" style="184" customWidth="1"/>
    <col min="4629" max="4629" width="5.5703125" style="184" customWidth="1"/>
    <col min="4630" max="4630" width="11.5703125" style="184" customWidth="1"/>
    <col min="4631" max="4631" width="15.7109375" style="184" customWidth="1"/>
    <col min="4632" max="4634" width="13.42578125" style="184" customWidth="1"/>
    <col min="4635" max="4635" width="15.7109375" style="184" customWidth="1"/>
    <col min="4636" max="4636" width="16.140625" style="184" customWidth="1"/>
    <col min="4637" max="4637" width="9" style="184"/>
    <col min="4638" max="4638" width="13" style="184" customWidth="1"/>
    <col min="4639" max="4865" width="9" style="184"/>
    <col min="4866" max="4866" width="2.5703125" style="184" customWidth="1"/>
    <col min="4867" max="4867" width="27.5703125" style="184" customWidth="1"/>
    <col min="4868" max="4868" width="16.140625" style="184" customWidth="1"/>
    <col min="4869" max="4884" width="3.5703125" style="184" customWidth="1"/>
    <col min="4885" max="4885" width="5.5703125" style="184" customWidth="1"/>
    <col min="4886" max="4886" width="11.5703125" style="184" customWidth="1"/>
    <col min="4887" max="4887" width="15.7109375" style="184" customWidth="1"/>
    <col min="4888" max="4890" width="13.42578125" style="184" customWidth="1"/>
    <col min="4891" max="4891" width="15.7109375" style="184" customWidth="1"/>
    <col min="4892" max="4892" width="16.140625" style="184" customWidth="1"/>
    <col min="4893" max="4893" width="9" style="184"/>
    <col min="4894" max="4894" width="13" style="184" customWidth="1"/>
    <col min="4895" max="5121" width="9" style="184"/>
    <col min="5122" max="5122" width="2.5703125" style="184" customWidth="1"/>
    <col min="5123" max="5123" width="27.5703125" style="184" customWidth="1"/>
    <col min="5124" max="5124" width="16.140625" style="184" customWidth="1"/>
    <col min="5125" max="5140" width="3.5703125" style="184" customWidth="1"/>
    <col min="5141" max="5141" width="5.5703125" style="184" customWidth="1"/>
    <col min="5142" max="5142" width="11.5703125" style="184" customWidth="1"/>
    <col min="5143" max="5143" width="15.7109375" style="184" customWidth="1"/>
    <col min="5144" max="5146" width="13.42578125" style="184" customWidth="1"/>
    <col min="5147" max="5147" width="15.7109375" style="184" customWidth="1"/>
    <col min="5148" max="5148" width="16.140625" style="184" customWidth="1"/>
    <col min="5149" max="5149" width="9" style="184"/>
    <col min="5150" max="5150" width="13" style="184" customWidth="1"/>
    <col min="5151" max="5377" width="9" style="184"/>
    <col min="5378" max="5378" width="2.5703125" style="184" customWidth="1"/>
    <col min="5379" max="5379" width="27.5703125" style="184" customWidth="1"/>
    <col min="5380" max="5380" width="16.140625" style="184" customWidth="1"/>
    <col min="5381" max="5396" width="3.5703125" style="184" customWidth="1"/>
    <col min="5397" max="5397" width="5.5703125" style="184" customWidth="1"/>
    <col min="5398" max="5398" width="11.5703125" style="184" customWidth="1"/>
    <col min="5399" max="5399" width="15.7109375" style="184" customWidth="1"/>
    <col min="5400" max="5402" width="13.42578125" style="184" customWidth="1"/>
    <col min="5403" max="5403" width="15.7109375" style="184" customWidth="1"/>
    <col min="5404" max="5404" width="16.140625" style="184" customWidth="1"/>
    <col min="5405" max="5405" width="9" style="184"/>
    <col min="5406" max="5406" width="13" style="184" customWidth="1"/>
    <col min="5407" max="5633" width="9" style="184"/>
    <col min="5634" max="5634" width="2.5703125" style="184" customWidth="1"/>
    <col min="5635" max="5635" width="27.5703125" style="184" customWidth="1"/>
    <col min="5636" max="5636" width="16.140625" style="184" customWidth="1"/>
    <col min="5637" max="5652" width="3.5703125" style="184" customWidth="1"/>
    <col min="5653" max="5653" width="5.5703125" style="184" customWidth="1"/>
    <col min="5654" max="5654" width="11.5703125" style="184" customWidth="1"/>
    <col min="5655" max="5655" width="15.7109375" style="184" customWidth="1"/>
    <col min="5656" max="5658" width="13.42578125" style="184" customWidth="1"/>
    <col min="5659" max="5659" width="15.7109375" style="184" customWidth="1"/>
    <col min="5660" max="5660" width="16.140625" style="184" customWidth="1"/>
    <col min="5661" max="5661" width="9" style="184"/>
    <col min="5662" max="5662" width="13" style="184" customWidth="1"/>
    <col min="5663" max="5889" width="9" style="184"/>
    <col min="5890" max="5890" width="2.5703125" style="184" customWidth="1"/>
    <col min="5891" max="5891" width="27.5703125" style="184" customWidth="1"/>
    <col min="5892" max="5892" width="16.140625" style="184" customWidth="1"/>
    <col min="5893" max="5908" width="3.5703125" style="184" customWidth="1"/>
    <col min="5909" max="5909" width="5.5703125" style="184" customWidth="1"/>
    <col min="5910" max="5910" width="11.5703125" style="184" customWidth="1"/>
    <col min="5911" max="5911" width="15.7109375" style="184" customWidth="1"/>
    <col min="5912" max="5914" width="13.42578125" style="184" customWidth="1"/>
    <col min="5915" max="5915" width="15.7109375" style="184" customWidth="1"/>
    <col min="5916" max="5916" width="16.140625" style="184" customWidth="1"/>
    <col min="5917" max="5917" width="9" style="184"/>
    <col min="5918" max="5918" width="13" style="184" customWidth="1"/>
    <col min="5919" max="6145" width="9" style="184"/>
    <col min="6146" max="6146" width="2.5703125" style="184" customWidth="1"/>
    <col min="6147" max="6147" width="27.5703125" style="184" customWidth="1"/>
    <col min="6148" max="6148" width="16.140625" style="184" customWidth="1"/>
    <col min="6149" max="6164" width="3.5703125" style="184" customWidth="1"/>
    <col min="6165" max="6165" width="5.5703125" style="184" customWidth="1"/>
    <col min="6166" max="6166" width="11.5703125" style="184" customWidth="1"/>
    <col min="6167" max="6167" width="15.7109375" style="184" customWidth="1"/>
    <col min="6168" max="6170" width="13.42578125" style="184" customWidth="1"/>
    <col min="6171" max="6171" width="15.7109375" style="184" customWidth="1"/>
    <col min="6172" max="6172" width="16.140625" style="184" customWidth="1"/>
    <col min="6173" max="6173" width="9" style="184"/>
    <col min="6174" max="6174" width="13" style="184" customWidth="1"/>
    <col min="6175" max="6401" width="9" style="184"/>
    <col min="6402" max="6402" width="2.5703125" style="184" customWidth="1"/>
    <col min="6403" max="6403" width="27.5703125" style="184" customWidth="1"/>
    <col min="6404" max="6404" width="16.140625" style="184" customWidth="1"/>
    <col min="6405" max="6420" width="3.5703125" style="184" customWidth="1"/>
    <col min="6421" max="6421" width="5.5703125" style="184" customWidth="1"/>
    <col min="6422" max="6422" width="11.5703125" style="184" customWidth="1"/>
    <col min="6423" max="6423" width="15.7109375" style="184" customWidth="1"/>
    <col min="6424" max="6426" width="13.42578125" style="184" customWidth="1"/>
    <col min="6427" max="6427" width="15.7109375" style="184" customWidth="1"/>
    <col min="6428" max="6428" width="16.140625" style="184" customWidth="1"/>
    <col min="6429" max="6429" width="9" style="184"/>
    <col min="6430" max="6430" width="13" style="184" customWidth="1"/>
    <col min="6431" max="6657" width="9" style="184"/>
    <col min="6658" max="6658" width="2.5703125" style="184" customWidth="1"/>
    <col min="6659" max="6659" width="27.5703125" style="184" customWidth="1"/>
    <col min="6660" max="6660" width="16.140625" style="184" customWidth="1"/>
    <col min="6661" max="6676" width="3.5703125" style="184" customWidth="1"/>
    <col min="6677" max="6677" width="5.5703125" style="184" customWidth="1"/>
    <col min="6678" max="6678" width="11.5703125" style="184" customWidth="1"/>
    <col min="6679" max="6679" width="15.7109375" style="184" customWidth="1"/>
    <col min="6680" max="6682" width="13.42578125" style="184" customWidth="1"/>
    <col min="6683" max="6683" width="15.7109375" style="184" customWidth="1"/>
    <col min="6684" max="6684" width="16.140625" style="184" customWidth="1"/>
    <col min="6685" max="6685" width="9" style="184"/>
    <col min="6686" max="6686" width="13" style="184" customWidth="1"/>
    <col min="6687" max="6913" width="9" style="184"/>
    <col min="6914" max="6914" width="2.5703125" style="184" customWidth="1"/>
    <col min="6915" max="6915" width="27.5703125" style="184" customWidth="1"/>
    <col min="6916" max="6916" width="16.140625" style="184" customWidth="1"/>
    <col min="6917" max="6932" width="3.5703125" style="184" customWidth="1"/>
    <col min="6933" max="6933" width="5.5703125" style="184" customWidth="1"/>
    <col min="6934" max="6934" width="11.5703125" style="184" customWidth="1"/>
    <col min="6935" max="6935" width="15.7109375" style="184" customWidth="1"/>
    <col min="6936" max="6938" width="13.42578125" style="184" customWidth="1"/>
    <col min="6939" max="6939" width="15.7109375" style="184" customWidth="1"/>
    <col min="6940" max="6940" width="16.140625" style="184" customWidth="1"/>
    <col min="6941" max="6941" width="9" style="184"/>
    <col min="6942" max="6942" width="13" style="184" customWidth="1"/>
    <col min="6943" max="7169" width="9" style="184"/>
    <col min="7170" max="7170" width="2.5703125" style="184" customWidth="1"/>
    <col min="7171" max="7171" width="27.5703125" style="184" customWidth="1"/>
    <col min="7172" max="7172" width="16.140625" style="184" customWidth="1"/>
    <col min="7173" max="7188" width="3.5703125" style="184" customWidth="1"/>
    <col min="7189" max="7189" width="5.5703125" style="184" customWidth="1"/>
    <col min="7190" max="7190" width="11.5703125" style="184" customWidth="1"/>
    <col min="7191" max="7191" width="15.7109375" style="184" customWidth="1"/>
    <col min="7192" max="7194" width="13.42578125" style="184" customWidth="1"/>
    <col min="7195" max="7195" width="15.7109375" style="184" customWidth="1"/>
    <col min="7196" max="7196" width="16.140625" style="184" customWidth="1"/>
    <col min="7197" max="7197" width="9" style="184"/>
    <col min="7198" max="7198" width="13" style="184" customWidth="1"/>
    <col min="7199" max="7425" width="9" style="184"/>
    <col min="7426" max="7426" width="2.5703125" style="184" customWidth="1"/>
    <col min="7427" max="7427" width="27.5703125" style="184" customWidth="1"/>
    <col min="7428" max="7428" width="16.140625" style="184" customWidth="1"/>
    <col min="7429" max="7444" width="3.5703125" style="184" customWidth="1"/>
    <col min="7445" max="7445" width="5.5703125" style="184" customWidth="1"/>
    <col min="7446" max="7446" width="11.5703125" style="184" customWidth="1"/>
    <col min="7447" max="7447" width="15.7109375" style="184" customWidth="1"/>
    <col min="7448" max="7450" width="13.42578125" style="184" customWidth="1"/>
    <col min="7451" max="7451" width="15.7109375" style="184" customWidth="1"/>
    <col min="7452" max="7452" width="16.140625" style="184" customWidth="1"/>
    <col min="7453" max="7453" width="9" style="184"/>
    <col min="7454" max="7454" width="13" style="184" customWidth="1"/>
    <col min="7455" max="7681" width="9" style="184"/>
    <col min="7682" max="7682" width="2.5703125" style="184" customWidth="1"/>
    <col min="7683" max="7683" width="27.5703125" style="184" customWidth="1"/>
    <col min="7684" max="7684" width="16.140625" style="184" customWidth="1"/>
    <col min="7685" max="7700" width="3.5703125" style="184" customWidth="1"/>
    <col min="7701" max="7701" width="5.5703125" style="184" customWidth="1"/>
    <col min="7702" max="7702" width="11.5703125" style="184" customWidth="1"/>
    <col min="7703" max="7703" width="15.7109375" style="184" customWidth="1"/>
    <col min="7704" max="7706" width="13.42578125" style="184" customWidth="1"/>
    <col min="7707" max="7707" width="15.7109375" style="184" customWidth="1"/>
    <col min="7708" max="7708" width="16.140625" style="184" customWidth="1"/>
    <col min="7709" max="7709" width="9" style="184"/>
    <col min="7710" max="7710" width="13" style="184" customWidth="1"/>
    <col min="7711" max="7937" width="9" style="184"/>
    <col min="7938" max="7938" width="2.5703125" style="184" customWidth="1"/>
    <col min="7939" max="7939" width="27.5703125" style="184" customWidth="1"/>
    <col min="7940" max="7940" width="16.140625" style="184" customWidth="1"/>
    <col min="7941" max="7956" width="3.5703125" style="184" customWidth="1"/>
    <col min="7957" max="7957" width="5.5703125" style="184" customWidth="1"/>
    <col min="7958" max="7958" width="11.5703125" style="184" customWidth="1"/>
    <col min="7959" max="7959" width="15.7109375" style="184" customWidth="1"/>
    <col min="7960" max="7962" width="13.42578125" style="184" customWidth="1"/>
    <col min="7963" max="7963" width="15.7109375" style="184" customWidth="1"/>
    <col min="7964" max="7964" width="16.140625" style="184" customWidth="1"/>
    <col min="7965" max="7965" width="9" style="184"/>
    <col min="7966" max="7966" width="13" style="184" customWidth="1"/>
    <col min="7967" max="8193" width="9" style="184"/>
    <col min="8194" max="8194" width="2.5703125" style="184" customWidth="1"/>
    <col min="8195" max="8195" width="27.5703125" style="184" customWidth="1"/>
    <col min="8196" max="8196" width="16.140625" style="184" customWidth="1"/>
    <col min="8197" max="8212" width="3.5703125" style="184" customWidth="1"/>
    <col min="8213" max="8213" width="5.5703125" style="184" customWidth="1"/>
    <col min="8214" max="8214" width="11.5703125" style="184" customWidth="1"/>
    <col min="8215" max="8215" width="15.7109375" style="184" customWidth="1"/>
    <col min="8216" max="8218" width="13.42578125" style="184" customWidth="1"/>
    <col min="8219" max="8219" width="15.7109375" style="184" customWidth="1"/>
    <col min="8220" max="8220" width="16.140625" style="184" customWidth="1"/>
    <col min="8221" max="8221" width="9" style="184"/>
    <col min="8222" max="8222" width="13" style="184" customWidth="1"/>
    <col min="8223" max="8449" width="9" style="184"/>
    <col min="8450" max="8450" width="2.5703125" style="184" customWidth="1"/>
    <col min="8451" max="8451" width="27.5703125" style="184" customWidth="1"/>
    <col min="8452" max="8452" width="16.140625" style="184" customWidth="1"/>
    <col min="8453" max="8468" width="3.5703125" style="184" customWidth="1"/>
    <col min="8469" max="8469" width="5.5703125" style="184" customWidth="1"/>
    <col min="8470" max="8470" width="11.5703125" style="184" customWidth="1"/>
    <col min="8471" max="8471" width="15.7109375" style="184" customWidth="1"/>
    <col min="8472" max="8474" width="13.42578125" style="184" customWidth="1"/>
    <col min="8475" max="8475" width="15.7109375" style="184" customWidth="1"/>
    <col min="8476" max="8476" width="16.140625" style="184" customWidth="1"/>
    <col min="8477" max="8477" width="9" style="184"/>
    <col min="8478" max="8478" width="13" style="184" customWidth="1"/>
    <col min="8479" max="8705" width="9" style="184"/>
    <col min="8706" max="8706" width="2.5703125" style="184" customWidth="1"/>
    <col min="8707" max="8707" width="27.5703125" style="184" customWidth="1"/>
    <col min="8708" max="8708" width="16.140625" style="184" customWidth="1"/>
    <col min="8709" max="8724" width="3.5703125" style="184" customWidth="1"/>
    <col min="8725" max="8725" width="5.5703125" style="184" customWidth="1"/>
    <col min="8726" max="8726" width="11.5703125" style="184" customWidth="1"/>
    <col min="8727" max="8727" width="15.7109375" style="184" customWidth="1"/>
    <col min="8728" max="8730" width="13.42578125" style="184" customWidth="1"/>
    <col min="8731" max="8731" width="15.7109375" style="184" customWidth="1"/>
    <col min="8732" max="8732" width="16.140625" style="184" customWidth="1"/>
    <col min="8733" max="8733" width="9" style="184"/>
    <col min="8734" max="8734" width="13" style="184" customWidth="1"/>
    <col min="8735" max="8961" width="9" style="184"/>
    <col min="8962" max="8962" width="2.5703125" style="184" customWidth="1"/>
    <col min="8963" max="8963" width="27.5703125" style="184" customWidth="1"/>
    <col min="8964" max="8964" width="16.140625" style="184" customWidth="1"/>
    <col min="8965" max="8980" width="3.5703125" style="184" customWidth="1"/>
    <col min="8981" max="8981" width="5.5703125" style="184" customWidth="1"/>
    <col min="8982" max="8982" width="11.5703125" style="184" customWidth="1"/>
    <col min="8983" max="8983" width="15.7109375" style="184" customWidth="1"/>
    <col min="8984" max="8986" width="13.42578125" style="184" customWidth="1"/>
    <col min="8987" max="8987" width="15.7109375" style="184" customWidth="1"/>
    <col min="8988" max="8988" width="16.140625" style="184" customWidth="1"/>
    <col min="8989" max="8989" width="9" style="184"/>
    <col min="8990" max="8990" width="13" style="184" customWidth="1"/>
    <col min="8991" max="9217" width="9" style="184"/>
    <col min="9218" max="9218" width="2.5703125" style="184" customWidth="1"/>
    <col min="9219" max="9219" width="27.5703125" style="184" customWidth="1"/>
    <col min="9220" max="9220" width="16.140625" style="184" customWidth="1"/>
    <col min="9221" max="9236" width="3.5703125" style="184" customWidth="1"/>
    <col min="9237" max="9237" width="5.5703125" style="184" customWidth="1"/>
    <col min="9238" max="9238" width="11.5703125" style="184" customWidth="1"/>
    <col min="9239" max="9239" width="15.7109375" style="184" customWidth="1"/>
    <col min="9240" max="9242" width="13.42578125" style="184" customWidth="1"/>
    <col min="9243" max="9243" width="15.7109375" style="184" customWidth="1"/>
    <col min="9244" max="9244" width="16.140625" style="184" customWidth="1"/>
    <col min="9245" max="9245" width="9" style="184"/>
    <col min="9246" max="9246" width="13" style="184" customWidth="1"/>
    <col min="9247" max="9473" width="9" style="184"/>
    <col min="9474" max="9474" width="2.5703125" style="184" customWidth="1"/>
    <col min="9475" max="9475" width="27.5703125" style="184" customWidth="1"/>
    <col min="9476" max="9476" width="16.140625" style="184" customWidth="1"/>
    <col min="9477" max="9492" width="3.5703125" style="184" customWidth="1"/>
    <col min="9493" max="9493" width="5.5703125" style="184" customWidth="1"/>
    <col min="9494" max="9494" width="11.5703125" style="184" customWidth="1"/>
    <col min="9495" max="9495" width="15.7109375" style="184" customWidth="1"/>
    <col min="9496" max="9498" width="13.42578125" style="184" customWidth="1"/>
    <col min="9499" max="9499" width="15.7109375" style="184" customWidth="1"/>
    <col min="9500" max="9500" width="16.140625" style="184" customWidth="1"/>
    <col min="9501" max="9501" width="9" style="184"/>
    <col min="9502" max="9502" width="13" style="184" customWidth="1"/>
    <col min="9503" max="9729" width="9" style="184"/>
    <col min="9730" max="9730" width="2.5703125" style="184" customWidth="1"/>
    <col min="9731" max="9731" width="27.5703125" style="184" customWidth="1"/>
    <col min="9732" max="9732" width="16.140625" style="184" customWidth="1"/>
    <col min="9733" max="9748" width="3.5703125" style="184" customWidth="1"/>
    <col min="9749" max="9749" width="5.5703125" style="184" customWidth="1"/>
    <col min="9750" max="9750" width="11.5703125" style="184" customWidth="1"/>
    <col min="9751" max="9751" width="15.7109375" style="184" customWidth="1"/>
    <col min="9752" max="9754" width="13.42578125" style="184" customWidth="1"/>
    <col min="9755" max="9755" width="15.7109375" style="184" customWidth="1"/>
    <col min="9756" max="9756" width="16.140625" style="184" customWidth="1"/>
    <col min="9757" max="9757" width="9" style="184"/>
    <col min="9758" max="9758" width="13" style="184" customWidth="1"/>
    <col min="9759" max="9985" width="9" style="184"/>
    <col min="9986" max="9986" width="2.5703125" style="184" customWidth="1"/>
    <col min="9987" max="9987" width="27.5703125" style="184" customWidth="1"/>
    <col min="9988" max="9988" width="16.140625" style="184" customWidth="1"/>
    <col min="9989" max="10004" width="3.5703125" style="184" customWidth="1"/>
    <col min="10005" max="10005" width="5.5703125" style="184" customWidth="1"/>
    <col min="10006" max="10006" width="11.5703125" style="184" customWidth="1"/>
    <col min="10007" max="10007" width="15.7109375" style="184" customWidth="1"/>
    <col min="10008" max="10010" width="13.42578125" style="184" customWidth="1"/>
    <col min="10011" max="10011" width="15.7109375" style="184" customWidth="1"/>
    <col min="10012" max="10012" width="16.140625" style="184" customWidth="1"/>
    <col min="10013" max="10013" width="9" style="184"/>
    <col min="10014" max="10014" width="13" style="184" customWidth="1"/>
    <col min="10015" max="10241" width="9" style="184"/>
    <col min="10242" max="10242" width="2.5703125" style="184" customWidth="1"/>
    <col min="10243" max="10243" width="27.5703125" style="184" customWidth="1"/>
    <col min="10244" max="10244" width="16.140625" style="184" customWidth="1"/>
    <col min="10245" max="10260" width="3.5703125" style="184" customWidth="1"/>
    <col min="10261" max="10261" width="5.5703125" style="184" customWidth="1"/>
    <col min="10262" max="10262" width="11.5703125" style="184" customWidth="1"/>
    <col min="10263" max="10263" width="15.7109375" style="184" customWidth="1"/>
    <col min="10264" max="10266" width="13.42578125" style="184" customWidth="1"/>
    <col min="10267" max="10267" width="15.7109375" style="184" customWidth="1"/>
    <col min="10268" max="10268" width="16.140625" style="184" customWidth="1"/>
    <col min="10269" max="10269" width="9" style="184"/>
    <col min="10270" max="10270" width="13" style="184" customWidth="1"/>
    <col min="10271" max="10497" width="9" style="184"/>
    <col min="10498" max="10498" width="2.5703125" style="184" customWidth="1"/>
    <col min="10499" max="10499" width="27.5703125" style="184" customWidth="1"/>
    <col min="10500" max="10500" width="16.140625" style="184" customWidth="1"/>
    <col min="10501" max="10516" width="3.5703125" style="184" customWidth="1"/>
    <col min="10517" max="10517" width="5.5703125" style="184" customWidth="1"/>
    <col min="10518" max="10518" width="11.5703125" style="184" customWidth="1"/>
    <col min="10519" max="10519" width="15.7109375" style="184" customWidth="1"/>
    <col min="10520" max="10522" width="13.42578125" style="184" customWidth="1"/>
    <col min="10523" max="10523" width="15.7109375" style="184" customWidth="1"/>
    <col min="10524" max="10524" width="16.140625" style="184" customWidth="1"/>
    <col min="10525" max="10525" width="9" style="184"/>
    <col min="10526" max="10526" width="13" style="184" customWidth="1"/>
    <col min="10527" max="10753" width="9" style="184"/>
    <col min="10754" max="10754" width="2.5703125" style="184" customWidth="1"/>
    <col min="10755" max="10755" width="27.5703125" style="184" customWidth="1"/>
    <col min="10756" max="10756" width="16.140625" style="184" customWidth="1"/>
    <col min="10757" max="10772" width="3.5703125" style="184" customWidth="1"/>
    <col min="10773" max="10773" width="5.5703125" style="184" customWidth="1"/>
    <col min="10774" max="10774" width="11.5703125" style="184" customWidth="1"/>
    <col min="10775" max="10775" width="15.7109375" style="184" customWidth="1"/>
    <col min="10776" max="10778" width="13.42578125" style="184" customWidth="1"/>
    <col min="10779" max="10779" width="15.7109375" style="184" customWidth="1"/>
    <col min="10780" max="10780" width="16.140625" style="184" customWidth="1"/>
    <col min="10781" max="10781" width="9" style="184"/>
    <col min="10782" max="10782" width="13" style="184" customWidth="1"/>
    <col min="10783" max="11009" width="9" style="184"/>
    <col min="11010" max="11010" width="2.5703125" style="184" customWidth="1"/>
    <col min="11011" max="11011" width="27.5703125" style="184" customWidth="1"/>
    <col min="11012" max="11012" width="16.140625" style="184" customWidth="1"/>
    <col min="11013" max="11028" width="3.5703125" style="184" customWidth="1"/>
    <col min="11029" max="11029" width="5.5703125" style="184" customWidth="1"/>
    <col min="11030" max="11030" width="11.5703125" style="184" customWidth="1"/>
    <col min="11031" max="11031" width="15.7109375" style="184" customWidth="1"/>
    <col min="11032" max="11034" width="13.42578125" style="184" customWidth="1"/>
    <col min="11035" max="11035" width="15.7109375" style="184" customWidth="1"/>
    <col min="11036" max="11036" width="16.140625" style="184" customWidth="1"/>
    <col min="11037" max="11037" width="9" style="184"/>
    <col min="11038" max="11038" width="13" style="184" customWidth="1"/>
    <col min="11039" max="11265" width="9" style="184"/>
    <col min="11266" max="11266" width="2.5703125" style="184" customWidth="1"/>
    <col min="11267" max="11267" width="27.5703125" style="184" customWidth="1"/>
    <col min="11268" max="11268" width="16.140625" style="184" customWidth="1"/>
    <col min="11269" max="11284" width="3.5703125" style="184" customWidth="1"/>
    <col min="11285" max="11285" width="5.5703125" style="184" customWidth="1"/>
    <col min="11286" max="11286" width="11.5703125" style="184" customWidth="1"/>
    <col min="11287" max="11287" width="15.7109375" style="184" customWidth="1"/>
    <col min="11288" max="11290" width="13.42578125" style="184" customWidth="1"/>
    <col min="11291" max="11291" width="15.7109375" style="184" customWidth="1"/>
    <col min="11292" max="11292" width="16.140625" style="184" customWidth="1"/>
    <col min="11293" max="11293" width="9" style="184"/>
    <col min="11294" max="11294" width="13" style="184" customWidth="1"/>
    <col min="11295" max="11521" width="9" style="184"/>
    <col min="11522" max="11522" width="2.5703125" style="184" customWidth="1"/>
    <col min="11523" max="11523" width="27.5703125" style="184" customWidth="1"/>
    <col min="11524" max="11524" width="16.140625" style="184" customWidth="1"/>
    <col min="11525" max="11540" width="3.5703125" style="184" customWidth="1"/>
    <col min="11541" max="11541" width="5.5703125" style="184" customWidth="1"/>
    <col min="11542" max="11542" width="11.5703125" style="184" customWidth="1"/>
    <col min="11543" max="11543" width="15.7109375" style="184" customWidth="1"/>
    <col min="11544" max="11546" width="13.42578125" style="184" customWidth="1"/>
    <col min="11547" max="11547" width="15.7109375" style="184" customWidth="1"/>
    <col min="11548" max="11548" width="16.140625" style="184" customWidth="1"/>
    <col min="11549" max="11549" width="9" style="184"/>
    <col min="11550" max="11550" width="13" style="184" customWidth="1"/>
    <col min="11551" max="11777" width="9" style="184"/>
    <col min="11778" max="11778" width="2.5703125" style="184" customWidth="1"/>
    <col min="11779" max="11779" width="27.5703125" style="184" customWidth="1"/>
    <col min="11780" max="11780" width="16.140625" style="184" customWidth="1"/>
    <col min="11781" max="11796" width="3.5703125" style="184" customWidth="1"/>
    <col min="11797" max="11797" width="5.5703125" style="184" customWidth="1"/>
    <col min="11798" max="11798" width="11.5703125" style="184" customWidth="1"/>
    <col min="11799" max="11799" width="15.7109375" style="184" customWidth="1"/>
    <col min="11800" max="11802" width="13.42578125" style="184" customWidth="1"/>
    <col min="11803" max="11803" width="15.7109375" style="184" customWidth="1"/>
    <col min="11804" max="11804" width="16.140625" style="184" customWidth="1"/>
    <col min="11805" max="11805" width="9" style="184"/>
    <col min="11806" max="11806" width="13" style="184" customWidth="1"/>
    <col min="11807" max="12033" width="9" style="184"/>
    <col min="12034" max="12034" width="2.5703125" style="184" customWidth="1"/>
    <col min="12035" max="12035" width="27.5703125" style="184" customWidth="1"/>
    <col min="12036" max="12036" width="16.140625" style="184" customWidth="1"/>
    <col min="12037" max="12052" width="3.5703125" style="184" customWidth="1"/>
    <col min="12053" max="12053" width="5.5703125" style="184" customWidth="1"/>
    <col min="12054" max="12054" width="11.5703125" style="184" customWidth="1"/>
    <col min="12055" max="12055" width="15.7109375" style="184" customWidth="1"/>
    <col min="12056" max="12058" width="13.42578125" style="184" customWidth="1"/>
    <col min="12059" max="12059" width="15.7109375" style="184" customWidth="1"/>
    <col min="12060" max="12060" width="16.140625" style="184" customWidth="1"/>
    <col min="12061" max="12061" width="9" style="184"/>
    <col min="12062" max="12062" width="13" style="184" customWidth="1"/>
    <col min="12063" max="12289" width="9" style="184"/>
    <col min="12290" max="12290" width="2.5703125" style="184" customWidth="1"/>
    <col min="12291" max="12291" width="27.5703125" style="184" customWidth="1"/>
    <col min="12292" max="12292" width="16.140625" style="184" customWidth="1"/>
    <col min="12293" max="12308" width="3.5703125" style="184" customWidth="1"/>
    <col min="12309" max="12309" width="5.5703125" style="184" customWidth="1"/>
    <col min="12310" max="12310" width="11.5703125" style="184" customWidth="1"/>
    <col min="12311" max="12311" width="15.7109375" style="184" customWidth="1"/>
    <col min="12312" max="12314" width="13.42578125" style="184" customWidth="1"/>
    <col min="12315" max="12315" width="15.7109375" style="184" customWidth="1"/>
    <col min="12316" max="12316" width="16.140625" style="184" customWidth="1"/>
    <col min="12317" max="12317" width="9" style="184"/>
    <col min="12318" max="12318" width="13" style="184" customWidth="1"/>
    <col min="12319" max="12545" width="9" style="184"/>
    <col min="12546" max="12546" width="2.5703125" style="184" customWidth="1"/>
    <col min="12547" max="12547" width="27.5703125" style="184" customWidth="1"/>
    <col min="12548" max="12548" width="16.140625" style="184" customWidth="1"/>
    <col min="12549" max="12564" width="3.5703125" style="184" customWidth="1"/>
    <col min="12565" max="12565" width="5.5703125" style="184" customWidth="1"/>
    <col min="12566" max="12566" width="11.5703125" style="184" customWidth="1"/>
    <col min="12567" max="12567" width="15.7109375" style="184" customWidth="1"/>
    <col min="12568" max="12570" width="13.42578125" style="184" customWidth="1"/>
    <col min="12571" max="12571" width="15.7109375" style="184" customWidth="1"/>
    <col min="12572" max="12572" width="16.140625" style="184" customWidth="1"/>
    <col min="12573" max="12573" width="9" style="184"/>
    <col min="12574" max="12574" width="13" style="184" customWidth="1"/>
    <col min="12575" max="12801" width="9" style="184"/>
    <col min="12802" max="12802" width="2.5703125" style="184" customWidth="1"/>
    <col min="12803" max="12803" width="27.5703125" style="184" customWidth="1"/>
    <col min="12804" max="12804" width="16.140625" style="184" customWidth="1"/>
    <col min="12805" max="12820" width="3.5703125" style="184" customWidth="1"/>
    <col min="12821" max="12821" width="5.5703125" style="184" customWidth="1"/>
    <col min="12822" max="12822" width="11.5703125" style="184" customWidth="1"/>
    <col min="12823" max="12823" width="15.7109375" style="184" customWidth="1"/>
    <col min="12824" max="12826" width="13.42578125" style="184" customWidth="1"/>
    <col min="12827" max="12827" width="15.7109375" style="184" customWidth="1"/>
    <col min="12828" max="12828" width="16.140625" style="184" customWidth="1"/>
    <col min="12829" max="12829" width="9" style="184"/>
    <col min="12830" max="12830" width="13" style="184" customWidth="1"/>
    <col min="12831" max="13057" width="9" style="184"/>
    <col min="13058" max="13058" width="2.5703125" style="184" customWidth="1"/>
    <col min="13059" max="13059" width="27.5703125" style="184" customWidth="1"/>
    <col min="13060" max="13060" width="16.140625" style="184" customWidth="1"/>
    <col min="13061" max="13076" width="3.5703125" style="184" customWidth="1"/>
    <col min="13077" max="13077" width="5.5703125" style="184" customWidth="1"/>
    <col min="13078" max="13078" width="11.5703125" style="184" customWidth="1"/>
    <col min="13079" max="13079" width="15.7109375" style="184" customWidth="1"/>
    <col min="13080" max="13082" width="13.42578125" style="184" customWidth="1"/>
    <col min="13083" max="13083" width="15.7109375" style="184" customWidth="1"/>
    <col min="13084" max="13084" width="16.140625" style="184" customWidth="1"/>
    <col min="13085" max="13085" width="9" style="184"/>
    <col min="13086" max="13086" width="13" style="184" customWidth="1"/>
    <col min="13087" max="13313" width="9" style="184"/>
    <col min="13314" max="13314" width="2.5703125" style="184" customWidth="1"/>
    <col min="13315" max="13315" width="27.5703125" style="184" customWidth="1"/>
    <col min="13316" max="13316" width="16.140625" style="184" customWidth="1"/>
    <col min="13317" max="13332" width="3.5703125" style="184" customWidth="1"/>
    <col min="13333" max="13333" width="5.5703125" style="184" customWidth="1"/>
    <col min="13334" max="13334" width="11.5703125" style="184" customWidth="1"/>
    <col min="13335" max="13335" width="15.7109375" style="184" customWidth="1"/>
    <col min="13336" max="13338" width="13.42578125" style="184" customWidth="1"/>
    <col min="13339" max="13339" width="15.7109375" style="184" customWidth="1"/>
    <col min="13340" max="13340" width="16.140625" style="184" customWidth="1"/>
    <col min="13341" max="13341" width="9" style="184"/>
    <col min="13342" max="13342" width="13" style="184" customWidth="1"/>
    <col min="13343" max="13569" width="9" style="184"/>
    <col min="13570" max="13570" width="2.5703125" style="184" customWidth="1"/>
    <col min="13571" max="13571" width="27.5703125" style="184" customWidth="1"/>
    <col min="13572" max="13572" width="16.140625" style="184" customWidth="1"/>
    <col min="13573" max="13588" width="3.5703125" style="184" customWidth="1"/>
    <col min="13589" max="13589" width="5.5703125" style="184" customWidth="1"/>
    <col min="13590" max="13590" width="11.5703125" style="184" customWidth="1"/>
    <col min="13591" max="13591" width="15.7109375" style="184" customWidth="1"/>
    <col min="13592" max="13594" width="13.42578125" style="184" customWidth="1"/>
    <col min="13595" max="13595" width="15.7109375" style="184" customWidth="1"/>
    <col min="13596" max="13596" width="16.140625" style="184" customWidth="1"/>
    <col min="13597" max="13597" width="9" style="184"/>
    <col min="13598" max="13598" width="13" style="184" customWidth="1"/>
    <col min="13599" max="13825" width="9" style="184"/>
    <col min="13826" max="13826" width="2.5703125" style="184" customWidth="1"/>
    <col min="13827" max="13827" width="27.5703125" style="184" customWidth="1"/>
    <col min="13828" max="13828" width="16.140625" style="184" customWidth="1"/>
    <col min="13829" max="13844" width="3.5703125" style="184" customWidth="1"/>
    <col min="13845" max="13845" width="5.5703125" style="184" customWidth="1"/>
    <col min="13846" max="13846" width="11.5703125" style="184" customWidth="1"/>
    <col min="13847" max="13847" width="15.7109375" style="184" customWidth="1"/>
    <col min="13848" max="13850" width="13.42578125" style="184" customWidth="1"/>
    <col min="13851" max="13851" width="15.7109375" style="184" customWidth="1"/>
    <col min="13852" max="13852" width="16.140625" style="184" customWidth="1"/>
    <col min="13853" max="13853" width="9" style="184"/>
    <col min="13854" max="13854" width="13" style="184" customWidth="1"/>
    <col min="13855" max="14081" width="9" style="184"/>
    <col min="14082" max="14082" width="2.5703125" style="184" customWidth="1"/>
    <col min="14083" max="14083" width="27.5703125" style="184" customWidth="1"/>
    <col min="14084" max="14084" width="16.140625" style="184" customWidth="1"/>
    <col min="14085" max="14100" width="3.5703125" style="184" customWidth="1"/>
    <col min="14101" max="14101" width="5.5703125" style="184" customWidth="1"/>
    <col min="14102" max="14102" width="11.5703125" style="184" customWidth="1"/>
    <col min="14103" max="14103" width="15.7109375" style="184" customWidth="1"/>
    <col min="14104" max="14106" width="13.42578125" style="184" customWidth="1"/>
    <col min="14107" max="14107" width="15.7109375" style="184" customWidth="1"/>
    <col min="14108" max="14108" width="16.140625" style="184" customWidth="1"/>
    <col min="14109" max="14109" width="9" style="184"/>
    <col min="14110" max="14110" width="13" style="184" customWidth="1"/>
    <col min="14111" max="14337" width="9" style="184"/>
    <col min="14338" max="14338" width="2.5703125" style="184" customWidth="1"/>
    <col min="14339" max="14339" width="27.5703125" style="184" customWidth="1"/>
    <col min="14340" max="14340" width="16.140625" style="184" customWidth="1"/>
    <col min="14341" max="14356" width="3.5703125" style="184" customWidth="1"/>
    <col min="14357" max="14357" width="5.5703125" style="184" customWidth="1"/>
    <col min="14358" max="14358" width="11.5703125" style="184" customWidth="1"/>
    <col min="14359" max="14359" width="15.7109375" style="184" customWidth="1"/>
    <col min="14360" max="14362" width="13.42578125" style="184" customWidth="1"/>
    <col min="14363" max="14363" width="15.7109375" style="184" customWidth="1"/>
    <col min="14364" max="14364" width="16.140625" style="184" customWidth="1"/>
    <col min="14365" max="14365" width="9" style="184"/>
    <col min="14366" max="14366" width="13" style="184" customWidth="1"/>
    <col min="14367" max="14593" width="9" style="184"/>
    <col min="14594" max="14594" width="2.5703125" style="184" customWidth="1"/>
    <col min="14595" max="14595" width="27.5703125" style="184" customWidth="1"/>
    <col min="14596" max="14596" width="16.140625" style="184" customWidth="1"/>
    <col min="14597" max="14612" width="3.5703125" style="184" customWidth="1"/>
    <col min="14613" max="14613" width="5.5703125" style="184" customWidth="1"/>
    <col min="14614" max="14614" width="11.5703125" style="184" customWidth="1"/>
    <col min="14615" max="14615" width="15.7109375" style="184" customWidth="1"/>
    <col min="14616" max="14618" width="13.42578125" style="184" customWidth="1"/>
    <col min="14619" max="14619" width="15.7109375" style="184" customWidth="1"/>
    <col min="14620" max="14620" width="16.140625" style="184" customWidth="1"/>
    <col min="14621" max="14621" width="9" style="184"/>
    <col min="14622" max="14622" width="13" style="184" customWidth="1"/>
    <col min="14623" max="14849" width="9" style="184"/>
    <col min="14850" max="14850" width="2.5703125" style="184" customWidth="1"/>
    <col min="14851" max="14851" width="27.5703125" style="184" customWidth="1"/>
    <col min="14852" max="14852" width="16.140625" style="184" customWidth="1"/>
    <col min="14853" max="14868" width="3.5703125" style="184" customWidth="1"/>
    <col min="14869" max="14869" width="5.5703125" style="184" customWidth="1"/>
    <col min="14870" max="14870" width="11.5703125" style="184" customWidth="1"/>
    <col min="14871" max="14871" width="15.7109375" style="184" customWidth="1"/>
    <col min="14872" max="14874" width="13.42578125" style="184" customWidth="1"/>
    <col min="14875" max="14875" width="15.7109375" style="184" customWidth="1"/>
    <col min="14876" max="14876" width="16.140625" style="184" customWidth="1"/>
    <col min="14877" max="14877" width="9" style="184"/>
    <col min="14878" max="14878" width="13" style="184" customWidth="1"/>
    <col min="14879" max="15105" width="9" style="184"/>
    <col min="15106" max="15106" width="2.5703125" style="184" customWidth="1"/>
    <col min="15107" max="15107" width="27.5703125" style="184" customWidth="1"/>
    <col min="15108" max="15108" width="16.140625" style="184" customWidth="1"/>
    <col min="15109" max="15124" width="3.5703125" style="184" customWidth="1"/>
    <col min="15125" max="15125" width="5.5703125" style="184" customWidth="1"/>
    <col min="15126" max="15126" width="11.5703125" style="184" customWidth="1"/>
    <col min="15127" max="15127" width="15.7109375" style="184" customWidth="1"/>
    <col min="15128" max="15130" width="13.42578125" style="184" customWidth="1"/>
    <col min="15131" max="15131" width="15.7109375" style="184" customWidth="1"/>
    <col min="15132" max="15132" width="16.140625" style="184" customWidth="1"/>
    <col min="15133" max="15133" width="9" style="184"/>
    <col min="15134" max="15134" width="13" style="184" customWidth="1"/>
    <col min="15135" max="15361" width="9" style="184"/>
    <col min="15362" max="15362" width="2.5703125" style="184" customWidth="1"/>
    <col min="15363" max="15363" width="27.5703125" style="184" customWidth="1"/>
    <col min="15364" max="15364" width="16.140625" style="184" customWidth="1"/>
    <col min="15365" max="15380" width="3.5703125" style="184" customWidth="1"/>
    <col min="15381" max="15381" width="5.5703125" style="184" customWidth="1"/>
    <col min="15382" max="15382" width="11.5703125" style="184" customWidth="1"/>
    <col min="15383" max="15383" width="15.7109375" style="184" customWidth="1"/>
    <col min="15384" max="15386" width="13.42578125" style="184" customWidth="1"/>
    <col min="15387" max="15387" width="15.7109375" style="184" customWidth="1"/>
    <col min="15388" max="15388" width="16.140625" style="184" customWidth="1"/>
    <col min="15389" max="15389" width="9" style="184"/>
    <col min="15390" max="15390" width="13" style="184" customWidth="1"/>
    <col min="15391" max="15617" width="9" style="184"/>
    <col min="15618" max="15618" width="2.5703125" style="184" customWidth="1"/>
    <col min="15619" max="15619" width="27.5703125" style="184" customWidth="1"/>
    <col min="15620" max="15620" width="16.140625" style="184" customWidth="1"/>
    <col min="15621" max="15636" width="3.5703125" style="184" customWidth="1"/>
    <col min="15637" max="15637" width="5.5703125" style="184" customWidth="1"/>
    <col min="15638" max="15638" width="11.5703125" style="184" customWidth="1"/>
    <col min="15639" max="15639" width="15.7109375" style="184" customWidth="1"/>
    <col min="15640" max="15642" width="13.42578125" style="184" customWidth="1"/>
    <col min="15643" max="15643" width="15.7109375" style="184" customWidth="1"/>
    <col min="15644" max="15644" width="16.140625" style="184" customWidth="1"/>
    <col min="15645" max="15645" width="9" style="184"/>
    <col min="15646" max="15646" width="13" style="184" customWidth="1"/>
    <col min="15647" max="15873" width="9" style="184"/>
    <col min="15874" max="15874" width="2.5703125" style="184" customWidth="1"/>
    <col min="15875" max="15875" width="27.5703125" style="184" customWidth="1"/>
    <col min="15876" max="15876" width="16.140625" style="184" customWidth="1"/>
    <col min="15877" max="15892" width="3.5703125" style="184" customWidth="1"/>
    <col min="15893" max="15893" width="5.5703125" style="184" customWidth="1"/>
    <col min="15894" max="15894" width="11.5703125" style="184" customWidth="1"/>
    <col min="15895" max="15895" width="15.7109375" style="184" customWidth="1"/>
    <col min="15896" max="15898" width="13.42578125" style="184" customWidth="1"/>
    <col min="15899" max="15899" width="15.7109375" style="184" customWidth="1"/>
    <col min="15900" max="15900" width="16.140625" style="184" customWidth="1"/>
    <col min="15901" max="15901" width="9" style="184"/>
    <col min="15902" max="15902" width="13" style="184" customWidth="1"/>
    <col min="15903" max="16129" width="9" style="184"/>
    <col min="16130" max="16130" width="2.5703125" style="184" customWidth="1"/>
    <col min="16131" max="16131" width="27.5703125" style="184" customWidth="1"/>
    <col min="16132" max="16132" width="16.140625" style="184" customWidth="1"/>
    <col min="16133" max="16148" width="3.5703125" style="184" customWidth="1"/>
    <col min="16149" max="16149" width="5.5703125" style="184" customWidth="1"/>
    <col min="16150" max="16150" width="11.5703125" style="184" customWidth="1"/>
    <col min="16151" max="16151" width="15.7109375" style="184" customWidth="1"/>
    <col min="16152" max="16154" width="13.42578125" style="184" customWidth="1"/>
    <col min="16155" max="16155" width="15.7109375" style="184" customWidth="1"/>
    <col min="16156" max="16156" width="16.140625" style="184" customWidth="1"/>
    <col min="16157" max="16157" width="9" style="184"/>
    <col min="16158" max="16158" width="13" style="184" customWidth="1"/>
    <col min="16159" max="16384" width="9" style="184"/>
  </cols>
  <sheetData>
    <row r="1" spans="1:35" ht="14.25">
      <c r="B1" s="607" t="s">
        <v>56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</row>
    <row r="2" spans="1:35" ht="15" customHeight="1">
      <c r="B2" s="1368" t="s">
        <v>1103</v>
      </c>
      <c r="C2" s="1369"/>
      <c r="D2" s="1369"/>
      <c r="E2" s="1369"/>
      <c r="F2" s="1369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</row>
    <row r="3" spans="1:35" ht="15" customHeight="1">
      <c r="B3" s="608" t="s">
        <v>57</v>
      </c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  <c r="AC3" s="608"/>
    </row>
    <row r="4" spans="1:35" ht="15" customHeight="1">
      <c r="B4" s="609" t="s">
        <v>204</v>
      </c>
      <c r="C4" s="610"/>
      <c r="D4" s="610"/>
      <c r="E4" s="610"/>
      <c r="F4" s="610"/>
      <c r="G4" s="610"/>
      <c r="H4" s="610"/>
      <c r="I4" s="610"/>
      <c r="J4" s="610"/>
      <c r="K4" s="610"/>
      <c r="L4" s="610"/>
      <c r="M4" s="610"/>
      <c r="N4" s="610"/>
      <c r="O4" s="610"/>
      <c r="P4" s="610"/>
      <c r="Q4" s="610"/>
      <c r="R4" s="610"/>
      <c r="S4" s="610"/>
      <c r="T4" s="610"/>
      <c r="U4" s="610"/>
      <c r="V4" s="610"/>
      <c r="W4" s="610"/>
      <c r="X4" s="610"/>
      <c r="Y4" s="610"/>
      <c r="Z4" s="610"/>
      <c r="AA4" s="610"/>
      <c r="AB4" s="610"/>
      <c r="AC4" s="610"/>
    </row>
    <row r="5" spans="1:35" ht="15" customHeight="1">
      <c r="B5" s="610" t="s">
        <v>1079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610"/>
      <c r="Q5" s="610"/>
      <c r="R5" s="610"/>
      <c r="S5" s="610"/>
      <c r="T5" s="610"/>
      <c r="U5" s="610"/>
      <c r="V5" s="610"/>
      <c r="W5" s="610"/>
      <c r="X5" s="610"/>
      <c r="Y5" s="610"/>
      <c r="Z5" s="610"/>
      <c r="AA5" s="610"/>
      <c r="AB5" s="610"/>
      <c r="AC5" s="610"/>
    </row>
    <row r="6" spans="1:35" ht="9.75" customHeight="1"/>
    <row r="7" spans="1:35" ht="12" customHeight="1">
      <c r="A7" s="611" t="s">
        <v>58</v>
      </c>
      <c r="B7" s="611"/>
      <c r="C7" s="611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</row>
    <row r="8" spans="1:35" ht="15" customHeight="1">
      <c r="A8" s="346"/>
      <c r="B8" s="346"/>
      <c r="C8" s="346"/>
      <c r="D8" s="346"/>
      <c r="E8" s="346"/>
      <c r="F8" s="346"/>
      <c r="G8" s="346"/>
      <c r="H8" s="346"/>
      <c r="I8" s="346"/>
      <c r="J8" s="346"/>
      <c r="K8" s="346" t="s">
        <v>129</v>
      </c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258"/>
      <c r="Z8" s="258"/>
      <c r="AA8" s="346"/>
      <c r="AB8" s="612" t="s">
        <v>59</v>
      </c>
      <c r="AC8" s="612"/>
    </row>
    <row r="9" spans="1:35" ht="5.0999999999999996" customHeight="1">
      <c r="U9" s="184"/>
      <c r="V9" s="184"/>
      <c r="W9" s="184"/>
      <c r="X9" s="184"/>
      <c r="Y9" s="259"/>
      <c r="Z9" s="259"/>
      <c r="AA9" s="184"/>
      <c r="AB9" s="184"/>
      <c r="AC9" s="184"/>
    </row>
    <row r="10" spans="1:35" ht="17.100000000000001" customHeight="1" thickBot="1">
      <c r="B10" s="184" t="s">
        <v>60</v>
      </c>
      <c r="C10" s="353" t="s">
        <v>1078</v>
      </c>
      <c r="D10" s="223"/>
      <c r="E10" s="223"/>
      <c r="F10" s="223"/>
      <c r="G10" s="223"/>
      <c r="AA10" s="260" t="s">
        <v>1104</v>
      </c>
      <c r="AB10" s="613" t="s">
        <v>1105</v>
      </c>
      <c r="AC10" s="614"/>
    </row>
    <row r="11" spans="1:35" s="219" customFormat="1" ht="10.5">
      <c r="C11" s="183" t="s">
        <v>61</v>
      </c>
      <c r="U11" s="234"/>
      <c r="V11" s="234"/>
      <c r="W11" s="234"/>
      <c r="X11" s="234"/>
      <c r="Y11" s="261"/>
      <c r="Z11" s="261"/>
      <c r="AA11" s="234"/>
      <c r="AB11" s="234"/>
      <c r="AC11" s="234"/>
    </row>
    <row r="12" spans="1:35" s="219" customFormat="1">
      <c r="C12" s="183"/>
      <c r="U12" s="234"/>
      <c r="V12" s="234"/>
      <c r="W12" s="234"/>
      <c r="X12" s="234"/>
      <c r="Y12" s="261"/>
      <c r="Z12" s="261"/>
      <c r="AA12" s="234"/>
      <c r="AB12" s="234"/>
      <c r="AC12" s="234"/>
      <c r="AE12" s="332" t="s">
        <v>200</v>
      </c>
    </row>
    <row r="13" spans="1:35" s="220" customFormat="1" ht="15" customHeight="1">
      <c r="A13" s="615"/>
      <c r="B13" s="618" t="s">
        <v>62</v>
      </c>
      <c r="C13" s="618" t="s">
        <v>63</v>
      </c>
      <c r="D13" s="621" t="s">
        <v>64</v>
      </c>
      <c r="E13" s="622"/>
      <c r="F13" s="622"/>
      <c r="G13" s="622"/>
      <c r="H13" s="622"/>
      <c r="I13" s="622"/>
      <c r="J13" s="622"/>
      <c r="K13" s="622"/>
      <c r="L13" s="622"/>
      <c r="M13" s="622"/>
      <c r="N13" s="622"/>
      <c r="O13" s="622"/>
      <c r="P13" s="622"/>
      <c r="Q13" s="622"/>
      <c r="R13" s="622"/>
      <c r="S13" s="622"/>
      <c r="T13" s="623" t="s">
        <v>65</v>
      </c>
      <c r="U13" s="626" t="s">
        <v>66</v>
      </c>
      <c r="V13" s="629" t="s">
        <v>67</v>
      </c>
      <c r="W13" s="235" t="s">
        <v>55</v>
      </c>
      <c r="X13" s="236" t="s">
        <v>68</v>
      </c>
      <c r="Y13" s="235" t="s">
        <v>17</v>
      </c>
      <c r="Z13" s="235" t="s">
        <v>22</v>
      </c>
      <c r="AA13" s="635" t="s">
        <v>69</v>
      </c>
      <c r="AB13" s="236" t="s">
        <v>70</v>
      </c>
      <c r="AC13" s="236" t="s">
        <v>199</v>
      </c>
      <c r="AE13" s="330" t="s">
        <v>55</v>
      </c>
    </row>
    <row r="14" spans="1:35" s="220" customFormat="1" ht="15" customHeight="1">
      <c r="A14" s="616"/>
      <c r="B14" s="619"/>
      <c r="C14" s="619"/>
      <c r="D14" s="324">
        <v>16</v>
      </c>
      <c r="E14" s="325">
        <v>17</v>
      </c>
      <c r="F14" s="324">
        <v>18</v>
      </c>
      <c r="G14" s="325">
        <v>19</v>
      </c>
      <c r="H14" s="324">
        <v>20</v>
      </c>
      <c r="I14" s="325">
        <v>21</v>
      </c>
      <c r="J14" s="324">
        <v>22</v>
      </c>
      <c r="K14" s="325">
        <v>23</v>
      </c>
      <c r="L14" s="324">
        <v>24</v>
      </c>
      <c r="M14" s="325">
        <v>25</v>
      </c>
      <c r="N14" s="324">
        <v>26</v>
      </c>
      <c r="O14" s="325">
        <v>27</v>
      </c>
      <c r="P14" s="324">
        <v>28</v>
      </c>
      <c r="Q14" s="325">
        <v>29</v>
      </c>
      <c r="R14" s="324">
        <v>30</v>
      </c>
      <c r="S14" s="325">
        <v>31</v>
      </c>
      <c r="T14" s="624"/>
      <c r="U14" s="627"/>
      <c r="V14" s="630"/>
      <c r="W14" s="320"/>
      <c r="X14" s="238" t="s">
        <v>71</v>
      </c>
      <c r="Y14" s="319" t="s">
        <v>75</v>
      </c>
      <c r="Z14" s="262" t="s">
        <v>72</v>
      </c>
      <c r="AA14" s="636"/>
      <c r="AB14" s="238" t="s">
        <v>54</v>
      </c>
      <c r="AC14" s="238" t="s">
        <v>73</v>
      </c>
      <c r="AE14" s="330"/>
    </row>
    <row r="15" spans="1:35" s="220" customFormat="1" ht="15" customHeight="1">
      <c r="A15" s="617"/>
      <c r="B15" s="620"/>
      <c r="C15" s="620"/>
      <c r="D15" s="326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625"/>
      <c r="U15" s="628"/>
      <c r="V15" s="631"/>
      <c r="W15" s="240" t="s">
        <v>52</v>
      </c>
      <c r="X15" s="241" t="s">
        <v>74</v>
      </c>
      <c r="Y15" s="263" t="s">
        <v>76</v>
      </c>
      <c r="Z15" s="264"/>
      <c r="AA15" s="637"/>
      <c r="AB15" s="241" t="s">
        <v>77</v>
      </c>
      <c r="AC15" s="241"/>
      <c r="AE15" s="331" t="s">
        <v>52</v>
      </c>
      <c r="AF15" s="604"/>
      <c r="AI15" s="590"/>
    </row>
    <row r="16" spans="1:35" s="220" customFormat="1" ht="15" customHeight="1">
      <c r="A16" s="1370">
        <v>1</v>
      </c>
      <c r="B16" s="1362" t="s">
        <v>1070</v>
      </c>
      <c r="C16" s="1365" t="s">
        <v>1099</v>
      </c>
      <c r="D16" s="352" t="s">
        <v>78</v>
      </c>
      <c r="E16" s="352" t="s">
        <v>78</v>
      </c>
      <c r="F16" s="352" t="s">
        <v>79</v>
      </c>
      <c r="G16" s="352" t="s">
        <v>79</v>
      </c>
      <c r="H16" s="352" t="s">
        <v>78</v>
      </c>
      <c r="I16" s="352" t="s">
        <v>78</v>
      </c>
      <c r="J16" s="352" t="s">
        <v>78</v>
      </c>
      <c r="K16" s="352" t="s">
        <v>78</v>
      </c>
      <c r="L16" s="352" t="s">
        <v>78</v>
      </c>
      <c r="M16" s="352" t="s">
        <v>79</v>
      </c>
      <c r="N16" s="352" t="s">
        <v>79</v>
      </c>
      <c r="O16" s="352" t="s">
        <v>78</v>
      </c>
      <c r="P16" s="352" t="s">
        <v>78</v>
      </c>
      <c r="Q16" s="352" t="s">
        <v>28</v>
      </c>
      <c r="R16" s="352" t="s">
        <v>78</v>
      </c>
      <c r="S16" s="352" t="s">
        <v>78</v>
      </c>
      <c r="T16" s="1359">
        <f>COUNTIF(D16:S16,"X")+(COUNTIF(D16:S16,"/")/2)+COUNTIF(D16:S16,"OB")+COUNTIF(D16:S16,"SPH")</f>
        <v>11</v>
      </c>
      <c r="U16" s="594">
        <v>1087.6300000000001</v>
      </c>
      <c r="V16" s="594">
        <f>T16*U16</f>
        <v>11963.93</v>
      </c>
      <c r="W16" s="356">
        <f>ROUND((ROUND((U16/8/60),2)*AE16),2)</f>
        <v>0</v>
      </c>
      <c r="X16" s="594">
        <f>V16+W16-W18</f>
        <v>11961.664104166666</v>
      </c>
      <c r="Y16" s="357">
        <f>X16*0.03</f>
        <v>358.84992312499998</v>
      </c>
      <c r="Z16" s="357"/>
      <c r="AA16" s="643">
        <f>Y16+Y17+Y18+Z16+Z17+Z18</f>
        <v>358.84992312499998</v>
      </c>
      <c r="AB16" s="1383">
        <v>8200.44</v>
      </c>
      <c r="AC16" s="1381"/>
      <c r="AE16" s="330">
        <v>0</v>
      </c>
      <c r="AF16" s="604"/>
      <c r="AI16" s="590"/>
    </row>
    <row r="17" spans="1:35" s="220" customFormat="1" ht="15" customHeight="1">
      <c r="A17" s="1371"/>
      <c r="B17" s="1363"/>
      <c r="C17" s="1366"/>
      <c r="D17" s="1373"/>
      <c r="E17" s="1375"/>
      <c r="F17" s="1377"/>
      <c r="G17" s="1377"/>
      <c r="H17" s="1377"/>
      <c r="I17" s="1377"/>
      <c r="J17" s="1377"/>
      <c r="K17" s="1375"/>
      <c r="L17" s="1375"/>
      <c r="M17" s="1375"/>
      <c r="N17" s="1377"/>
      <c r="O17" s="1377"/>
      <c r="P17" s="1379"/>
      <c r="Q17" s="1379"/>
      <c r="R17" s="369"/>
      <c r="S17" s="1379"/>
      <c r="T17" s="1360"/>
      <c r="U17" s="595"/>
      <c r="V17" s="595"/>
      <c r="W17" s="358"/>
      <c r="X17" s="595"/>
      <c r="Y17" s="359"/>
      <c r="Z17" s="360"/>
      <c r="AA17" s="644"/>
      <c r="AB17" s="1384"/>
      <c r="AC17" s="652"/>
      <c r="AE17" s="330"/>
      <c r="AF17" s="604"/>
      <c r="AI17" s="590"/>
    </row>
    <row r="18" spans="1:35" s="220" customFormat="1" ht="15" customHeight="1">
      <c r="A18" s="1372"/>
      <c r="B18" s="1364"/>
      <c r="C18" s="1367"/>
      <c r="D18" s="1374"/>
      <c r="E18" s="1376"/>
      <c r="F18" s="1378"/>
      <c r="G18" s="1378"/>
      <c r="H18" s="1378"/>
      <c r="I18" s="1378"/>
      <c r="J18" s="1378"/>
      <c r="K18" s="1376"/>
      <c r="L18" s="1376"/>
      <c r="M18" s="1376"/>
      <c r="N18" s="1378"/>
      <c r="O18" s="1378"/>
      <c r="P18" s="1380"/>
      <c r="Q18" s="1380"/>
      <c r="R18" s="370"/>
      <c r="S18" s="1380"/>
      <c r="T18" s="1361"/>
      <c r="U18" s="596"/>
      <c r="V18" s="596"/>
      <c r="W18" s="361">
        <f>U16/8/60*AE18</f>
        <v>2.2658958333333334</v>
      </c>
      <c r="X18" s="596"/>
      <c r="Y18" s="362">
        <v>0</v>
      </c>
      <c r="Z18" s="363">
        <v>0</v>
      </c>
      <c r="AA18" s="645"/>
      <c r="AB18" s="1385"/>
      <c r="AC18" s="1382"/>
      <c r="AE18" s="331">
        <v>1</v>
      </c>
      <c r="AF18" s="604"/>
      <c r="AI18" s="590"/>
    </row>
    <row r="19" spans="1:35" s="220" customFormat="1" ht="17.100000000000001" customHeight="1">
      <c r="A19" s="1359">
        <v>2</v>
      </c>
      <c r="B19" s="1362" t="s">
        <v>1071</v>
      </c>
      <c r="C19" s="1365" t="s">
        <v>1099</v>
      </c>
      <c r="D19" s="352" t="s">
        <v>78</v>
      </c>
      <c r="E19" s="352" t="s">
        <v>78</v>
      </c>
      <c r="F19" s="352" t="s">
        <v>79</v>
      </c>
      <c r="G19" s="352" t="s">
        <v>79</v>
      </c>
      <c r="H19" s="352" t="s">
        <v>78</v>
      </c>
      <c r="I19" s="352" t="s">
        <v>15</v>
      </c>
      <c r="J19" s="352" t="s">
        <v>15</v>
      </c>
      <c r="K19" s="352" t="s">
        <v>15</v>
      </c>
      <c r="L19" s="352" t="s">
        <v>78</v>
      </c>
      <c r="M19" s="352" t="s">
        <v>79</v>
      </c>
      <c r="N19" s="352" t="s">
        <v>79</v>
      </c>
      <c r="O19" s="352" t="s">
        <v>78</v>
      </c>
      <c r="P19" s="352" t="s">
        <v>78</v>
      </c>
      <c r="Q19" s="352" t="s">
        <v>28</v>
      </c>
      <c r="R19" s="352" t="s">
        <v>78</v>
      </c>
      <c r="S19" s="352" t="s">
        <v>78</v>
      </c>
      <c r="T19" s="1359">
        <f>COUNTIF(D19:S19,"X")+(COUNTIF(D19:S19,"/")/2)+COUNTIF(D19:S19,"OB")+COUNTIF(D19:S19,"SPH")</f>
        <v>8</v>
      </c>
      <c r="U19" s="594">
        <v>1087.6300000000001</v>
      </c>
      <c r="V19" s="594">
        <f>T19*U19</f>
        <v>8701.0400000000009</v>
      </c>
      <c r="W19" s="356">
        <v>0</v>
      </c>
      <c r="X19" s="594">
        <f>V19+W19-W21</f>
        <v>8551.4908750000013</v>
      </c>
      <c r="Y19" s="357">
        <f>X19*0.03</f>
        <v>256.54472625000005</v>
      </c>
      <c r="Z19" s="357"/>
      <c r="AA19" s="643">
        <f>Y19+Y20+Y21+Z19+Z20+Z21</f>
        <v>826.54472625000005</v>
      </c>
      <c r="AB19" s="1383">
        <v>6257.48</v>
      </c>
      <c r="AC19" s="649" t="s">
        <v>1090</v>
      </c>
      <c r="AD19" s="265"/>
      <c r="AE19" s="330">
        <v>0</v>
      </c>
      <c r="AF19" s="604"/>
      <c r="AI19" s="590"/>
    </row>
    <row r="20" spans="1:35" s="220" customFormat="1" ht="17.100000000000001" customHeight="1">
      <c r="A20" s="1360"/>
      <c r="B20" s="1363"/>
      <c r="C20" s="1366"/>
      <c r="D20" s="1373"/>
      <c r="E20" s="1375"/>
      <c r="F20" s="1377"/>
      <c r="G20" s="1377"/>
      <c r="H20" s="1377"/>
      <c r="I20" s="1377"/>
      <c r="J20" s="1377"/>
      <c r="K20" s="1375"/>
      <c r="L20" s="1375"/>
      <c r="M20" s="1375"/>
      <c r="N20" s="1377"/>
      <c r="O20" s="1377"/>
      <c r="P20" s="1379"/>
      <c r="Q20" s="1379"/>
      <c r="R20" s="369"/>
      <c r="S20" s="1379"/>
      <c r="T20" s="1360"/>
      <c r="U20" s="595"/>
      <c r="V20" s="595"/>
      <c r="W20" s="358"/>
      <c r="X20" s="595"/>
      <c r="Y20" s="359">
        <v>570</v>
      </c>
      <c r="Z20" s="360"/>
      <c r="AA20" s="644"/>
      <c r="AB20" s="1384"/>
      <c r="AC20" s="652"/>
      <c r="AD20" s="265"/>
      <c r="AE20" s="330"/>
      <c r="AF20" s="604"/>
      <c r="AI20" s="590"/>
    </row>
    <row r="21" spans="1:35" s="220" customFormat="1" ht="17.100000000000001" customHeight="1">
      <c r="A21" s="1361"/>
      <c r="B21" s="1364"/>
      <c r="C21" s="1367"/>
      <c r="D21" s="1374"/>
      <c r="E21" s="1376"/>
      <c r="F21" s="1378"/>
      <c r="G21" s="1378"/>
      <c r="H21" s="1378"/>
      <c r="I21" s="1378"/>
      <c r="J21" s="1378"/>
      <c r="K21" s="1376"/>
      <c r="L21" s="1376"/>
      <c r="M21" s="1376"/>
      <c r="N21" s="1378"/>
      <c r="O21" s="1378"/>
      <c r="P21" s="1380"/>
      <c r="Q21" s="1380"/>
      <c r="R21" s="370"/>
      <c r="S21" s="1380"/>
      <c r="T21" s="1361"/>
      <c r="U21" s="596"/>
      <c r="V21" s="596"/>
      <c r="W21" s="361">
        <f>U19/8/60*AE21</f>
        <v>149.549125</v>
      </c>
      <c r="X21" s="596"/>
      <c r="Y21" s="362"/>
      <c r="Z21" s="363"/>
      <c r="AA21" s="645"/>
      <c r="AB21" s="1385"/>
      <c r="AC21" s="1382"/>
      <c r="AD21" s="265"/>
      <c r="AE21" s="331">
        <v>66</v>
      </c>
      <c r="AF21" s="604"/>
      <c r="AI21" s="590"/>
    </row>
    <row r="22" spans="1:35" s="220" customFormat="1" ht="17.100000000000001" customHeight="1">
      <c r="A22" s="1370">
        <v>3</v>
      </c>
      <c r="B22" s="1362" t="s">
        <v>1087</v>
      </c>
      <c r="C22" s="1386" t="s">
        <v>1100</v>
      </c>
      <c r="D22" s="352" t="s">
        <v>78</v>
      </c>
      <c r="E22" s="352" t="s">
        <v>78</v>
      </c>
      <c r="F22" s="352" t="s">
        <v>79</v>
      </c>
      <c r="G22" s="352" t="s">
        <v>79</v>
      </c>
      <c r="H22" s="352" t="s">
        <v>78</v>
      </c>
      <c r="I22" s="352" t="s">
        <v>78</v>
      </c>
      <c r="J22" s="352" t="s">
        <v>78</v>
      </c>
      <c r="K22" s="352" t="s">
        <v>78</v>
      </c>
      <c r="L22" s="352" t="s">
        <v>78</v>
      </c>
      <c r="M22" s="352" t="s">
        <v>79</v>
      </c>
      <c r="N22" s="352" t="s">
        <v>79</v>
      </c>
      <c r="O22" s="352" t="s">
        <v>78</v>
      </c>
      <c r="P22" s="352" t="s">
        <v>78</v>
      </c>
      <c r="Q22" s="352" t="s">
        <v>28</v>
      </c>
      <c r="R22" s="352" t="s">
        <v>78</v>
      </c>
      <c r="S22" s="352" t="s">
        <v>78</v>
      </c>
      <c r="T22" s="1359">
        <f>COUNTIF(D22:S22,"X")+(COUNTIF(D22:S22,"/")/2)+COUNTIF(D22:S22,"OB")+COUNTIF(D22:S22,"SPH")</f>
        <v>11</v>
      </c>
      <c r="U22" s="594">
        <v>814.41</v>
      </c>
      <c r="V22" s="594">
        <f>T22*U22</f>
        <v>8958.51</v>
      </c>
      <c r="W22" s="356">
        <v>0</v>
      </c>
      <c r="X22" s="594">
        <f>V22+W22-W24</f>
        <v>8926.2729374999999</v>
      </c>
      <c r="Y22" s="357">
        <f>X22*0.03</f>
        <v>267.78818812499998</v>
      </c>
      <c r="Z22" s="364"/>
      <c r="AA22" s="643">
        <f>Y22+Y23+Y24+Z22+Z23+Z24</f>
        <v>267.78818812499998</v>
      </c>
      <c r="AB22" s="1383">
        <f>X22-AA22</f>
        <v>8658.4847493750003</v>
      </c>
      <c r="AC22" s="649" t="s">
        <v>1092</v>
      </c>
      <c r="AD22" s="265"/>
      <c r="AE22" s="331"/>
      <c r="AF22" s="604"/>
      <c r="AI22" s="590"/>
    </row>
    <row r="23" spans="1:35" s="220" customFormat="1" ht="17.100000000000001" customHeight="1">
      <c r="A23" s="1371"/>
      <c r="B23" s="1363"/>
      <c r="C23" s="1366"/>
      <c r="D23" s="1373"/>
      <c r="E23" s="1375"/>
      <c r="F23" s="1377"/>
      <c r="G23" s="1377"/>
      <c r="H23" s="1377"/>
      <c r="I23" s="1377"/>
      <c r="J23" s="1377"/>
      <c r="K23" s="1375"/>
      <c r="L23" s="1375"/>
      <c r="M23" s="1375"/>
      <c r="N23" s="1377"/>
      <c r="O23" s="1377"/>
      <c r="P23" s="1379"/>
      <c r="Q23" s="1379"/>
      <c r="R23" s="369"/>
      <c r="S23" s="1379"/>
      <c r="T23" s="1360"/>
      <c r="U23" s="595"/>
      <c r="V23" s="595"/>
      <c r="W23" s="358"/>
      <c r="X23" s="595"/>
      <c r="Y23" s="359"/>
      <c r="Z23" s="365"/>
      <c r="AA23" s="644"/>
      <c r="AB23" s="1384"/>
      <c r="AC23" s="650"/>
      <c r="AD23" s="265"/>
      <c r="AE23" s="331"/>
      <c r="AF23" s="604"/>
      <c r="AI23" s="590"/>
    </row>
    <row r="24" spans="1:35" s="220" customFormat="1" ht="17.100000000000001" customHeight="1">
      <c r="A24" s="1372"/>
      <c r="B24" s="1364"/>
      <c r="C24" s="1367"/>
      <c r="D24" s="1374"/>
      <c r="E24" s="1376"/>
      <c r="F24" s="1378"/>
      <c r="G24" s="1378"/>
      <c r="H24" s="1378"/>
      <c r="I24" s="1378"/>
      <c r="J24" s="1378"/>
      <c r="K24" s="1376"/>
      <c r="L24" s="1376"/>
      <c r="M24" s="1376"/>
      <c r="N24" s="1378"/>
      <c r="O24" s="1378"/>
      <c r="P24" s="1380"/>
      <c r="Q24" s="1380"/>
      <c r="R24" s="370"/>
      <c r="S24" s="1380"/>
      <c r="T24" s="1361"/>
      <c r="U24" s="596"/>
      <c r="V24" s="596"/>
      <c r="W24" s="361">
        <f>U22/8/60*AE24</f>
        <v>32.2370625</v>
      </c>
      <c r="X24" s="596"/>
      <c r="Y24" s="366">
        <v>0</v>
      </c>
      <c r="Z24" s="366">
        <v>0</v>
      </c>
      <c r="AA24" s="645"/>
      <c r="AB24" s="1385"/>
      <c r="AC24" s="651"/>
      <c r="AD24" s="265"/>
      <c r="AE24" s="331">
        <v>19</v>
      </c>
      <c r="AF24" s="604"/>
      <c r="AI24" s="590"/>
    </row>
    <row r="25" spans="1:35" s="220" customFormat="1" ht="17.100000000000001" customHeight="1">
      <c r="A25" s="1359">
        <v>4</v>
      </c>
      <c r="B25" s="1362" t="s">
        <v>1101</v>
      </c>
      <c r="C25" s="1386" t="s">
        <v>1076</v>
      </c>
      <c r="D25" s="352" t="s">
        <v>78</v>
      </c>
      <c r="E25" s="352" t="s">
        <v>78</v>
      </c>
      <c r="F25" s="352" t="s">
        <v>79</v>
      </c>
      <c r="G25" s="352" t="s">
        <v>79</v>
      </c>
      <c r="H25" s="352" t="s">
        <v>78</v>
      </c>
      <c r="I25" s="352" t="s">
        <v>78</v>
      </c>
      <c r="J25" s="352" t="s">
        <v>78</v>
      </c>
      <c r="K25" s="352" t="s">
        <v>78</v>
      </c>
      <c r="L25" s="352" t="s">
        <v>78</v>
      </c>
      <c r="M25" s="352" t="s">
        <v>79</v>
      </c>
      <c r="N25" s="352" t="s">
        <v>79</v>
      </c>
      <c r="O25" s="352" t="s">
        <v>78</v>
      </c>
      <c r="P25" s="352" t="s">
        <v>78</v>
      </c>
      <c r="Q25" s="352" t="s">
        <v>28</v>
      </c>
      <c r="R25" s="352" t="s">
        <v>78</v>
      </c>
      <c r="S25" s="352" t="s">
        <v>78</v>
      </c>
      <c r="T25" s="1359">
        <f>COUNTIF(D25:S25,"X")+(COUNTIF(D25:S25,"/")/2)+COUNTIF(D25:S25,"OB")+COUNTIF(D25:S25,"SPH")</f>
        <v>11</v>
      </c>
      <c r="U25" s="594">
        <v>814.41</v>
      </c>
      <c r="V25" s="594">
        <f>T25*U25</f>
        <v>8958.51</v>
      </c>
      <c r="W25" s="356">
        <v>0</v>
      </c>
      <c r="X25" s="594">
        <f>V25+W25-W27</f>
        <v>8902.5193125000005</v>
      </c>
      <c r="Y25" s="357">
        <f>X25*0.03</f>
        <v>267.07557937500002</v>
      </c>
      <c r="Z25" s="364"/>
      <c r="AA25" s="594">
        <f>Y25+Y26+Y27+Z25+Z26+Z27</f>
        <v>837.07557937499996</v>
      </c>
      <c r="AB25" s="1387">
        <f>X25-AA25</f>
        <v>8065.443733125001</v>
      </c>
      <c r="AC25" s="649">
        <v>2767052807</v>
      </c>
      <c r="AD25" s="265"/>
      <c r="AE25" s="331"/>
      <c r="AF25" s="604"/>
      <c r="AI25" s="590"/>
    </row>
    <row r="26" spans="1:35" s="220" customFormat="1" ht="17.100000000000001" customHeight="1">
      <c r="A26" s="1360"/>
      <c r="B26" s="1363"/>
      <c r="C26" s="1366"/>
      <c r="D26" s="371"/>
      <c r="E26" s="373"/>
      <c r="F26" s="375"/>
      <c r="G26" s="375"/>
      <c r="H26" s="375"/>
      <c r="I26" s="375"/>
      <c r="J26" s="375"/>
      <c r="K26" s="373"/>
      <c r="L26" s="373"/>
      <c r="M26" s="373"/>
      <c r="N26" s="375"/>
      <c r="O26" s="375"/>
      <c r="P26" s="369"/>
      <c r="Q26" s="369"/>
      <c r="R26" s="369"/>
      <c r="S26" s="369"/>
      <c r="T26" s="1360"/>
      <c r="U26" s="595"/>
      <c r="V26" s="595"/>
      <c r="W26" s="358"/>
      <c r="X26" s="595"/>
      <c r="Y26" s="359">
        <v>570</v>
      </c>
      <c r="Z26" s="365"/>
      <c r="AA26" s="595"/>
      <c r="AB26" s="1388"/>
      <c r="AC26" s="650"/>
      <c r="AD26" s="265"/>
      <c r="AE26" s="331"/>
      <c r="AF26" s="604"/>
      <c r="AI26" s="590"/>
    </row>
    <row r="27" spans="1:35" s="220" customFormat="1" ht="17.100000000000001" customHeight="1">
      <c r="A27" s="1361"/>
      <c r="B27" s="1364"/>
      <c r="C27" s="1367"/>
      <c r="D27" s="372"/>
      <c r="E27" s="374"/>
      <c r="F27" s="376"/>
      <c r="G27" s="376"/>
      <c r="H27" s="376"/>
      <c r="I27" s="376"/>
      <c r="J27" s="376"/>
      <c r="K27" s="374"/>
      <c r="L27" s="374"/>
      <c r="M27" s="374"/>
      <c r="N27" s="376"/>
      <c r="O27" s="376"/>
      <c r="P27" s="370"/>
      <c r="Q27" s="370"/>
      <c r="R27" s="370"/>
      <c r="S27" s="370"/>
      <c r="T27" s="1361"/>
      <c r="U27" s="596"/>
      <c r="V27" s="596"/>
      <c r="W27" s="361">
        <f>U25/8/60*AE27</f>
        <v>55.9906875</v>
      </c>
      <c r="X27" s="596"/>
      <c r="Y27" s="359"/>
      <c r="Z27" s="366">
        <v>0</v>
      </c>
      <c r="AA27" s="596"/>
      <c r="AB27" s="1389"/>
      <c r="AC27" s="651"/>
      <c r="AD27" s="265"/>
      <c r="AE27" s="331">
        <v>33</v>
      </c>
      <c r="AF27" s="604"/>
      <c r="AI27" s="590"/>
    </row>
    <row r="28" spans="1:35" s="220" customFormat="1" ht="17.100000000000001" customHeight="1">
      <c r="A28" s="1359">
        <v>5</v>
      </c>
      <c r="B28" s="1362" t="s">
        <v>1072</v>
      </c>
      <c r="C28" s="1386" t="s">
        <v>1076</v>
      </c>
      <c r="D28" s="352" t="s">
        <v>78</v>
      </c>
      <c r="E28" s="352" t="s">
        <v>78</v>
      </c>
      <c r="F28" s="352" t="s">
        <v>79</v>
      </c>
      <c r="G28" s="352" t="s">
        <v>79</v>
      </c>
      <c r="H28" s="352" t="s">
        <v>78</v>
      </c>
      <c r="I28" s="352" t="s">
        <v>78</v>
      </c>
      <c r="J28" s="352" t="s">
        <v>78</v>
      </c>
      <c r="K28" s="352" t="s">
        <v>78</v>
      </c>
      <c r="L28" s="352" t="s">
        <v>78</v>
      </c>
      <c r="M28" s="352" t="s">
        <v>79</v>
      </c>
      <c r="N28" s="352" t="s">
        <v>79</v>
      </c>
      <c r="O28" s="352" t="s">
        <v>78</v>
      </c>
      <c r="P28" s="352" t="s">
        <v>78</v>
      </c>
      <c r="Q28" s="352" t="s">
        <v>28</v>
      </c>
      <c r="R28" s="352" t="s">
        <v>78</v>
      </c>
      <c r="S28" s="352" t="s">
        <v>78</v>
      </c>
      <c r="T28" s="1359">
        <f>COUNTIF(D28:S28,"X")+(COUNTIF(D28:S28,"/")/2)+COUNTIF(D28:S28,"OB")+COUNTIF(D28:S28,"SPH")</f>
        <v>11</v>
      </c>
      <c r="U28" s="594">
        <v>814.41</v>
      </c>
      <c r="V28" s="594">
        <f>T28*U28</f>
        <v>8958.51</v>
      </c>
      <c r="W28" s="356">
        <v>0</v>
      </c>
      <c r="X28" s="594">
        <f>V28+W28-W30</f>
        <v>8927.9696249999997</v>
      </c>
      <c r="Y28" s="357">
        <f>X28*0.03</f>
        <v>267.83908874999997</v>
      </c>
      <c r="Z28" s="364"/>
      <c r="AA28" s="594">
        <f>Y28+Y29+Y30+Z28+Z29+Z30</f>
        <v>267.83908874999997</v>
      </c>
      <c r="AB28" s="1387">
        <f>X28-AA28</f>
        <v>8660.1305362499988</v>
      </c>
      <c r="AC28" s="649" t="s">
        <v>1094</v>
      </c>
      <c r="AD28" s="265"/>
      <c r="AE28" s="330">
        <v>0</v>
      </c>
      <c r="AF28" s="604"/>
      <c r="AI28" s="590"/>
    </row>
    <row r="29" spans="1:35" s="220" customFormat="1" ht="17.100000000000001" customHeight="1">
      <c r="A29" s="1360"/>
      <c r="B29" s="1363"/>
      <c r="C29" s="1366"/>
      <c r="D29" s="371"/>
      <c r="E29" s="373"/>
      <c r="F29" s="375"/>
      <c r="G29" s="375"/>
      <c r="H29" s="375"/>
      <c r="I29" s="375"/>
      <c r="J29" s="375"/>
      <c r="K29" s="373"/>
      <c r="L29" s="373"/>
      <c r="M29" s="373"/>
      <c r="N29" s="375"/>
      <c r="O29" s="375"/>
      <c r="P29" s="369"/>
      <c r="Q29" s="369"/>
      <c r="R29" s="369"/>
      <c r="S29" s="369"/>
      <c r="T29" s="1360"/>
      <c r="U29" s="595"/>
      <c r="V29" s="595"/>
      <c r="W29" s="358"/>
      <c r="X29" s="595"/>
      <c r="Y29" s="359"/>
      <c r="Z29" s="365"/>
      <c r="AA29" s="595"/>
      <c r="AB29" s="1388"/>
      <c r="AC29" s="650"/>
      <c r="AD29" s="265"/>
      <c r="AE29" s="330"/>
      <c r="AF29" s="604"/>
      <c r="AI29" s="590"/>
    </row>
    <row r="30" spans="1:35" s="220" customFormat="1" ht="17.100000000000001" customHeight="1">
      <c r="A30" s="1361"/>
      <c r="B30" s="1364"/>
      <c r="C30" s="1367"/>
      <c r="D30" s="372"/>
      <c r="E30" s="374"/>
      <c r="F30" s="376"/>
      <c r="G30" s="376"/>
      <c r="H30" s="376"/>
      <c r="I30" s="376"/>
      <c r="J30" s="376"/>
      <c r="K30" s="374"/>
      <c r="L30" s="374"/>
      <c r="M30" s="374"/>
      <c r="N30" s="376"/>
      <c r="O30" s="376"/>
      <c r="P30" s="370"/>
      <c r="Q30" s="370"/>
      <c r="R30" s="370"/>
      <c r="S30" s="370"/>
      <c r="T30" s="1361"/>
      <c r="U30" s="596"/>
      <c r="V30" s="596"/>
      <c r="W30" s="361">
        <f>U28/8/60*AE30</f>
        <v>30.540374999999997</v>
      </c>
      <c r="X30" s="596"/>
      <c r="Y30" s="359"/>
      <c r="Z30" s="366">
        <v>0</v>
      </c>
      <c r="AA30" s="596"/>
      <c r="AB30" s="1389"/>
      <c r="AC30" s="651"/>
      <c r="AD30" s="265"/>
      <c r="AE30" s="331">
        <v>18</v>
      </c>
      <c r="AF30" s="604"/>
      <c r="AI30" s="590"/>
    </row>
    <row r="31" spans="1:35" s="220" customFormat="1" ht="17.100000000000001" customHeight="1">
      <c r="A31" s="1370">
        <v>6</v>
      </c>
      <c r="B31" s="1362" t="s">
        <v>1073</v>
      </c>
      <c r="C31" s="1386" t="s">
        <v>1076</v>
      </c>
      <c r="D31" s="352" t="s">
        <v>78</v>
      </c>
      <c r="E31" s="352" t="s">
        <v>78</v>
      </c>
      <c r="F31" s="352" t="s">
        <v>79</v>
      </c>
      <c r="G31" s="352" t="s">
        <v>79</v>
      </c>
      <c r="H31" s="352" t="s">
        <v>78</v>
      </c>
      <c r="I31" s="352" t="s">
        <v>78</v>
      </c>
      <c r="J31" s="352" t="s">
        <v>78</v>
      </c>
      <c r="K31" s="352" t="s">
        <v>78</v>
      </c>
      <c r="L31" s="352" t="s">
        <v>78</v>
      </c>
      <c r="M31" s="352" t="s">
        <v>79</v>
      </c>
      <c r="N31" s="352" t="s">
        <v>79</v>
      </c>
      <c r="O31" s="352" t="s">
        <v>78</v>
      </c>
      <c r="P31" s="352" t="s">
        <v>78</v>
      </c>
      <c r="Q31" s="352" t="s">
        <v>28</v>
      </c>
      <c r="R31" s="352" t="s">
        <v>78</v>
      </c>
      <c r="S31" s="352" t="s">
        <v>78</v>
      </c>
      <c r="T31" s="1359">
        <f>COUNTIF(D31:S31,"X")+(COUNTIF(D31:S31,"/")/2)+COUNTIF(D31:S31,"OB")+COUNTIF(D31:S31,"SPH")</f>
        <v>11</v>
      </c>
      <c r="U31" s="594">
        <v>814.41</v>
      </c>
      <c r="V31" s="594">
        <f>T31*U31</f>
        <v>8958.51</v>
      </c>
      <c r="W31" s="356">
        <v>0</v>
      </c>
      <c r="X31" s="594">
        <f>V31+W31-W33</f>
        <v>8958.51</v>
      </c>
      <c r="Y31" s="357">
        <f>X31*0.03</f>
        <v>268.75529999999998</v>
      </c>
      <c r="Z31" s="357"/>
      <c r="AA31" s="643">
        <f>Y31+Y32+Y33+Z31+Z32+Z33</f>
        <v>268.75529999999998</v>
      </c>
      <c r="AB31" s="1387">
        <f>X31-AA31</f>
        <v>8689.7546999999995</v>
      </c>
      <c r="AC31" s="649" t="s">
        <v>1096</v>
      </c>
      <c r="AD31" s="265"/>
      <c r="AE31" s="330">
        <v>0</v>
      </c>
      <c r="AF31" s="604"/>
      <c r="AI31" s="590"/>
    </row>
    <row r="32" spans="1:35" s="220" customFormat="1" ht="17.100000000000001" customHeight="1">
      <c r="A32" s="1371"/>
      <c r="B32" s="1363"/>
      <c r="C32" s="1366"/>
      <c r="D32" s="1373"/>
      <c r="E32" s="1375"/>
      <c r="F32" s="1377"/>
      <c r="G32" s="1377"/>
      <c r="H32" s="1377"/>
      <c r="I32" s="1377"/>
      <c r="J32" s="1377"/>
      <c r="K32" s="1375"/>
      <c r="L32" s="1375"/>
      <c r="M32" s="1375"/>
      <c r="N32" s="1377"/>
      <c r="O32" s="1377"/>
      <c r="P32" s="1379"/>
      <c r="Q32" s="1379"/>
      <c r="R32" s="369"/>
      <c r="S32" s="1379"/>
      <c r="T32" s="1360"/>
      <c r="U32" s="595"/>
      <c r="V32" s="595"/>
      <c r="W32" s="358"/>
      <c r="X32" s="1390"/>
      <c r="Y32" s="359"/>
      <c r="Z32" s="367"/>
      <c r="AA32" s="644"/>
      <c r="AB32" s="1388"/>
      <c r="AC32" s="652"/>
      <c r="AD32" s="265"/>
      <c r="AE32" s="330"/>
      <c r="AF32" s="604"/>
      <c r="AI32" s="590"/>
    </row>
    <row r="33" spans="1:35" s="220" customFormat="1" ht="16.899999999999999" customHeight="1">
      <c r="A33" s="1372"/>
      <c r="B33" s="1364"/>
      <c r="C33" s="1367"/>
      <c r="D33" s="1374"/>
      <c r="E33" s="1376"/>
      <c r="F33" s="1378"/>
      <c r="G33" s="1378"/>
      <c r="H33" s="1378"/>
      <c r="I33" s="1378"/>
      <c r="J33" s="1378"/>
      <c r="K33" s="1376"/>
      <c r="L33" s="1376"/>
      <c r="M33" s="1376"/>
      <c r="N33" s="1378"/>
      <c r="O33" s="1378"/>
      <c r="P33" s="1380"/>
      <c r="Q33" s="1380"/>
      <c r="R33" s="370"/>
      <c r="S33" s="1380"/>
      <c r="T33" s="1361"/>
      <c r="U33" s="596"/>
      <c r="V33" s="596"/>
      <c r="W33" s="361">
        <f>U31/8/60*AE33</f>
        <v>0</v>
      </c>
      <c r="X33" s="1391"/>
      <c r="Y33" s="368">
        <v>0</v>
      </c>
      <c r="Z33" s="366">
        <v>0</v>
      </c>
      <c r="AA33" s="645"/>
      <c r="AB33" s="1389"/>
      <c r="AC33" s="1382"/>
      <c r="AD33" s="265"/>
      <c r="AE33" s="331"/>
      <c r="AF33" s="604"/>
      <c r="AI33" s="590"/>
    </row>
    <row r="34" spans="1:35" s="220" customFormat="1" ht="17.100000000000001" customHeight="1">
      <c r="A34" s="1359">
        <v>7</v>
      </c>
      <c r="B34" s="1362" t="s">
        <v>1074</v>
      </c>
      <c r="C34" s="1392" t="s">
        <v>1106</v>
      </c>
      <c r="D34" s="352" t="s">
        <v>78</v>
      </c>
      <c r="E34" s="352" t="s">
        <v>78</v>
      </c>
      <c r="F34" s="352" t="s">
        <v>79</v>
      </c>
      <c r="G34" s="352" t="s">
        <v>79</v>
      </c>
      <c r="H34" s="352" t="s">
        <v>78</v>
      </c>
      <c r="I34" s="352" t="s">
        <v>78</v>
      </c>
      <c r="J34" s="352" t="s">
        <v>78</v>
      </c>
      <c r="K34" s="352" t="s">
        <v>78</v>
      </c>
      <c r="L34" s="352" t="s">
        <v>78</v>
      </c>
      <c r="M34" s="352" t="s">
        <v>78</v>
      </c>
      <c r="N34" s="352" t="s">
        <v>79</v>
      </c>
      <c r="O34" s="352" t="s">
        <v>78</v>
      </c>
      <c r="P34" s="352" t="s">
        <v>78</v>
      </c>
      <c r="Q34" s="352" t="s">
        <v>28</v>
      </c>
      <c r="R34" s="352" t="s">
        <v>78</v>
      </c>
      <c r="S34" s="352" t="s">
        <v>78</v>
      </c>
      <c r="T34" s="1359">
        <f>COUNTIF(D34:S34,"X")+(COUNTIF(D34:S34,"/")/2)+COUNTIF(D34:S34,"OB")+COUNTIF(D34:S34,"SPH")</f>
        <v>12</v>
      </c>
      <c r="U34" s="594">
        <v>941.17</v>
      </c>
      <c r="V34" s="594">
        <f>T34*U34</f>
        <v>11294.039999999999</v>
      </c>
      <c r="W34" s="356">
        <v>0</v>
      </c>
      <c r="X34" s="594">
        <f>V34+W34-W36</f>
        <v>11294.039999999999</v>
      </c>
      <c r="Y34" s="357">
        <f>X34*0.03</f>
        <v>338.82119999999998</v>
      </c>
      <c r="Z34" s="357"/>
      <c r="AA34" s="643">
        <f>Y34+Y35+Y36+Z34+Z35+Z36</f>
        <v>908.82119999999998</v>
      </c>
      <c r="AB34" s="1383">
        <f>X34-AA34</f>
        <v>10385.218799999999</v>
      </c>
      <c r="AC34" s="649" t="s">
        <v>1095</v>
      </c>
      <c r="AD34" s="265"/>
      <c r="AE34" s="330">
        <v>0</v>
      </c>
      <c r="AF34" s="604"/>
      <c r="AI34" s="590"/>
    </row>
    <row r="35" spans="1:35" s="220" customFormat="1" ht="17.100000000000001" customHeight="1">
      <c r="A35" s="1360"/>
      <c r="B35" s="1363"/>
      <c r="C35" s="1393"/>
      <c r="D35" s="1373"/>
      <c r="E35" s="1375"/>
      <c r="F35" s="1377"/>
      <c r="G35" s="1377"/>
      <c r="H35" s="1377"/>
      <c r="I35" s="1377"/>
      <c r="J35" s="1377"/>
      <c r="K35" s="1375"/>
      <c r="L35" s="1375"/>
      <c r="M35" s="1375"/>
      <c r="N35" s="1377"/>
      <c r="O35" s="1377"/>
      <c r="P35" s="1379"/>
      <c r="Q35" s="1379"/>
      <c r="R35" s="369"/>
      <c r="S35" s="1379"/>
      <c r="T35" s="1360"/>
      <c r="U35" s="595"/>
      <c r="V35" s="595"/>
      <c r="W35" s="358"/>
      <c r="X35" s="595"/>
      <c r="Y35" s="359">
        <v>570</v>
      </c>
      <c r="Z35" s="367"/>
      <c r="AA35" s="644"/>
      <c r="AB35" s="1384"/>
      <c r="AC35" s="652"/>
      <c r="AD35" s="265"/>
      <c r="AE35" s="330"/>
      <c r="AF35" s="604"/>
      <c r="AI35" s="590"/>
    </row>
    <row r="36" spans="1:35" s="220" customFormat="1" ht="17.100000000000001" customHeight="1">
      <c r="A36" s="1361"/>
      <c r="B36" s="1364"/>
      <c r="C36" s="1393"/>
      <c r="D36" s="1374"/>
      <c r="E36" s="1376"/>
      <c r="F36" s="1378"/>
      <c r="G36" s="1378"/>
      <c r="H36" s="1378"/>
      <c r="I36" s="1378"/>
      <c r="J36" s="1378"/>
      <c r="K36" s="1376"/>
      <c r="L36" s="1376"/>
      <c r="M36" s="1376"/>
      <c r="N36" s="1378"/>
      <c r="O36" s="1378"/>
      <c r="P36" s="1380"/>
      <c r="Q36" s="1380"/>
      <c r="R36" s="370"/>
      <c r="S36" s="1380"/>
      <c r="T36" s="1361"/>
      <c r="U36" s="596"/>
      <c r="V36" s="596"/>
      <c r="W36" s="361">
        <f>U34/8/60*AE36</f>
        <v>0</v>
      </c>
      <c r="X36" s="596"/>
      <c r="Y36" s="359">
        <v>0</v>
      </c>
      <c r="Z36" s="366">
        <v>0</v>
      </c>
      <c r="AA36" s="645"/>
      <c r="AB36" s="1385"/>
      <c r="AC36" s="1382"/>
      <c r="AD36" s="265"/>
      <c r="AE36" s="331">
        <v>0</v>
      </c>
      <c r="AF36" s="604"/>
      <c r="AI36" s="590"/>
    </row>
    <row r="37" spans="1:35" s="220" customFormat="1" ht="17.100000000000001" customHeight="1">
      <c r="A37" s="1370">
        <v>8</v>
      </c>
      <c r="B37" s="1362" t="s">
        <v>1075</v>
      </c>
      <c r="C37" s="1386" t="s">
        <v>1077</v>
      </c>
      <c r="D37" s="352" t="s">
        <v>78</v>
      </c>
      <c r="E37" s="352" t="s">
        <v>78</v>
      </c>
      <c r="F37" s="352" t="s">
        <v>78</v>
      </c>
      <c r="G37" s="352" t="s">
        <v>79</v>
      </c>
      <c r="H37" s="352" t="s">
        <v>78</v>
      </c>
      <c r="I37" s="352" t="s">
        <v>78</v>
      </c>
      <c r="J37" s="352" t="s">
        <v>78</v>
      </c>
      <c r="K37" s="352" t="s">
        <v>78</v>
      </c>
      <c r="L37" s="352" t="s">
        <v>78</v>
      </c>
      <c r="M37" s="352" t="s">
        <v>78</v>
      </c>
      <c r="N37" s="352" t="s">
        <v>78</v>
      </c>
      <c r="O37" s="352" t="s">
        <v>78</v>
      </c>
      <c r="P37" s="352" t="s">
        <v>78</v>
      </c>
      <c r="Q37" s="352" t="s">
        <v>78</v>
      </c>
      <c r="R37" s="352" t="s">
        <v>78</v>
      </c>
      <c r="S37" s="352" t="s">
        <v>78</v>
      </c>
      <c r="T37" s="1359">
        <f>COUNTIF(D37:S37,"X")+(COUNTIF(D37:S37,"/")/2)+COUNTIF(D37:S37,"OB")+COUNTIF(D37:S37,"SPH")</f>
        <v>15</v>
      </c>
      <c r="U37" s="594">
        <v>567.32000000000005</v>
      </c>
      <c r="V37" s="594">
        <f>T37*U37</f>
        <v>8509.8000000000011</v>
      </c>
      <c r="W37" s="356">
        <v>0</v>
      </c>
      <c r="X37" s="594">
        <f>V37+W37-W39</f>
        <v>8509.8000000000011</v>
      </c>
      <c r="Y37" s="357">
        <f>X37*0.03</f>
        <v>255.29400000000001</v>
      </c>
      <c r="Z37" s="364"/>
      <c r="AA37" s="643">
        <f>Y37+Y38+Y39+Z37+Z38+Z39</f>
        <v>255.29400000000001</v>
      </c>
      <c r="AB37" s="1383">
        <v>4752.7</v>
      </c>
      <c r="AC37" s="649" t="s">
        <v>1091</v>
      </c>
      <c r="AD37" s="265"/>
      <c r="AE37" s="331"/>
      <c r="AF37" s="604"/>
      <c r="AI37" s="590"/>
    </row>
    <row r="38" spans="1:35" s="220" customFormat="1" ht="17.100000000000001" customHeight="1">
      <c r="A38" s="1371"/>
      <c r="B38" s="1363"/>
      <c r="C38" s="1366"/>
      <c r="D38" s="1373"/>
      <c r="E38" s="1375"/>
      <c r="F38" s="1377"/>
      <c r="G38" s="1377"/>
      <c r="H38" s="1377"/>
      <c r="I38" s="1377"/>
      <c r="J38" s="1377"/>
      <c r="K38" s="1375"/>
      <c r="L38" s="1375"/>
      <c r="M38" s="1375"/>
      <c r="N38" s="1377"/>
      <c r="O38" s="1377"/>
      <c r="P38" s="1379"/>
      <c r="Q38" s="1379"/>
      <c r="R38" s="369"/>
      <c r="S38" s="1379"/>
      <c r="T38" s="1360"/>
      <c r="U38" s="595"/>
      <c r="V38" s="595"/>
      <c r="W38" s="358"/>
      <c r="X38" s="595"/>
      <c r="Y38" s="359"/>
      <c r="Z38" s="365"/>
      <c r="AA38" s="644"/>
      <c r="AB38" s="1384"/>
      <c r="AC38" s="652"/>
      <c r="AD38" s="265"/>
      <c r="AE38" s="331"/>
      <c r="AF38" s="604"/>
      <c r="AI38" s="590"/>
    </row>
    <row r="39" spans="1:35" s="220" customFormat="1" ht="17.100000000000001" customHeight="1">
      <c r="A39" s="1372"/>
      <c r="B39" s="1364"/>
      <c r="C39" s="1367"/>
      <c r="D39" s="1374"/>
      <c r="E39" s="1376"/>
      <c r="F39" s="1378"/>
      <c r="G39" s="1378"/>
      <c r="H39" s="1378"/>
      <c r="I39" s="1378"/>
      <c r="J39" s="1378"/>
      <c r="K39" s="1376"/>
      <c r="L39" s="1376"/>
      <c r="M39" s="1376"/>
      <c r="N39" s="1378"/>
      <c r="O39" s="1378"/>
      <c r="P39" s="1380"/>
      <c r="Q39" s="1380"/>
      <c r="R39" s="370"/>
      <c r="S39" s="1380"/>
      <c r="T39" s="1361"/>
      <c r="U39" s="596"/>
      <c r="V39" s="596"/>
      <c r="W39" s="361">
        <f>U37/8/60*AE39</f>
        <v>0</v>
      </c>
      <c r="X39" s="596"/>
      <c r="Y39" s="366">
        <v>0</v>
      </c>
      <c r="Z39" s="366">
        <v>0</v>
      </c>
      <c r="AA39" s="645"/>
      <c r="AB39" s="1385"/>
      <c r="AC39" s="1382"/>
      <c r="AD39" s="265"/>
      <c r="AE39" s="331"/>
      <c r="AF39" s="604"/>
      <c r="AI39" s="590"/>
    </row>
    <row r="40" spans="1:35" s="220" customFormat="1" ht="178.5" customHeight="1">
      <c r="A40" s="225"/>
      <c r="B40" s="1394" t="s">
        <v>1098</v>
      </c>
      <c r="C40" s="673"/>
      <c r="D40" s="226"/>
      <c r="E40" s="227"/>
      <c r="F40" s="227"/>
      <c r="G40" s="227"/>
      <c r="H40" s="228"/>
      <c r="I40" s="228"/>
      <c r="J40" s="232"/>
      <c r="K40" s="227"/>
      <c r="L40" s="227"/>
      <c r="M40" s="227"/>
      <c r="N40" s="232"/>
      <c r="O40" s="228"/>
      <c r="P40" s="228"/>
      <c r="Q40" s="227"/>
      <c r="R40" s="227"/>
      <c r="S40" s="227"/>
      <c r="T40" s="251"/>
      <c r="U40" s="252"/>
      <c r="V40" s="253"/>
      <c r="W40" s="249"/>
      <c r="X40" s="247"/>
      <c r="Y40" s="245"/>
      <c r="Z40" s="269"/>
      <c r="AA40" s="270"/>
      <c r="AB40" s="271"/>
      <c r="AC40" s="345"/>
      <c r="AD40" s="265"/>
      <c r="AE40" s="327"/>
    </row>
    <row r="41" spans="1:35" s="220" customFormat="1" ht="17.100000000000001" customHeight="1">
      <c r="A41" s="229"/>
      <c r="B41" s="662"/>
      <c r="C41" s="663"/>
      <c r="D41" s="230"/>
      <c r="E41" s="224"/>
      <c r="F41" s="224"/>
      <c r="G41" s="224"/>
      <c r="H41" s="231"/>
      <c r="I41" s="231"/>
      <c r="J41" s="233"/>
      <c r="K41" s="224"/>
      <c r="L41" s="224"/>
      <c r="M41" s="224"/>
      <c r="N41" s="233"/>
      <c r="O41" s="231"/>
      <c r="P41" s="231"/>
      <c r="Q41" s="224"/>
      <c r="R41" s="224"/>
      <c r="S41" s="224"/>
      <c r="T41" s="255"/>
      <c r="U41" s="256"/>
      <c r="V41" s="248"/>
      <c r="W41" s="257"/>
      <c r="X41" s="257"/>
      <c r="Y41" s="257">
        <f>Y16+Y19+Y22+Y25+Y28+Y31+Y34+Y37</f>
        <v>2280.9680056249999</v>
      </c>
      <c r="Z41" s="257">
        <f>Z16+Z19+Z22+Z25+Z28+Z31+Z34+Z37</f>
        <v>0</v>
      </c>
      <c r="AA41" s="272"/>
      <c r="AB41" s="272"/>
      <c r="AC41" s="273"/>
      <c r="AD41" s="265"/>
      <c r="AE41" s="327"/>
    </row>
    <row r="42" spans="1:35" s="220" customFormat="1" ht="17.100000000000001" customHeight="1">
      <c r="A42" s="229"/>
      <c r="B42" s="664"/>
      <c r="C42" s="665"/>
      <c r="D42" s="230"/>
      <c r="E42" s="224"/>
      <c r="F42" s="224"/>
      <c r="G42" s="224"/>
      <c r="H42" s="231"/>
      <c r="I42" s="231"/>
      <c r="J42" s="233"/>
      <c r="K42" s="224"/>
      <c r="L42" s="224"/>
      <c r="M42" s="224"/>
      <c r="N42" s="233"/>
      <c r="O42" s="231"/>
      <c r="P42" s="231"/>
      <c r="Q42" s="224"/>
      <c r="R42" s="224"/>
      <c r="S42" s="224"/>
      <c r="T42" s="255"/>
      <c r="U42" s="256"/>
      <c r="V42" s="248"/>
      <c r="W42" s="257"/>
      <c r="X42" s="257"/>
      <c r="Y42" s="257"/>
      <c r="Z42" s="257"/>
      <c r="AA42" s="272"/>
      <c r="AB42" s="272"/>
      <c r="AC42" s="273"/>
      <c r="AD42" s="265"/>
      <c r="AE42" s="327"/>
    </row>
    <row r="43" spans="1:35" s="220" customFormat="1" ht="17.100000000000001" customHeight="1">
      <c r="A43" s="229"/>
      <c r="B43" s="666"/>
      <c r="C43" s="667"/>
      <c r="D43" s="230"/>
      <c r="E43" s="224"/>
      <c r="F43" s="224"/>
      <c r="G43" s="224"/>
      <c r="H43" s="231"/>
      <c r="I43" s="231"/>
      <c r="J43" s="233"/>
      <c r="K43" s="224"/>
      <c r="L43" s="224"/>
      <c r="M43" s="224"/>
      <c r="N43" s="233"/>
      <c r="O43" s="231"/>
      <c r="P43" s="231"/>
      <c r="Q43" s="224"/>
      <c r="R43" s="224"/>
      <c r="S43" s="224"/>
      <c r="T43" s="255"/>
      <c r="U43" s="256"/>
      <c r="V43" s="248"/>
      <c r="W43" s="257">
        <f>W18+W21+W24+W27+W30+W33+W39</f>
        <v>270.58314583333333</v>
      </c>
      <c r="X43" s="257"/>
      <c r="Y43" s="257"/>
      <c r="Z43" s="257"/>
      <c r="AA43" s="272"/>
      <c r="AB43" s="272"/>
      <c r="AC43" s="273"/>
      <c r="AD43" s="265"/>
      <c r="AE43" s="327"/>
    </row>
    <row r="44" spans="1:35" ht="12" customHeight="1">
      <c r="A44" s="274"/>
      <c r="B44" s="1395"/>
      <c r="C44" s="1396"/>
      <c r="D44" s="275"/>
      <c r="E44" s="276"/>
      <c r="F44" s="276"/>
      <c r="G44" s="276"/>
      <c r="H44" s="276"/>
      <c r="I44" s="276"/>
      <c r="J44" s="276"/>
      <c r="K44" s="279"/>
      <c r="L44" s="276"/>
      <c r="M44" s="276"/>
      <c r="N44" s="276"/>
      <c r="O44" s="276"/>
      <c r="P44" s="276"/>
      <c r="Q44" s="276"/>
      <c r="R44" s="276"/>
      <c r="S44" s="279"/>
      <c r="T44" s="281"/>
      <c r="U44" s="343"/>
      <c r="V44" s="282"/>
      <c r="W44" s="257"/>
      <c r="X44" s="283"/>
      <c r="Y44" s="285"/>
      <c r="Z44" s="286"/>
      <c r="AA44" s="344"/>
      <c r="AB44" s="287"/>
      <c r="AC44" s="288"/>
      <c r="AE44" s="328"/>
    </row>
    <row r="45" spans="1:35" s="181" customFormat="1" ht="30" customHeight="1">
      <c r="A45" s="668" t="s">
        <v>80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70"/>
      <c r="V45" s="354">
        <v>54876.83</v>
      </c>
      <c r="W45" s="355">
        <f>ROUND(SUM(W41:W43),2)</f>
        <v>270.58</v>
      </c>
      <c r="X45" s="354">
        <v>52639.49</v>
      </c>
      <c r="Y45" s="355">
        <v>1579.19</v>
      </c>
      <c r="Z45" s="355">
        <f>Z41</f>
        <v>0</v>
      </c>
      <c r="AA45" s="354">
        <f>ROUND((Y45+Z45),2)</f>
        <v>1579.19</v>
      </c>
      <c r="AB45" s="354">
        <v>49460.3</v>
      </c>
      <c r="AC45" s="290"/>
      <c r="AE45" s="329"/>
    </row>
    <row r="46" spans="1:35" s="181" customFormat="1" ht="24" customHeight="1">
      <c r="A46" s="277"/>
      <c r="B46" s="322"/>
      <c r="C46" s="322"/>
      <c r="D46" s="322"/>
      <c r="E46" s="322"/>
      <c r="F46" s="322"/>
      <c r="G46" s="322"/>
      <c r="H46" s="322"/>
      <c r="I46" s="322"/>
      <c r="J46" s="322"/>
      <c r="K46" s="322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84"/>
      <c r="W46" s="284"/>
      <c r="X46" s="284"/>
      <c r="Y46" s="291"/>
      <c r="Z46" s="291"/>
      <c r="AA46" s="284"/>
      <c r="AB46" s="284"/>
      <c r="AC46" s="348"/>
    </row>
    <row r="47" spans="1:35" s="181" customFormat="1" ht="9.9499999999999993" customHeight="1">
      <c r="A47" s="277"/>
      <c r="B47" s="278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84"/>
      <c r="W47" s="284"/>
      <c r="X47" s="284"/>
      <c r="Y47" s="291"/>
      <c r="Z47" s="291"/>
      <c r="AA47" s="284"/>
      <c r="AB47" s="284"/>
      <c r="AC47" s="348"/>
      <c r="AE47" s="292"/>
    </row>
    <row r="48" spans="1:35" s="221" customFormat="1" ht="60" customHeight="1">
      <c r="B48" s="671" t="s">
        <v>81</v>
      </c>
      <c r="C48" s="671"/>
      <c r="D48" s="671"/>
      <c r="J48" s="671" t="s">
        <v>82</v>
      </c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X48" s="671" t="s">
        <v>1102</v>
      </c>
      <c r="Y48" s="671"/>
      <c r="Z48" s="671"/>
      <c r="AA48" s="671"/>
      <c r="AB48" s="671"/>
      <c r="AC48" s="671"/>
    </row>
    <row r="49" spans="2:29">
      <c r="W49" s="184"/>
      <c r="X49" s="184"/>
      <c r="Y49" s="259"/>
      <c r="Z49" s="259"/>
      <c r="AA49" s="184"/>
      <c r="AB49" s="184"/>
      <c r="AC49" s="181"/>
    </row>
    <row r="50" spans="2:29">
      <c r="W50" s="184"/>
      <c r="X50" s="184"/>
      <c r="Y50" s="259"/>
      <c r="Z50" s="259"/>
      <c r="AA50" s="184"/>
      <c r="AB50" s="184"/>
      <c r="AC50" s="181"/>
    </row>
    <row r="51" spans="2:29">
      <c r="W51" s="184"/>
      <c r="X51" s="184"/>
      <c r="Y51" s="259"/>
      <c r="Z51" s="259"/>
      <c r="AA51" s="184"/>
      <c r="AB51" s="184"/>
      <c r="AC51" s="181"/>
    </row>
    <row r="52" spans="2:29" s="221" customFormat="1" ht="15" customHeight="1">
      <c r="B52" s="660" t="s">
        <v>1080</v>
      </c>
      <c r="C52" s="660"/>
      <c r="J52" s="660" t="s">
        <v>1082</v>
      </c>
      <c r="K52" s="660"/>
      <c r="L52" s="660"/>
      <c r="M52" s="660"/>
      <c r="N52" s="660"/>
      <c r="O52" s="660"/>
      <c r="P52" s="660"/>
      <c r="Q52" s="660"/>
      <c r="R52" s="660"/>
      <c r="S52" s="660"/>
      <c r="T52" s="660"/>
      <c r="U52" s="660"/>
      <c r="V52" s="660"/>
      <c r="X52" s="660" t="s">
        <v>205</v>
      </c>
      <c r="Y52" s="660"/>
      <c r="Z52" s="660"/>
      <c r="AA52" s="660"/>
      <c r="AB52" s="660"/>
      <c r="AC52" s="660"/>
    </row>
    <row r="53" spans="2:29" s="221" customFormat="1" ht="15" customHeight="1">
      <c r="B53" s="661" t="s">
        <v>1081</v>
      </c>
      <c r="C53" s="661"/>
      <c r="J53" s="661" t="s">
        <v>1083</v>
      </c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X53" s="661" t="s">
        <v>206</v>
      </c>
      <c r="Y53" s="661"/>
      <c r="Z53" s="661"/>
      <c r="AA53" s="661"/>
      <c r="AB53" s="661"/>
      <c r="AC53" s="661"/>
    </row>
  </sheetData>
  <mergeCells count="211">
    <mergeCell ref="B53:C53"/>
    <mergeCell ref="J53:V53"/>
    <mergeCell ref="X53:AC53"/>
    <mergeCell ref="B41:C41"/>
    <mergeCell ref="B42:C42"/>
    <mergeCell ref="B43:C43"/>
    <mergeCell ref="B44:C44"/>
    <mergeCell ref="A45:U45"/>
    <mergeCell ref="B48:D48"/>
    <mergeCell ref="J48:V48"/>
    <mergeCell ref="B40:C40"/>
    <mergeCell ref="H38:H39"/>
    <mergeCell ref="I38:I39"/>
    <mergeCell ref="J38:J39"/>
    <mergeCell ref="K38:K39"/>
    <mergeCell ref="L38:L39"/>
    <mergeCell ref="M38:M39"/>
    <mergeCell ref="X48:AC48"/>
    <mergeCell ref="B52:C52"/>
    <mergeCell ref="J52:V52"/>
    <mergeCell ref="X52:AC52"/>
    <mergeCell ref="AI36:AI39"/>
    <mergeCell ref="X37:X39"/>
    <mergeCell ref="AA37:AA39"/>
    <mergeCell ref="AB37:AB39"/>
    <mergeCell ref="AC37:AC39"/>
    <mergeCell ref="AB34:AB36"/>
    <mergeCell ref="AC34:AC36"/>
    <mergeCell ref="AI33:AI35"/>
    <mergeCell ref="A37:A39"/>
    <mergeCell ref="B37:B39"/>
    <mergeCell ref="C37:C39"/>
    <mergeCell ref="T37:T39"/>
    <mergeCell ref="U37:U39"/>
    <mergeCell ref="V37:V39"/>
    <mergeCell ref="D38:D39"/>
    <mergeCell ref="E38:E39"/>
    <mergeCell ref="F38:F39"/>
    <mergeCell ref="G38:G39"/>
    <mergeCell ref="N38:N39"/>
    <mergeCell ref="O38:O39"/>
    <mergeCell ref="P38:P39"/>
    <mergeCell ref="Q38:Q39"/>
    <mergeCell ref="S38:S39"/>
    <mergeCell ref="S32:S33"/>
    <mergeCell ref="AF33:AF35"/>
    <mergeCell ref="I35:I36"/>
    <mergeCell ref="J35:J36"/>
    <mergeCell ref="K35:K36"/>
    <mergeCell ref="L35:L36"/>
    <mergeCell ref="M35:M36"/>
    <mergeCell ref="N35:N36"/>
    <mergeCell ref="V34:V36"/>
    <mergeCell ref="X34:X36"/>
    <mergeCell ref="AA34:AA36"/>
    <mergeCell ref="O35:O36"/>
    <mergeCell ref="P35:P36"/>
    <mergeCell ref="Q35:Q36"/>
    <mergeCell ref="S35:S36"/>
    <mergeCell ref="AF36:AF39"/>
    <mergeCell ref="A34:A36"/>
    <mergeCell ref="B34:B36"/>
    <mergeCell ref="C34:C36"/>
    <mergeCell ref="T34:T36"/>
    <mergeCell ref="U34:U36"/>
    <mergeCell ref="J32:J33"/>
    <mergeCell ref="K32:K33"/>
    <mergeCell ref="L32:L33"/>
    <mergeCell ref="M32:M33"/>
    <mergeCell ref="N32:N33"/>
    <mergeCell ref="O32:O33"/>
    <mergeCell ref="D32:D33"/>
    <mergeCell ref="E32:E33"/>
    <mergeCell ref="F32:F33"/>
    <mergeCell ref="G32:G33"/>
    <mergeCell ref="H32:H33"/>
    <mergeCell ref="I32:I33"/>
    <mergeCell ref="D35:D36"/>
    <mergeCell ref="E35:E36"/>
    <mergeCell ref="F35:F36"/>
    <mergeCell ref="G35:G36"/>
    <mergeCell ref="H35:H36"/>
    <mergeCell ref="P32:P33"/>
    <mergeCell ref="Q32:Q33"/>
    <mergeCell ref="AI30:AI32"/>
    <mergeCell ref="A31:A33"/>
    <mergeCell ref="B31:B33"/>
    <mergeCell ref="C31:C33"/>
    <mergeCell ref="T31:T33"/>
    <mergeCell ref="U31:U33"/>
    <mergeCell ref="V31:V33"/>
    <mergeCell ref="X31:X33"/>
    <mergeCell ref="AA31:AA33"/>
    <mergeCell ref="AB31:AB33"/>
    <mergeCell ref="V28:V30"/>
    <mergeCell ref="X28:X30"/>
    <mergeCell ref="AA28:AA30"/>
    <mergeCell ref="AB28:AB30"/>
    <mergeCell ref="AC28:AC30"/>
    <mergeCell ref="AF30:AF32"/>
    <mergeCell ref="AC31:AC33"/>
    <mergeCell ref="AF21:AF29"/>
    <mergeCell ref="AI21:AI29"/>
    <mergeCell ref="M20:M21"/>
    <mergeCell ref="N20:N21"/>
    <mergeCell ref="O20:O21"/>
    <mergeCell ref="P20:P21"/>
    <mergeCell ref="Q20:Q21"/>
    <mergeCell ref="A22:A24"/>
    <mergeCell ref="B22:B24"/>
    <mergeCell ref="C22:C24"/>
    <mergeCell ref="V25:V27"/>
    <mergeCell ref="X25:X27"/>
    <mergeCell ref="AA25:AA27"/>
    <mergeCell ref="AB25:AB27"/>
    <mergeCell ref="AC25:AC27"/>
    <mergeCell ref="A28:A30"/>
    <mergeCell ref="B28:B30"/>
    <mergeCell ref="C28:C30"/>
    <mergeCell ref="T28:T30"/>
    <mergeCell ref="U28:U30"/>
    <mergeCell ref="A25:A27"/>
    <mergeCell ref="B25:B27"/>
    <mergeCell ref="C25:C27"/>
    <mergeCell ref="T25:T27"/>
    <mergeCell ref="U25:U27"/>
    <mergeCell ref="AB22:AB24"/>
    <mergeCell ref="AC22:AC24"/>
    <mergeCell ref="D23:D24"/>
    <mergeCell ref="E23:E24"/>
    <mergeCell ref="F23:F24"/>
    <mergeCell ref="G23:G24"/>
    <mergeCell ref="H23:H24"/>
    <mergeCell ref="I23:I24"/>
    <mergeCell ref="J23:J24"/>
    <mergeCell ref="K23:K24"/>
    <mergeCell ref="T22:T24"/>
    <mergeCell ref="U22:U24"/>
    <mergeCell ref="V22:V24"/>
    <mergeCell ref="X22:X24"/>
    <mergeCell ref="AA22:AA24"/>
    <mergeCell ref="S23:S24"/>
    <mergeCell ref="L23:L24"/>
    <mergeCell ref="M23:M24"/>
    <mergeCell ref="N23:N24"/>
    <mergeCell ref="O23:O24"/>
    <mergeCell ref="P23:P24"/>
    <mergeCell ref="Q23:Q24"/>
    <mergeCell ref="D20:D21"/>
    <mergeCell ref="E20:E21"/>
    <mergeCell ref="F20:F21"/>
    <mergeCell ref="G20:G21"/>
    <mergeCell ref="H20:H21"/>
    <mergeCell ref="T19:T21"/>
    <mergeCell ref="U19:U21"/>
    <mergeCell ref="I20:I21"/>
    <mergeCell ref="J20:J21"/>
    <mergeCell ref="K20:K21"/>
    <mergeCell ref="L20:L21"/>
    <mergeCell ref="S20:S21"/>
    <mergeCell ref="AF15:AF20"/>
    <mergeCell ref="AI15:AI20"/>
    <mergeCell ref="AC16:AC18"/>
    <mergeCell ref="V19:V21"/>
    <mergeCell ref="X19:X21"/>
    <mergeCell ref="AA19:AA21"/>
    <mergeCell ref="AB19:AB21"/>
    <mergeCell ref="AC19:AC21"/>
    <mergeCell ref="V16:V18"/>
    <mergeCell ref="X16:X18"/>
    <mergeCell ref="AA16:AA18"/>
    <mergeCell ref="AB16:AB18"/>
    <mergeCell ref="D17:D18"/>
    <mergeCell ref="E17:E18"/>
    <mergeCell ref="F17:F18"/>
    <mergeCell ref="G17:G18"/>
    <mergeCell ref="H17:H18"/>
    <mergeCell ref="I17:I18"/>
    <mergeCell ref="J17:J18"/>
    <mergeCell ref="K17:K18"/>
    <mergeCell ref="S17:S18"/>
    <mergeCell ref="L17:L18"/>
    <mergeCell ref="M17:M18"/>
    <mergeCell ref="N17:N18"/>
    <mergeCell ref="O17:O18"/>
    <mergeCell ref="P17:P18"/>
    <mergeCell ref="Q17:Q18"/>
    <mergeCell ref="A19:A21"/>
    <mergeCell ref="B19:B21"/>
    <mergeCell ref="C19:C21"/>
    <mergeCell ref="B1:AC1"/>
    <mergeCell ref="B2:AC2"/>
    <mergeCell ref="B3:AC3"/>
    <mergeCell ref="B4:AC4"/>
    <mergeCell ref="B5:AC5"/>
    <mergeCell ref="A7:AC7"/>
    <mergeCell ref="AB8:AC8"/>
    <mergeCell ref="AB10:AC10"/>
    <mergeCell ref="A13:A15"/>
    <mergeCell ref="B13:B15"/>
    <mergeCell ref="C13:C15"/>
    <mergeCell ref="D13:S13"/>
    <mergeCell ref="T13:T15"/>
    <mergeCell ref="U13:U15"/>
    <mergeCell ref="V13:V15"/>
    <mergeCell ref="AA13:AA15"/>
    <mergeCell ref="A16:A18"/>
    <mergeCell ref="B16:B18"/>
    <mergeCell ref="C16:C18"/>
    <mergeCell ref="T16:T18"/>
    <mergeCell ref="U16:U18"/>
  </mergeCells>
  <pageMargins left="0.48958333333333331" right="0.30282738095238093" top="0.23611111111111099" bottom="0.25" header="0.31458333333333299" footer="6.4583333000000007E-2"/>
  <pageSetup paperSize="14" scale="54" fitToWidth="0" fitToHeight="0" orientation="landscape" verticalDpi="360" r:id="rId1"/>
  <headerFooter>
    <oddFooter>&amp;L&amp;"Tahoma,Italic"&amp;8NIA-AlCat RV-AFD-FIN-INT-Form39Rev00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J60"/>
  <sheetViews>
    <sheetView topLeftCell="A4" zoomScaleNormal="100" workbookViewId="0">
      <selection activeCell="C10" sqref="C10"/>
    </sheetView>
  </sheetViews>
  <sheetFormatPr defaultColWidth="9" defaultRowHeight="12.75"/>
  <cols>
    <col min="1" max="1" width="14.5703125" style="184" customWidth="1"/>
    <col min="2" max="2" width="14" style="184" customWidth="1"/>
    <col min="3" max="4" width="17.85546875" style="184" customWidth="1"/>
    <col min="5" max="5" width="32.140625" style="184" customWidth="1"/>
    <col min="6" max="6" width="22.140625" style="184" customWidth="1"/>
    <col min="7" max="7" width="12.42578125" style="184" customWidth="1"/>
    <col min="8" max="8" width="15" style="185" customWidth="1"/>
    <col min="9" max="9" width="12.140625" style="184" customWidth="1"/>
    <col min="10" max="10" width="12.7109375" style="184" customWidth="1"/>
    <col min="11" max="256" width="9.140625" style="184"/>
    <col min="257" max="257" width="14.5703125" style="184" customWidth="1"/>
    <col min="258" max="258" width="14" style="184" customWidth="1"/>
    <col min="259" max="260" width="17.85546875" style="184" customWidth="1"/>
    <col min="261" max="261" width="30.5703125" style="184" customWidth="1"/>
    <col min="262" max="262" width="22.140625" style="184" customWidth="1"/>
    <col min="263" max="263" width="12.42578125" style="184" customWidth="1"/>
    <col min="264" max="264" width="15" style="184" customWidth="1"/>
    <col min="265" max="265" width="12.140625" style="184" customWidth="1"/>
    <col min="266" max="266" width="12.7109375" style="184" customWidth="1"/>
    <col min="267" max="512" width="9.140625" style="184"/>
    <col min="513" max="513" width="14.5703125" style="184" customWidth="1"/>
    <col min="514" max="514" width="14" style="184" customWidth="1"/>
    <col min="515" max="516" width="17.85546875" style="184" customWidth="1"/>
    <col min="517" max="517" width="30.5703125" style="184" customWidth="1"/>
    <col min="518" max="518" width="22.140625" style="184" customWidth="1"/>
    <col min="519" max="519" width="12.42578125" style="184" customWidth="1"/>
    <col min="520" max="520" width="15" style="184" customWidth="1"/>
    <col min="521" max="521" width="12.140625" style="184" customWidth="1"/>
    <col min="522" max="522" width="12.7109375" style="184" customWidth="1"/>
    <col min="523" max="768" width="9.140625" style="184"/>
    <col min="769" max="769" width="14.5703125" style="184" customWidth="1"/>
    <col min="770" max="770" width="14" style="184" customWidth="1"/>
    <col min="771" max="772" width="17.85546875" style="184" customWidth="1"/>
    <col min="773" max="773" width="30.5703125" style="184" customWidth="1"/>
    <col min="774" max="774" width="22.140625" style="184" customWidth="1"/>
    <col min="775" max="775" width="12.42578125" style="184" customWidth="1"/>
    <col min="776" max="776" width="15" style="184" customWidth="1"/>
    <col min="777" max="777" width="12.140625" style="184" customWidth="1"/>
    <col min="778" max="778" width="12.7109375" style="184" customWidth="1"/>
    <col min="779" max="1024" width="9.140625" style="184"/>
    <col min="1025" max="1025" width="14.5703125" style="184" customWidth="1"/>
    <col min="1026" max="1026" width="14" style="184" customWidth="1"/>
    <col min="1027" max="1028" width="17.85546875" style="184" customWidth="1"/>
    <col min="1029" max="1029" width="30.5703125" style="184" customWidth="1"/>
    <col min="1030" max="1030" width="22.140625" style="184" customWidth="1"/>
    <col min="1031" max="1031" width="12.42578125" style="184" customWidth="1"/>
    <col min="1032" max="1032" width="15" style="184" customWidth="1"/>
    <col min="1033" max="1033" width="12.140625" style="184" customWidth="1"/>
    <col min="1034" max="1034" width="12.7109375" style="184" customWidth="1"/>
    <col min="1035" max="1280" width="9.140625" style="184"/>
    <col min="1281" max="1281" width="14.5703125" style="184" customWidth="1"/>
    <col min="1282" max="1282" width="14" style="184" customWidth="1"/>
    <col min="1283" max="1284" width="17.85546875" style="184" customWidth="1"/>
    <col min="1285" max="1285" width="30.5703125" style="184" customWidth="1"/>
    <col min="1286" max="1286" width="22.140625" style="184" customWidth="1"/>
    <col min="1287" max="1287" width="12.42578125" style="184" customWidth="1"/>
    <col min="1288" max="1288" width="15" style="184" customWidth="1"/>
    <col min="1289" max="1289" width="12.140625" style="184" customWidth="1"/>
    <col min="1290" max="1290" width="12.7109375" style="184" customWidth="1"/>
    <col min="1291" max="1536" width="9.140625" style="184"/>
    <col min="1537" max="1537" width="14.5703125" style="184" customWidth="1"/>
    <col min="1538" max="1538" width="14" style="184" customWidth="1"/>
    <col min="1539" max="1540" width="17.85546875" style="184" customWidth="1"/>
    <col min="1541" max="1541" width="30.5703125" style="184" customWidth="1"/>
    <col min="1542" max="1542" width="22.140625" style="184" customWidth="1"/>
    <col min="1543" max="1543" width="12.42578125" style="184" customWidth="1"/>
    <col min="1544" max="1544" width="15" style="184" customWidth="1"/>
    <col min="1545" max="1545" width="12.140625" style="184" customWidth="1"/>
    <col min="1546" max="1546" width="12.7109375" style="184" customWidth="1"/>
    <col min="1547" max="1792" width="9.140625" style="184"/>
    <col min="1793" max="1793" width="14.5703125" style="184" customWidth="1"/>
    <col min="1794" max="1794" width="14" style="184" customWidth="1"/>
    <col min="1795" max="1796" width="17.85546875" style="184" customWidth="1"/>
    <col min="1797" max="1797" width="30.5703125" style="184" customWidth="1"/>
    <col min="1798" max="1798" width="22.140625" style="184" customWidth="1"/>
    <col min="1799" max="1799" width="12.42578125" style="184" customWidth="1"/>
    <col min="1800" max="1800" width="15" style="184" customWidth="1"/>
    <col min="1801" max="1801" width="12.140625" style="184" customWidth="1"/>
    <col min="1802" max="1802" width="12.7109375" style="184" customWidth="1"/>
    <col min="1803" max="2048" width="9.140625" style="184"/>
    <col min="2049" max="2049" width="14.5703125" style="184" customWidth="1"/>
    <col min="2050" max="2050" width="14" style="184" customWidth="1"/>
    <col min="2051" max="2052" width="17.85546875" style="184" customWidth="1"/>
    <col min="2053" max="2053" width="30.5703125" style="184" customWidth="1"/>
    <col min="2054" max="2054" width="22.140625" style="184" customWidth="1"/>
    <col min="2055" max="2055" width="12.42578125" style="184" customWidth="1"/>
    <col min="2056" max="2056" width="15" style="184" customWidth="1"/>
    <col min="2057" max="2057" width="12.140625" style="184" customWidth="1"/>
    <col min="2058" max="2058" width="12.7109375" style="184" customWidth="1"/>
    <col min="2059" max="2304" width="9.140625" style="184"/>
    <col min="2305" max="2305" width="14.5703125" style="184" customWidth="1"/>
    <col min="2306" max="2306" width="14" style="184" customWidth="1"/>
    <col min="2307" max="2308" width="17.85546875" style="184" customWidth="1"/>
    <col min="2309" max="2309" width="30.5703125" style="184" customWidth="1"/>
    <col min="2310" max="2310" width="22.140625" style="184" customWidth="1"/>
    <col min="2311" max="2311" width="12.42578125" style="184" customWidth="1"/>
    <col min="2312" max="2312" width="15" style="184" customWidth="1"/>
    <col min="2313" max="2313" width="12.140625" style="184" customWidth="1"/>
    <col min="2314" max="2314" width="12.7109375" style="184" customWidth="1"/>
    <col min="2315" max="2560" width="9.140625" style="184"/>
    <col min="2561" max="2561" width="14.5703125" style="184" customWidth="1"/>
    <col min="2562" max="2562" width="14" style="184" customWidth="1"/>
    <col min="2563" max="2564" width="17.85546875" style="184" customWidth="1"/>
    <col min="2565" max="2565" width="30.5703125" style="184" customWidth="1"/>
    <col min="2566" max="2566" width="22.140625" style="184" customWidth="1"/>
    <col min="2567" max="2567" width="12.42578125" style="184" customWidth="1"/>
    <col min="2568" max="2568" width="15" style="184" customWidth="1"/>
    <col min="2569" max="2569" width="12.140625" style="184" customWidth="1"/>
    <col min="2570" max="2570" width="12.7109375" style="184" customWidth="1"/>
    <col min="2571" max="2816" width="9.140625" style="184"/>
    <col min="2817" max="2817" width="14.5703125" style="184" customWidth="1"/>
    <col min="2818" max="2818" width="14" style="184" customWidth="1"/>
    <col min="2819" max="2820" width="17.85546875" style="184" customWidth="1"/>
    <col min="2821" max="2821" width="30.5703125" style="184" customWidth="1"/>
    <col min="2822" max="2822" width="22.140625" style="184" customWidth="1"/>
    <col min="2823" max="2823" width="12.42578125" style="184" customWidth="1"/>
    <col min="2824" max="2824" width="15" style="184" customWidth="1"/>
    <col min="2825" max="2825" width="12.140625" style="184" customWidth="1"/>
    <col min="2826" max="2826" width="12.7109375" style="184" customWidth="1"/>
    <col min="2827" max="3072" width="9.140625" style="184"/>
    <col min="3073" max="3073" width="14.5703125" style="184" customWidth="1"/>
    <col min="3074" max="3074" width="14" style="184" customWidth="1"/>
    <col min="3075" max="3076" width="17.85546875" style="184" customWidth="1"/>
    <col min="3077" max="3077" width="30.5703125" style="184" customWidth="1"/>
    <col min="3078" max="3078" width="22.140625" style="184" customWidth="1"/>
    <col min="3079" max="3079" width="12.42578125" style="184" customWidth="1"/>
    <col min="3080" max="3080" width="15" style="184" customWidth="1"/>
    <col min="3081" max="3081" width="12.140625" style="184" customWidth="1"/>
    <col min="3082" max="3082" width="12.7109375" style="184" customWidth="1"/>
    <col min="3083" max="3328" width="9.140625" style="184"/>
    <col min="3329" max="3329" width="14.5703125" style="184" customWidth="1"/>
    <col min="3330" max="3330" width="14" style="184" customWidth="1"/>
    <col min="3331" max="3332" width="17.85546875" style="184" customWidth="1"/>
    <col min="3333" max="3333" width="30.5703125" style="184" customWidth="1"/>
    <col min="3334" max="3334" width="22.140625" style="184" customWidth="1"/>
    <col min="3335" max="3335" width="12.42578125" style="184" customWidth="1"/>
    <col min="3336" max="3336" width="15" style="184" customWidth="1"/>
    <col min="3337" max="3337" width="12.140625" style="184" customWidth="1"/>
    <col min="3338" max="3338" width="12.7109375" style="184" customWidth="1"/>
    <col min="3339" max="3584" width="9.140625" style="184"/>
    <col min="3585" max="3585" width="14.5703125" style="184" customWidth="1"/>
    <col min="3586" max="3586" width="14" style="184" customWidth="1"/>
    <col min="3587" max="3588" width="17.85546875" style="184" customWidth="1"/>
    <col min="3589" max="3589" width="30.5703125" style="184" customWidth="1"/>
    <col min="3590" max="3590" width="22.140625" style="184" customWidth="1"/>
    <col min="3591" max="3591" width="12.42578125" style="184" customWidth="1"/>
    <col min="3592" max="3592" width="15" style="184" customWidth="1"/>
    <col min="3593" max="3593" width="12.140625" style="184" customWidth="1"/>
    <col min="3594" max="3594" width="12.7109375" style="184" customWidth="1"/>
    <col min="3595" max="3840" width="9.140625" style="184"/>
    <col min="3841" max="3841" width="14.5703125" style="184" customWidth="1"/>
    <col min="3842" max="3842" width="14" style="184" customWidth="1"/>
    <col min="3843" max="3844" width="17.85546875" style="184" customWidth="1"/>
    <col min="3845" max="3845" width="30.5703125" style="184" customWidth="1"/>
    <col min="3846" max="3846" width="22.140625" style="184" customWidth="1"/>
    <col min="3847" max="3847" width="12.42578125" style="184" customWidth="1"/>
    <col min="3848" max="3848" width="15" style="184" customWidth="1"/>
    <col min="3849" max="3849" width="12.140625" style="184" customWidth="1"/>
    <col min="3850" max="3850" width="12.7109375" style="184" customWidth="1"/>
    <col min="3851" max="4096" width="9.140625" style="184"/>
    <col min="4097" max="4097" width="14.5703125" style="184" customWidth="1"/>
    <col min="4098" max="4098" width="14" style="184" customWidth="1"/>
    <col min="4099" max="4100" width="17.85546875" style="184" customWidth="1"/>
    <col min="4101" max="4101" width="30.5703125" style="184" customWidth="1"/>
    <col min="4102" max="4102" width="22.140625" style="184" customWidth="1"/>
    <col min="4103" max="4103" width="12.42578125" style="184" customWidth="1"/>
    <col min="4104" max="4104" width="15" style="184" customWidth="1"/>
    <col min="4105" max="4105" width="12.140625" style="184" customWidth="1"/>
    <col min="4106" max="4106" width="12.7109375" style="184" customWidth="1"/>
    <col min="4107" max="4352" width="9.140625" style="184"/>
    <col min="4353" max="4353" width="14.5703125" style="184" customWidth="1"/>
    <col min="4354" max="4354" width="14" style="184" customWidth="1"/>
    <col min="4355" max="4356" width="17.85546875" style="184" customWidth="1"/>
    <col min="4357" max="4357" width="30.5703125" style="184" customWidth="1"/>
    <col min="4358" max="4358" width="22.140625" style="184" customWidth="1"/>
    <col min="4359" max="4359" width="12.42578125" style="184" customWidth="1"/>
    <col min="4360" max="4360" width="15" style="184" customWidth="1"/>
    <col min="4361" max="4361" width="12.140625" style="184" customWidth="1"/>
    <col min="4362" max="4362" width="12.7109375" style="184" customWidth="1"/>
    <col min="4363" max="4608" width="9.140625" style="184"/>
    <col min="4609" max="4609" width="14.5703125" style="184" customWidth="1"/>
    <col min="4610" max="4610" width="14" style="184" customWidth="1"/>
    <col min="4611" max="4612" width="17.85546875" style="184" customWidth="1"/>
    <col min="4613" max="4613" width="30.5703125" style="184" customWidth="1"/>
    <col min="4614" max="4614" width="22.140625" style="184" customWidth="1"/>
    <col min="4615" max="4615" width="12.42578125" style="184" customWidth="1"/>
    <col min="4616" max="4616" width="15" style="184" customWidth="1"/>
    <col min="4617" max="4617" width="12.140625" style="184" customWidth="1"/>
    <col min="4618" max="4618" width="12.7109375" style="184" customWidth="1"/>
    <col min="4619" max="4864" width="9.140625" style="184"/>
    <col min="4865" max="4865" width="14.5703125" style="184" customWidth="1"/>
    <col min="4866" max="4866" width="14" style="184" customWidth="1"/>
    <col min="4867" max="4868" width="17.85546875" style="184" customWidth="1"/>
    <col min="4869" max="4869" width="30.5703125" style="184" customWidth="1"/>
    <col min="4870" max="4870" width="22.140625" style="184" customWidth="1"/>
    <col min="4871" max="4871" width="12.42578125" style="184" customWidth="1"/>
    <col min="4872" max="4872" width="15" style="184" customWidth="1"/>
    <col min="4873" max="4873" width="12.140625" style="184" customWidth="1"/>
    <col min="4874" max="4874" width="12.7109375" style="184" customWidth="1"/>
    <col min="4875" max="5120" width="9.140625" style="184"/>
    <col min="5121" max="5121" width="14.5703125" style="184" customWidth="1"/>
    <col min="5122" max="5122" width="14" style="184" customWidth="1"/>
    <col min="5123" max="5124" width="17.85546875" style="184" customWidth="1"/>
    <col min="5125" max="5125" width="30.5703125" style="184" customWidth="1"/>
    <col min="5126" max="5126" width="22.140625" style="184" customWidth="1"/>
    <col min="5127" max="5127" width="12.42578125" style="184" customWidth="1"/>
    <col min="5128" max="5128" width="15" style="184" customWidth="1"/>
    <col min="5129" max="5129" width="12.140625" style="184" customWidth="1"/>
    <col min="5130" max="5130" width="12.7109375" style="184" customWidth="1"/>
    <col min="5131" max="5376" width="9.140625" style="184"/>
    <col min="5377" max="5377" width="14.5703125" style="184" customWidth="1"/>
    <col min="5378" max="5378" width="14" style="184" customWidth="1"/>
    <col min="5379" max="5380" width="17.85546875" style="184" customWidth="1"/>
    <col min="5381" max="5381" width="30.5703125" style="184" customWidth="1"/>
    <col min="5382" max="5382" width="22.140625" style="184" customWidth="1"/>
    <col min="5383" max="5383" width="12.42578125" style="184" customWidth="1"/>
    <col min="5384" max="5384" width="15" style="184" customWidth="1"/>
    <col min="5385" max="5385" width="12.140625" style="184" customWidth="1"/>
    <col min="5386" max="5386" width="12.7109375" style="184" customWidth="1"/>
    <col min="5387" max="5632" width="9.140625" style="184"/>
    <col min="5633" max="5633" width="14.5703125" style="184" customWidth="1"/>
    <col min="5634" max="5634" width="14" style="184" customWidth="1"/>
    <col min="5635" max="5636" width="17.85546875" style="184" customWidth="1"/>
    <col min="5637" max="5637" width="30.5703125" style="184" customWidth="1"/>
    <col min="5638" max="5638" width="22.140625" style="184" customWidth="1"/>
    <col min="5639" max="5639" width="12.42578125" style="184" customWidth="1"/>
    <col min="5640" max="5640" width="15" style="184" customWidth="1"/>
    <col min="5641" max="5641" width="12.140625" style="184" customWidth="1"/>
    <col min="5642" max="5642" width="12.7109375" style="184" customWidth="1"/>
    <col min="5643" max="5888" width="9.140625" style="184"/>
    <col min="5889" max="5889" width="14.5703125" style="184" customWidth="1"/>
    <col min="5890" max="5890" width="14" style="184" customWidth="1"/>
    <col min="5891" max="5892" width="17.85546875" style="184" customWidth="1"/>
    <col min="5893" max="5893" width="30.5703125" style="184" customWidth="1"/>
    <col min="5894" max="5894" width="22.140625" style="184" customWidth="1"/>
    <col min="5895" max="5895" width="12.42578125" style="184" customWidth="1"/>
    <col min="5896" max="5896" width="15" style="184" customWidth="1"/>
    <col min="5897" max="5897" width="12.140625" style="184" customWidth="1"/>
    <col min="5898" max="5898" width="12.7109375" style="184" customWidth="1"/>
    <col min="5899" max="6144" width="9.140625" style="184"/>
    <col min="6145" max="6145" width="14.5703125" style="184" customWidth="1"/>
    <col min="6146" max="6146" width="14" style="184" customWidth="1"/>
    <col min="6147" max="6148" width="17.85546875" style="184" customWidth="1"/>
    <col min="6149" max="6149" width="30.5703125" style="184" customWidth="1"/>
    <col min="6150" max="6150" width="22.140625" style="184" customWidth="1"/>
    <col min="6151" max="6151" width="12.42578125" style="184" customWidth="1"/>
    <col min="6152" max="6152" width="15" style="184" customWidth="1"/>
    <col min="6153" max="6153" width="12.140625" style="184" customWidth="1"/>
    <col min="6154" max="6154" width="12.7109375" style="184" customWidth="1"/>
    <col min="6155" max="6400" width="9.140625" style="184"/>
    <col min="6401" max="6401" width="14.5703125" style="184" customWidth="1"/>
    <col min="6402" max="6402" width="14" style="184" customWidth="1"/>
    <col min="6403" max="6404" width="17.85546875" style="184" customWidth="1"/>
    <col min="6405" max="6405" width="30.5703125" style="184" customWidth="1"/>
    <col min="6406" max="6406" width="22.140625" style="184" customWidth="1"/>
    <col min="6407" max="6407" width="12.42578125" style="184" customWidth="1"/>
    <col min="6408" max="6408" width="15" style="184" customWidth="1"/>
    <col min="6409" max="6409" width="12.140625" style="184" customWidth="1"/>
    <col min="6410" max="6410" width="12.7109375" style="184" customWidth="1"/>
    <col min="6411" max="6656" width="9.140625" style="184"/>
    <col min="6657" max="6657" width="14.5703125" style="184" customWidth="1"/>
    <col min="6658" max="6658" width="14" style="184" customWidth="1"/>
    <col min="6659" max="6660" width="17.85546875" style="184" customWidth="1"/>
    <col min="6661" max="6661" width="30.5703125" style="184" customWidth="1"/>
    <col min="6662" max="6662" width="22.140625" style="184" customWidth="1"/>
    <col min="6663" max="6663" width="12.42578125" style="184" customWidth="1"/>
    <col min="6664" max="6664" width="15" style="184" customWidth="1"/>
    <col min="6665" max="6665" width="12.140625" style="184" customWidth="1"/>
    <col min="6666" max="6666" width="12.7109375" style="184" customWidth="1"/>
    <col min="6667" max="6912" width="9.140625" style="184"/>
    <col min="6913" max="6913" width="14.5703125" style="184" customWidth="1"/>
    <col min="6914" max="6914" width="14" style="184" customWidth="1"/>
    <col min="6915" max="6916" width="17.85546875" style="184" customWidth="1"/>
    <col min="6917" max="6917" width="30.5703125" style="184" customWidth="1"/>
    <col min="6918" max="6918" width="22.140625" style="184" customWidth="1"/>
    <col min="6919" max="6919" width="12.42578125" style="184" customWidth="1"/>
    <col min="6920" max="6920" width="15" style="184" customWidth="1"/>
    <col min="6921" max="6921" width="12.140625" style="184" customWidth="1"/>
    <col min="6922" max="6922" width="12.7109375" style="184" customWidth="1"/>
    <col min="6923" max="7168" width="9.140625" style="184"/>
    <col min="7169" max="7169" width="14.5703125" style="184" customWidth="1"/>
    <col min="7170" max="7170" width="14" style="184" customWidth="1"/>
    <col min="7171" max="7172" width="17.85546875" style="184" customWidth="1"/>
    <col min="7173" max="7173" width="30.5703125" style="184" customWidth="1"/>
    <col min="7174" max="7174" width="22.140625" style="184" customWidth="1"/>
    <col min="7175" max="7175" width="12.42578125" style="184" customWidth="1"/>
    <col min="7176" max="7176" width="15" style="184" customWidth="1"/>
    <col min="7177" max="7177" width="12.140625" style="184" customWidth="1"/>
    <col min="7178" max="7178" width="12.7109375" style="184" customWidth="1"/>
    <col min="7179" max="7424" width="9.140625" style="184"/>
    <col min="7425" max="7425" width="14.5703125" style="184" customWidth="1"/>
    <col min="7426" max="7426" width="14" style="184" customWidth="1"/>
    <col min="7427" max="7428" width="17.85546875" style="184" customWidth="1"/>
    <col min="7429" max="7429" width="30.5703125" style="184" customWidth="1"/>
    <col min="7430" max="7430" width="22.140625" style="184" customWidth="1"/>
    <col min="7431" max="7431" width="12.42578125" style="184" customWidth="1"/>
    <col min="7432" max="7432" width="15" style="184" customWidth="1"/>
    <col min="7433" max="7433" width="12.140625" style="184" customWidth="1"/>
    <col min="7434" max="7434" width="12.7109375" style="184" customWidth="1"/>
    <col min="7435" max="7680" width="9.140625" style="184"/>
    <col min="7681" max="7681" width="14.5703125" style="184" customWidth="1"/>
    <col min="7682" max="7682" width="14" style="184" customWidth="1"/>
    <col min="7683" max="7684" width="17.85546875" style="184" customWidth="1"/>
    <col min="7685" max="7685" width="30.5703125" style="184" customWidth="1"/>
    <col min="7686" max="7686" width="22.140625" style="184" customWidth="1"/>
    <col min="7687" max="7687" width="12.42578125" style="184" customWidth="1"/>
    <col min="7688" max="7688" width="15" style="184" customWidth="1"/>
    <col min="7689" max="7689" width="12.140625" style="184" customWidth="1"/>
    <col min="7690" max="7690" width="12.7109375" style="184" customWidth="1"/>
    <col min="7691" max="7936" width="9.140625" style="184"/>
    <col min="7937" max="7937" width="14.5703125" style="184" customWidth="1"/>
    <col min="7938" max="7938" width="14" style="184" customWidth="1"/>
    <col min="7939" max="7940" width="17.85546875" style="184" customWidth="1"/>
    <col min="7941" max="7941" width="30.5703125" style="184" customWidth="1"/>
    <col min="7942" max="7942" width="22.140625" style="184" customWidth="1"/>
    <col min="7943" max="7943" width="12.42578125" style="184" customWidth="1"/>
    <col min="7944" max="7944" width="15" style="184" customWidth="1"/>
    <col min="7945" max="7945" width="12.140625" style="184" customWidth="1"/>
    <col min="7946" max="7946" width="12.7109375" style="184" customWidth="1"/>
    <col min="7947" max="8192" width="9.140625" style="184"/>
    <col min="8193" max="8193" width="14.5703125" style="184" customWidth="1"/>
    <col min="8194" max="8194" width="14" style="184" customWidth="1"/>
    <col min="8195" max="8196" width="17.85546875" style="184" customWidth="1"/>
    <col min="8197" max="8197" width="30.5703125" style="184" customWidth="1"/>
    <col min="8198" max="8198" width="22.140625" style="184" customWidth="1"/>
    <col min="8199" max="8199" width="12.42578125" style="184" customWidth="1"/>
    <col min="8200" max="8200" width="15" style="184" customWidth="1"/>
    <col min="8201" max="8201" width="12.140625" style="184" customWidth="1"/>
    <col min="8202" max="8202" width="12.7109375" style="184" customWidth="1"/>
    <col min="8203" max="8448" width="9.140625" style="184"/>
    <col min="8449" max="8449" width="14.5703125" style="184" customWidth="1"/>
    <col min="8450" max="8450" width="14" style="184" customWidth="1"/>
    <col min="8451" max="8452" width="17.85546875" style="184" customWidth="1"/>
    <col min="8453" max="8453" width="30.5703125" style="184" customWidth="1"/>
    <col min="8454" max="8454" width="22.140625" style="184" customWidth="1"/>
    <col min="8455" max="8455" width="12.42578125" style="184" customWidth="1"/>
    <col min="8456" max="8456" width="15" style="184" customWidth="1"/>
    <col min="8457" max="8457" width="12.140625" style="184" customWidth="1"/>
    <col min="8458" max="8458" width="12.7109375" style="184" customWidth="1"/>
    <col min="8459" max="8704" width="9.140625" style="184"/>
    <col min="8705" max="8705" width="14.5703125" style="184" customWidth="1"/>
    <col min="8706" max="8706" width="14" style="184" customWidth="1"/>
    <col min="8707" max="8708" width="17.85546875" style="184" customWidth="1"/>
    <col min="8709" max="8709" width="30.5703125" style="184" customWidth="1"/>
    <col min="8710" max="8710" width="22.140625" style="184" customWidth="1"/>
    <col min="8711" max="8711" width="12.42578125" style="184" customWidth="1"/>
    <col min="8712" max="8712" width="15" style="184" customWidth="1"/>
    <col min="8713" max="8713" width="12.140625" style="184" customWidth="1"/>
    <col min="8714" max="8714" width="12.7109375" style="184" customWidth="1"/>
    <col min="8715" max="8960" width="9.140625" style="184"/>
    <col min="8961" max="8961" width="14.5703125" style="184" customWidth="1"/>
    <col min="8962" max="8962" width="14" style="184" customWidth="1"/>
    <col min="8963" max="8964" width="17.85546875" style="184" customWidth="1"/>
    <col min="8965" max="8965" width="30.5703125" style="184" customWidth="1"/>
    <col min="8966" max="8966" width="22.140625" style="184" customWidth="1"/>
    <col min="8967" max="8967" width="12.42578125" style="184" customWidth="1"/>
    <col min="8968" max="8968" width="15" style="184" customWidth="1"/>
    <col min="8969" max="8969" width="12.140625" style="184" customWidth="1"/>
    <col min="8970" max="8970" width="12.7109375" style="184" customWidth="1"/>
    <col min="8971" max="9216" width="9.140625" style="184"/>
    <col min="9217" max="9217" width="14.5703125" style="184" customWidth="1"/>
    <col min="9218" max="9218" width="14" style="184" customWidth="1"/>
    <col min="9219" max="9220" width="17.85546875" style="184" customWidth="1"/>
    <col min="9221" max="9221" width="30.5703125" style="184" customWidth="1"/>
    <col min="9222" max="9222" width="22.140625" style="184" customWidth="1"/>
    <col min="9223" max="9223" width="12.42578125" style="184" customWidth="1"/>
    <col min="9224" max="9224" width="15" style="184" customWidth="1"/>
    <col min="9225" max="9225" width="12.140625" style="184" customWidth="1"/>
    <col min="9226" max="9226" width="12.7109375" style="184" customWidth="1"/>
    <col min="9227" max="9472" width="9.140625" style="184"/>
    <col min="9473" max="9473" width="14.5703125" style="184" customWidth="1"/>
    <col min="9474" max="9474" width="14" style="184" customWidth="1"/>
    <col min="9475" max="9476" width="17.85546875" style="184" customWidth="1"/>
    <col min="9477" max="9477" width="30.5703125" style="184" customWidth="1"/>
    <col min="9478" max="9478" width="22.140625" style="184" customWidth="1"/>
    <col min="9479" max="9479" width="12.42578125" style="184" customWidth="1"/>
    <col min="9480" max="9480" width="15" style="184" customWidth="1"/>
    <col min="9481" max="9481" width="12.140625" style="184" customWidth="1"/>
    <col min="9482" max="9482" width="12.7109375" style="184" customWidth="1"/>
    <col min="9483" max="9728" width="9.140625" style="184"/>
    <col min="9729" max="9729" width="14.5703125" style="184" customWidth="1"/>
    <col min="9730" max="9730" width="14" style="184" customWidth="1"/>
    <col min="9731" max="9732" width="17.85546875" style="184" customWidth="1"/>
    <col min="9733" max="9733" width="30.5703125" style="184" customWidth="1"/>
    <col min="9734" max="9734" width="22.140625" style="184" customWidth="1"/>
    <col min="9735" max="9735" width="12.42578125" style="184" customWidth="1"/>
    <col min="9736" max="9736" width="15" style="184" customWidth="1"/>
    <col min="9737" max="9737" width="12.140625" style="184" customWidth="1"/>
    <col min="9738" max="9738" width="12.7109375" style="184" customWidth="1"/>
    <col min="9739" max="9984" width="9.140625" style="184"/>
    <col min="9985" max="9985" width="14.5703125" style="184" customWidth="1"/>
    <col min="9986" max="9986" width="14" style="184" customWidth="1"/>
    <col min="9987" max="9988" width="17.85546875" style="184" customWidth="1"/>
    <col min="9989" max="9989" width="30.5703125" style="184" customWidth="1"/>
    <col min="9990" max="9990" width="22.140625" style="184" customWidth="1"/>
    <col min="9991" max="9991" width="12.42578125" style="184" customWidth="1"/>
    <col min="9992" max="9992" width="15" style="184" customWidth="1"/>
    <col min="9993" max="9993" width="12.140625" style="184" customWidth="1"/>
    <col min="9994" max="9994" width="12.7109375" style="184" customWidth="1"/>
    <col min="9995" max="10240" width="9.140625" style="184"/>
    <col min="10241" max="10241" width="14.5703125" style="184" customWidth="1"/>
    <col min="10242" max="10242" width="14" style="184" customWidth="1"/>
    <col min="10243" max="10244" width="17.85546875" style="184" customWidth="1"/>
    <col min="10245" max="10245" width="30.5703125" style="184" customWidth="1"/>
    <col min="10246" max="10246" width="22.140625" style="184" customWidth="1"/>
    <col min="10247" max="10247" width="12.42578125" style="184" customWidth="1"/>
    <col min="10248" max="10248" width="15" style="184" customWidth="1"/>
    <col min="10249" max="10249" width="12.140625" style="184" customWidth="1"/>
    <col min="10250" max="10250" width="12.7109375" style="184" customWidth="1"/>
    <col min="10251" max="10496" width="9.140625" style="184"/>
    <col min="10497" max="10497" width="14.5703125" style="184" customWidth="1"/>
    <col min="10498" max="10498" width="14" style="184" customWidth="1"/>
    <col min="10499" max="10500" width="17.85546875" style="184" customWidth="1"/>
    <col min="10501" max="10501" width="30.5703125" style="184" customWidth="1"/>
    <col min="10502" max="10502" width="22.140625" style="184" customWidth="1"/>
    <col min="10503" max="10503" width="12.42578125" style="184" customWidth="1"/>
    <col min="10504" max="10504" width="15" style="184" customWidth="1"/>
    <col min="10505" max="10505" width="12.140625" style="184" customWidth="1"/>
    <col min="10506" max="10506" width="12.7109375" style="184" customWidth="1"/>
    <col min="10507" max="10752" width="9.140625" style="184"/>
    <col min="10753" max="10753" width="14.5703125" style="184" customWidth="1"/>
    <col min="10754" max="10754" width="14" style="184" customWidth="1"/>
    <col min="10755" max="10756" width="17.85546875" style="184" customWidth="1"/>
    <col min="10757" max="10757" width="30.5703125" style="184" customWidth="1"/>
    <col min="10758" max="10758" width="22.140625" style="184" customWidth="1"/>
    <col min="10759" max="10759" width="12.42578125" style="184" customWidth="1"/>
    <col min="10760" max="10760" width="15" style="184" customWidth="1"/>
    <col min="10761" max="10761" width="12.140625" style="184" customWidth="1"/>
    <col min="10762" max="10762" width="12.7109375" style="184" customWidth="1"/>
    <col min="10763" max="11008" width="9.140625" style="184"/>
    <col min="11009" max="11009" width="14.5703125" style="184" customWidth="1"/>
    <col min="11010" max="11010" width="14" style="184" customWidth="1"/>
    <col min="11011" max="11012" width="17.85546875" style="184" customWidth="1"/>
    <col min="11013" max="11013" width="30.5703125" style="184" customWidth="1"/>
    <col min="11014" max="11014" width="22.140625" style="184" customWidth="1"/>
    <col min="11015" max="11015" width="12.42578125" style="184" customWidth="1"/>
    <col min="11016" max="11016" width="15" style="184" customWidth="1"/>
    <col min="11017" max="11017" width="12.140625" style="184" customWidth="1"/>
    <col min="11018" max="11018" width="12.7109375" style="184" customWidth="1"/>
    <col min="11019" max="11264" width="9.140625" style="184"/>
    <col min="11265" max="11265" width="14.5703125" style="184" customWidth="1"/>
    <col min="11266" max="11266" width="14" style="184" customWidth="1"/>
    <col min="11267" max="11268" width="17.85546875" style="184" customWidth="1"/>
    <col min="11269" max="11269" width="30.5703125" style="184" customWidth="1"/>
    <col min="11270" max="11270" width="22.140625" style="184" customWidth="1"/>
    <col min="11271" max="11271" width="12.42578125" style="184" customWidth="1"/>
    <col min="11272" max="11272" width="15" style="184" customWidth="1"/>
    <col min="11273" max="11273" width="12.140625" style="184" customWidth="1"/>
    <col min="11274" max="11274" width="12.7109375" style="184" customWidth="1"/>
    <col min="11275" max="11520" width="9.140625" style="184"/>
    <col min="11521" max="11521" width="14.5703125" style="184" customWidth="1"/>
    <col min="11522" max="11522" width="14" style="184" customWidth="1"/>
    <col min="11523" max="11524" width="17.85546875" style="184" customWidth="1"/>
    <col min="11525" max="11525" width="30.5703125" style="184" customWidth="1"/>
    <col min="11526" max="11526" width="22.140625" style="184" customWidth="1"/>
    <col min="11527" max="11527" width="12.42578125" style="184" customWidth="1"/>
    <col min="11528" max="11528" width="15" style="184" customWidth="1"/>
    <col min="11529" max="11529" width="12.140625" style="184" customWidth="1"/>
    <col min="11530" max="11530" width="12.7109375" style="184" customWidth="1"/>
    <col min="11531" max="11776" width="9.140625" style="184"/>
    <col min="11777" max="11777" width="14.5703125" style="184" customWidth="1"/>
    <col min="11778" max="11778" width="14" style="184" customWidth="1"/>
    <col min="11779" max="11780" width="17.85546875" style="184" customWidth="1"/>
    <col min="11781" max="11781" width="30.5703125" style="184" customWidth="1"/>
    <col min="11782" max="11782" width="22.140625" style="184" customWidth="1"/>
    <col min="11783" max="11783" width="12.42578125" style="184" customWidth="1"/>
    <col min="11784" max="11784" width="15" style="184" customWidth="1"/>
    <col min="11785" max="11785" width="12.140625" style="184" customWidth="1"/>
    <col min="11786" max="11786" width="12.7109375" style="184" customWidth="1"/>
    <col min="11787" max="12032" width="9.140625" style="184"/>
    <col min="12033" max="12033" width="14.5703125" style="184" customWidth="1"/>
    <col min="12034" max="12034" width="14" style="184" customWidth="1"/>
    <col min="12035" max="12036" width="17.85546875" style="184" customWidth="1"/>
    <col min="12037" max="12037" width="30.5703125" style="184" customWidth="1"/>
    <col min="12038" max="12038" width="22.140625" style="184" customWidth="1"/>
    <col min="12039" max="12039" width="12.42578125" style="184" customWidth="1"/>
    <col min="12040" max="12040" width="15" style="184" customWidth="1"/>
    <col min="12041" max="12041" width="12.140625" style="184" customWidth="1"/>
    <col min="12042" max="12042" width="12.7109375" style="184" customWidth="1"/>
    <col min="12043" max="12288" width="9.140625" style="184"/>
    <col min="12289" max="12289" width="14.5703125" style="184" customWidth="1"/>
    <col min="12290" max="12290" width="14" style="184" customWidth="1"/>
    <col min="12291" max="12292" width="17.85546875" style="184" customWidth="1"/>
    <col min="12293" max="12293" width="30.5703125" style="184" customWidth="1"/>
    <col min="12294" max="12294" width="22.140625" style="184" customWidth="1"/>
    <col min="12295" max="12295" width="12.42578125" style="184" customWidth="1"/>
    <col min="12296" max="12296" width="15" style="184" customWidth="1"/>
    <col min="12297" max="12297" width="12.140625" style="184" customWidth="1"/>
    <col min="12298" max="12298" width="12.7109375" style="184" customWidth="1"/>
    <col min="12299" max="12544" width="9.140625" style="184"/>
    <col min="12545" max="12545" width="14.5703125" style="184" customWidth="1"/>
    <col min="12546" max="12546" width="14" style="184" customWidth="1"/>
    <col min="12547" max="12548" width="17.85546875" style="184" customWidth="1"/>
    <col min="12549" max="12549" width="30.5703125" style="184" customWidth="1"/>
    <col min="12550" max="12550" width="22.140625" style="184" customWidth="1"/>
    <col min="12551" max="12551" width="12.42578125" style="184" customWidth="1"/>
    <col min="12552" max="12552" width="15" style="184" customWidth="1"/>
    <col min="12553" max="12553" width="12.140625" style="184" customWidth="1"/>
    <col min="12554" max="12554" width="12.7109375" style="184" customWidth="1"/>
    <col min="12555" max="12800" width="9.140625" style="184"/>
    <col min="12801" max="12801" width="14.5703125" style="184" customWidth="1"/>
    <col min="12802" max="12802" width="14" style="184" customWidth="1"/>
    <col min="12803" max="12804" width="17.85546875" style="184" customWidth="1"/>
    <col min="12805" max="12805" width="30.5703125" style="184" customWidth="1"/>
    <col min="12806" max="12806" width="22.140625" style="184" customWidth="1"/>
    <col min="12807" max="12807" width="12.42578125" style="184" customWidth="1"/>
    <col min="12808" max="12808" width="15" style="184" customWidth="1"/>
    <col min="12809" max="12809" width="12.140625" style="184" customWidth="1"/>
    <col min="12810" max="12810" width="12.7109375" style="184" customWidth="1"/>
    <col min="12811" max="13056" width="9.140625" style="184"/>
    <col min="13057" max="13057" width="14.5703125" style="184" customWidth="1"/>
    <col min="13058" max="13058" width="14" style="184" customWidth="1"/>
    <col min="13059" max="13060" width="17.85546875" style="184" customWidth="1"/>
    <col min="13061" max="13061" width="30.5703125" style="184" customWidth="1"/>
    <col min="13062" max="13062" width="22.140625" style="184" customWidth="1"/>
    <col min="13063" max="13063" width="12.42578125" style="184" customWidth="1"/>
    <col min="13064" max="13064" width="15" style="184" customWidth="1"/>
    <col min="13065" max="13065" width="12.140625" style="184" customWidth="1"/>
    <col min="13066" max="13066" width="12.7109375" style="184" customWidth="1"/>
    <col min="13067" max="13312" width="9.140625" style="184"/>
    <col min="13313" max="13313" width="14.5703125" style="184" customWidth="1"/>
    <col min="13314" max="13314" width="14" style="184" customWidth="1"/>
    <col min="13315" max="13316" width="17.85546875" style="184" customWidth="1"/>
    <col min="13317" max="13317" width="30.5703125" style="184" customWidth="1"/>
    <col min="13318" max="13318" width="22.140625" style="184" customWidth="1"/>
    <col min="13319" max="13319" width="12.42578125" style="184" customWidth="1"/>
    <col min="13320" max="13320" width="15" style="184" customWidth="1"/>
    <col min="13321" max="13321" width="12.140625" style="184" customWidth="1"/>
    <col min="13322" max="13322" width="12.7109375" style="184" customWidth="1"/>
    <col min="13323" max="13568" width="9.140625" style="184"/>
    <col min="13569" max="13569" width="14.5703125" style="184" customWidth="1"/>
    <col min="13570" max="13570" width="14" style="184" customWidth="1"/>
    <col min="13571" max="13572" width="17.85546875" style="184" customWidth="1"/>
    <col min="13573" max="13573" width="30.5703125" style="184" customWidth="1"/>
    <col min="13574" max="13574" width="22.140625" style="184" customWidth="1"/>
    <col min="13575" max="13575" width="12.42578125" style="184" customWidth="1"/>
    <col min="13576" max="13576" width="15" style="184" customWidth="1"/>
    <col min="13577" max="13577" width="12.140625" style="184" customWidth="1"/>
    <col min="13578" max="13578" width="12.7109375" style="184" customWidth="1"/>
    <col min="13579" max="13824" width="9.140625" style="184"/>
    <col min="13825" max="13825" width="14.5703125" style="184" customWidth="1"/>
    <col min="13826" max="13826" width="14" style="184" customWidth="1"/>
    <col min="13827" max="13828" width="17.85546875" style="184" customWidth="1"/>
    <col min="13829" max="13829" width="30.5703125" style="184" customWidth="1"/>
    <col min="13830" max="13830" width="22.140625" style="184" customWidth="1"/>
    <col min="13831" max="13831" width="12.42578125" style="184" customWidth="1"/>
    <col min="13832" max="13832" width="15" style="184" customWidth="1"/>
    <col min="13833" max="13833" width="12.140625" style="184" customWidth="1"/>
    <col min="13834" max="13834" width="12.7109375" style="184" customWidth="1"/>
    <col min="13835" max="14080" width="9.140625" style="184"/>
    <col min="14081" max="14081" width="14.5703125" style="184" customWidth="1"/>
    <col min="14082" max="14082" width="14" style="184" customWidth="1"/>
    <col min="14083" max="14084" width="17.85546875" style="184" customWidth="1"/>
    <col min="14085" max="14085" width="30.5703125" style="184" customWidth="1"/>
    <col min="14086" max="14086" width="22.140625" style="184" customWidth="1"/>
    <col min="14087" max="14087" width="12.42578125" style="184" customWidth="1"/>
    <col min="14088" max="14088" width="15" style="184" customWidth="1"/>
    <col min="14089" max="14089" width="12.140625" style="184" customWidth="1"/>
    <col min="14090" max="14090" width="12.7109375" style="184" customWidth="1"/>
    <col min="14091" max="14336" width="9.140625" style="184"/>
    <col min="14337" max="14337" width="14.5703125" style="184" customWidth="1"/>
    <col min="14338" max="14338" width="14" style="184" customWidth="1"/>
    <col min="14339" max="14340" width="17.85546875" style="184" customWidth="1"/>
    <col min="14341" max="14341" width="30.5703125" style="184" customWidth="1"/>
    <col min="14342" max="14342" width="22.140625" style="184" customWidth="1"/>
    <col min="14343" max="14343" width="12.42578125" style="184" customWidth="1"/>
    <col min="14344" max="14344" width="15" style="184" customWidth="1"/>
    <col min="14345" max="14345" width="12.140625" style="184" customWidth="1"/>
    <col min="14346" max="14346" width="12.7109375" style="184" customWidth="1"/>
    <col min="14347" max="14592" width="9.140625" style="184"/>
    <col min="14593" max="14593" width="14.5703125" style="184" customWidth="1"/>
    <col min="14594" max="14594" width="14" style="184" customWidth="1"/>
    <col min="14595" max="14596" width="17.85546875" style="184" customWidth="1"/>
    <col min="14597" max="14597" width="30.5703125" style="184" customWidth="1"/>
    <col min="14598" max="14598" width="22.140625" style="184" customWidth="1"/>
    <col min="14599" max="14599" width="12.42578125" style="184" customWidth="1"/>
    <col min="14600" max="14600" width="15" style="184" customWidth="1"/>
    <col min="14601" max="14601" width="12.140625" style="184" customWidth="1"/>
    <col min="14602" max="14602" width="12.7109375" style="184" customWidth="1"/>
    <col min="14603" max="14848" width="9.140625" style="184"/>
    <col min="14849" max="14849" width="14.5703125" style="184" customWidth="1"/>
    <col min="14850" max="14850" width="14" style="184" customWidth="1"/>
    <col min="14851" max="14852" width="17.85546875" style="184" customWidth="1"/>
    <col min="14853" max="14853" width="30.5703125" style="184" customWidth="1"/>
    <col min="14854" max="14854" width="22.140625" style="184" customWidth="1"/>
    <col min="14855" max="14855" width="12.42578125" style="184" customWidth="1"/>
    <col min="14856" max="14856" width="15" style="184" customWidth="1"/>
    <col min="14857" max="14857" width="12.140625" style="184" customWidth="1"/>
    <col min="14858" max="14858" width="12.7109375" style="184" customWidth="1"/>
    <col min="14859" max="15104" width="9.140625" style="184"/>
    <col min="15105" max="15105" width="14.5703125" style="184" customWidth="1"/>
    <col min="15106" max="15106" width="14" style="184" customWidth="1"/>
    <col min="15107" max="15108" width="17.85546875" style="184" customWidth="1"/>
    <col min="15109" max="15109" width="30.5703125" style="184" customWidth="1"/>
    <col min="15110" max="15110" width="22.140625" style="184" customWidth="1"/>
    <col min="15111" max="15111" width="12.42578125" style="184" customWidth="1"/>
    <col min="15112" max="15112" width="15" style="184" customWidth="1"/>
    <col min="15113" max="15113" width="12.140625" style="184" customWidth="1"/>
    <col min="15114" max="15114" width="12.7109375" style="184" customWidth="1"/>
    <col min="15115" max="15360" width="9.140625" style="184"/>
    <col min="15361" max="15361" width="14.5703125" style="184" customWidth="1"/>
    <col min="15362" max="15362" width="14" style="184" customWidth="1"/>
    <col min="15363" max="15364" width="17.85546875" style="184" customWidth="1"/>
    <col min="15365" max="15365" width="30.5703125" style="184" customWidth="1"/>
    <col min="15366" max="15366" width="22.140625" style="184" customWidth="1"/>
    <col min="15367" max="15367" width="12.42578125" style="184" customWidth="1"/>
    <col min="15368" max="15368" width="15" style="184" customWidth="1"/>
    <col min="15369" max="15369" width="12.140625" style="184" customWidth="1"/>
    <col min="15370" max="15370" width="12.7109375" style="184" customWidth="1"/>
    <col min="15371" max="15616" width="9.140625" style="184"/>
    <col min="15617" max="15617" width="14.5703125" style="184" customWidth="1"/>
    <col min="15618" max="15618" width="14" style="184" customWidth="1"/>
    <col min="15619" max="15620" width="17.85546875" style="184" customWidth="1"/>
    <col min="15621" max="15621" width="30.5703125" style="184" customWidth="1"/>
    <col min="15622" max="15622" width="22.140625" style="184" customWidth="1"/>
    <col min="15623" max="15623" width="12.42578125" style="184" customWidth="1"/>
    <col min="15624" max="15624" width="15" style="184" customWidth="1"/>
    <col min="15625" max="15625" width="12.140625" style="184" customWidth="1"/>
    <col min="15626" max="15626" width="12.7109375" style="184" customWidth="1"/>
    <col min="15627" max="15872" width="9.140625" style="184"/>
    <col min="15873" max="15873" width="14.5703125" style="184" customWidth="1"/>
    <col min="15874" max="15874" width="14" style="184" customWidth="1"/>
    <col min="15875" max="15876" width="17.85546875" style="184" customWidth="1"/>
    <col min="15877" max="15877" width="30.5703125" style="184" customWidth="1"/>
    <col min="15878" max="15878" width="22.140625" style="184" customWidth="1"/>
    <col min="15879" max="15879" width="12.42578125" style="184" customWidth="1"/>
    <col min="15880" max="15880" width="15" style="184" customWidth="1"/>
    <col min="15881" max="15881" width="12.140625" style="184" customWidth="1"/>
    <col min="15882" max="15882" width="12.7109375" style="184" customWidth="1"/>
    <col min="15883" max="16128" width="9.140625" style="184"/>
    <col min="16129" max="16129" width="14.5703125" style="184" customWidth="1"/>
    <col min="16130" max="16130" width="14" style="184" customWidth="1"/>
    <col min="16131" max="16132" width="17.85546875" style="184" customWidth="1"/>
    <col min="16133" max="16133" width="30.5703125" style="184" customWidth="1"/>
    <col min="16134" max="16134" width="22.140625" style="184" customWidth="1"/>
    <col min="16135" max="16135" width="12.42578125" style="184" customWidth="1"/>
    <col min="16136" max="16136" width="15" style="184" customWidth="1"/>
    <col min="16137" max="16137" width="12.140625" style="184" customWidth="1"/>
    <col min="16138" max="16138" width="12.7109375" style="184" customWidth="1"/>
    <col min="16139" max="16384" width="9.140625" style="184"/>
  </cols>
  <sheetData>
    <row r="1" spans="1:8" s="179" customFormat="1" ht="18">
      <c r="A1" s="688" t="s">
        <v>84</v>
      </c>
      <c r="B1" s="688"/>
      <c r="C1" s="688"/>
      <c r="D1" s="688"/>
      <c r="E1" s="688"/>
      <c r="F1" s="688"/>
      <c r="H1" s="186"/>
    </row>
    <row r="3" spans="1:8" ht="15">
      <c r="C3" s="1397" t="s">
        <v>1084</v>
      </c>
      <c r="D3" s="1397"/>
      <c r="E3" s="1397"/>
    </row>
    <row r="4" spans="1:8">
      <c r="A4" s="184" t="s">
        <v>85</v>
      </c>
      <c r="C4" s="682" t="s">
        <v>1085</v>
      </c>
      <c r="D4" s="682"/>
      <c r="E4" s="682"/>
    </row>
    <row r="5" spans="1:8">
      <c r="A5" s="184" t="s">
        <v>86</v>
      </c>
      <c r="C5" s="1398" t="e">
        <f>#REF!</f>
        <v>#REF!</v>
      </c>
      <c r="D5" s="681"/>
      <c r="E5" s="681"/>
    </row>
    <row r="6" spans="1:8">
      <c r="A6" s="184" t="s">
        <v>87</v>
      </c>
      <c r="C6" s="682"/>
      <c r="D6" s="682"/>
      <c r="E6" s="682"/>
    </row>
    <row r="8" spans="1:8" s="180" customFormat="1" ht="16.5" customHeight="1">
      <c r="A8" s="187" t="s">
        <v>88</v>
      </c>
      <c r="B8" s="187" t="s">
        <v>89</v>
      </c>
      <c r="C8" s="187" t="s">
        <v>90</v>
      </c>
      <c r="D8" s="188" t="s">
        <v>91</v>
      </c>
      <c r="E8" s="686" t="s">
        <v>92</v>
      </c>
      <c r="F8" s="687"/>
      <c r="H8" s="189"/>
    </row>
    <row r="9" spans="1:8" s="180" customFormat="1" ht="16.5" customHeight="1">
      <c r="A9" s="190" t="s">
        <v>93</v>
      </c>
      <c r="B9" s="190" t="s">
        <v>94</v>
      </c>
      <c r="C9" s="190" t="s">
        <v>94</v>
      </c>
      <c r="D9" s="191" t="s">
        <v>94</v>
      </c>
      <c r="E9" s="686"/>
      <c r="F9" s="687"/>
      <c r="H9" s="189"/>
    </row>
    <row r="10" spans="1:8" ht="16.5" customHeight="1">
      <c r="A10" s="192">
        <v>1</v>
      </c>
      <c r="B10" s="192"/>
      <c r="C10" s="193" t="e">
        <f>#REF!</f>
        <v>#REF!</v>
      </c>
      <c r="D10" s="193" t="e">
        <f>#REF!</f>
        <v>#REF!</v>
      </c>
      <c r="E10" s="193" t="e">
        <f>#REF!</f>
        <v>#REF!</v>
      </c>
      <c r="F10" s="194" t="e">
        <f>#REF!</f>
        <v>#REF!</v>
      </c>
    </row>
    <row r="11" spans="1:8" ht="16.5" customHeight="1">
      <c r="A11" s="192"/>
      <c r="B11" s="192"/>
      <c r="C11" s="193"/>
      <c r="D11" s="193"/>
      <c r="E11" s="193" t="e">
        <f>#REF!</f>
        <v>#REF!</v>
      </c>
      <c r="F11" s="195" t="e">
        <f>#REF!</f>
        <v>#REF!</v>
      </c>
    </row>
    <row r="12" spans="1:8" ht="16.5" customHeight="1">
      <c r="A12" s="196"/>
      <c r="B12" s="196"/>
      <c r="C12" s="197"/>
      <c r="D12" s="196"/>
      <c r="E12" s="193" t="e">
        <f>#REF!</f>
        <v>#REF!</v>
      </c>
      <c r="F12" s="194" t="e">
        <f>#REF!</f>
        <v>#REF!</v>
      </c>
    </row>
    <row r="13" spans="1:8" ht="16.5" customHeight="1">
      <c r="A13" s="196"/>
      <c r="B13" s="196"/>
      <c r="C13" s="197"/>
      <c r="D13" s="196"/>
      <c r="E13" s="193" t="e">
        <f>#REF!</f>
        <v>#REF!</v>
      </c>
      <c r="F13" s="194" t="e">
        <f>#REF!</f>
        <v>#REF!</v>
      </c>
    </row>
    <row r="14" spans="1:8" ht="16.5" customHeight="1">
      <c r="A14" s="196"/>
      <c r="B14" s="196"/>
      <c r="C14" s="196"/>
      <c r="D14" s="196"/>
      <c r="E14" s="193" t="e">
        <f>#REF!</f>
        <v>#REF!</v>
      </c>
      <c r="F14" s="194" t="e">
        <f>#REF!</f>
        <v>#REF!</v>
      </c>
    </row>
    <row r="15" spans="1:8" ht="16.5" customHeight="1">
      <c r="A15" s="196"/>
      <c r="B15" s="196"/>
      <c r="C15" s="196"/>
      <c r="D15" s="196"/>
      <c r="E15" s="193" t="e">
        <f>#REF!</f>
        <v>#REF!</v>
      </c>
      <c r="F15" s="194" t="e">
        <f>#REF!</f>
        <v>#REF!</v>
      </c>
      <c r="G15" s="199"/>
    </row>
    <row r="16" spans="1:8" ht="16.5" customHeight="1">
      <c r="A16" s="196"/>
      <c r="B16" s="196"/>
      <c r="C16" s="196"/>
      <c r="D16" s="196"/>
      <c r="E16" s="198"/>
      <c r="F16" s="198"/>
    </row>
    <row r="17" spans="1:10" ht="16.5" customHeight="1">
      <c r="A17" s="196"/>
      <c r="B17" s="196"/>
      <c r="C17" s="196"/>
      <c r="D17" s="196"/>
      <c r="E17" s="198"/>
      <c r="F17" s="198"/>
      <c r="G17" s="200"/>
    </row>
    <row r="18" spans="1:10" ht="16.5" customHeight="1">
      <c r="A18" s="196"/>
      <c r="B18" s="196"/>
      <c r="C18" s="196"/>
      <c r="D18" s="196"/>
      <c r="E18" s="198"/>
      <c r="F18" s="201"/>
    </row>
    <row r="19" spans="1:10" ht="16.5" customHeight="1">
      <c r="A19" s="196"/>
      <c r="B19" s="196"/>
      <c r="C19" s="196"/>
      <c r="D19" s="196"/>
      <c r="E19" s="198"/>
      <c r="F19" s="198"/>
    </row>
    <row r="20" spans="1:10" ht="16.5" customHeight="1">
      <c r="A20" s="196"/>
      <c r="B20" s="196"/>
      <c r="C20" s="196"/>
      <c r="D20" s="196"/>
      <c r="E20" s="198"/>
      <c r="F20" s="201"/>
    </row>
    <row r="21" spans="1:10" s="181" customFormat="1" ht="28.5" customHeight="1">
      <c r="A21" s="202"/>
      <c r="B21" s="202"/>
      <c r="C21" s="203" t="e">
        <f>C10</f>
        <v>#REF!</v>
      </c>
      <c r="D21" s="204" t="e">
        <f>SUM(D10:D20)</f>
        <v>#REF!</v>
      </c>
      <c r="E21" s="204"/>
      <c r="F21" s="203" t="e">
        <f>SUM(F10:F20)</f>
        <v>#REF!</v>
      </c>
      <c r="G21" s="205"/>
      <c r="H21" s="206"/>
    </row>
    <row r="22" spans="1:10" s="181" customFormat="1" ht="16.5" customHeight="1">
      <c r="C22" s="205"/>
      <c r="D22" s="207"/>
      <c r="E22" s="205"/>
      <c r="F22" s="199"/>
      <c r="G22" s="205"/>
      <c r="H22" s="208"/>
    </row>
    <row r="23" spans="1:10" s="182" customFormat="1">
      <c r="A23" s="209" t="s">
        <v>95</v>
      </c>
      <c r="E23" s="209" t="s">
        <v>96</v>
      </c>
      <c r="H23" s="210"/>
    </row>
    <row r="24" spans="1:10" s="182" customFormat="1">
      <c r="A24" s="209" t="s">
        <v>97</v>
      </c>
      <c r="D24" s="211"/>
      <c r="E24" s="209" t="s">
        <v>98</v>
      </c>
      <c r="H24" s="210"/>
    </row>
    <row r="25" spans="1:10" s="182" customFormat="1">
      <c r="A25" s="209" t="s">
        <v>99</v>
      </c>
      <c r="D25" s="211"/>
      <c r="E25" s="209" t="s">
        <v>100</v>
      </c>
      <c r="H25" s="210"/>
    </row>
    <row r="26" spans="1:10" s="182" customFormat="1">
      <c r="A26" s="209" t="s">
        <v>101</v>
      </c>
      <c r="E26" s="209" t="s">
        <v>102</v>
      </c>
      <c r="H26" s="210"/>
    </row>
    <row r="27" spans="1:10" s="182" customFormat="1">
      <c r="A27" s="209" t="s">
        <v>103</v>
      </c>
      <c r="E27" s="209" t="s">
        <v>104</v>
      </c>
      <c r="H27" s="210"/>
      <c r="J27" s="210"/>
    </row>
    <row r="28" spans="1:10" s="182" customFormat="1">
      <c r="A28" s="209" t="s">
        <v>105</v>
      </c>
      <c r="E28" s="209" t="s">
        <v>106</v>
      </c>
      <c r="H28" s="210"/>
    </row>
    <row r="29" spans="1:10" s="182" customFormat="1">
      <c r="E29" s="209" t="s">
        <v>107</v>
      </c>
      <c r="H29" s="210"/>
    </row>
    <row r="30" spans="1:10" s="182" customFormat="1">
      <c r="E30" s="209" t="s">
        <v>203</v>
      </c>
      <c r="F30" s="334" t="e">
        <f>D21</f>
        <v>#REF!</v>
      </c>
      <c r="H30" s="210"/>
    </row>
    <row r="31" spans="1:10" s="182" customFormat="1">
      <c r="E31" s="683" t="e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>#REF!</v>
      </c>
      <c r="F31" s="683"/>
      <c r="H31" s="210"/>
    </row>
    <row r="32" spans="1:10" s="182" customFormat="1">
      <c r="E32" s="683"/>
      <c r="F32" s="683"/>
      <c r="H32" s="210"/>
    </row>
    <row r="33" spans="1:8" s="182" customFormat="1">
      <c r="A33" s="209" t="s">
        <v>108</v>
      </c>
      <c r="H33" s="210"/>
    </row>
    <row r="34" spans="1:8" s="182" customFormat="1">
      <c r="A34" s="209"/>
      <c r="H34" s="210"/>
    </row>
    <row r="35" spans="1:8" s="182" customFormat="1">
      <c r="H35" s="210"/>
    </row>
    <row r="36" spans="1:8" s="182" customFormat="1">
      <c r="B36" s="212"/>
      <c r="H36" s="210"/>
    </row>
    <row r="37" spans="1:8" s="182" customFormat="1">
      <c r="A37" s="684" t="s">
        <v>208</v>
      </c>
      <c r="B37" s="684"/>
      <c r="C37" s="684"/>
      <c r="E37" s="681" t="e">
        <f>#REF!</f>
        <v>#REF!</v>
      </c>
      <c r="F37" s="681"/>
      <c r="G37" s="212"/>
      <c r="H37" s="210"/>
    </row>
    <row r="38" spans="1:8" s="183" customFormat="1">
      <c r="A38" s="685" t="s">
        <v>209</v>
      </c>
      <c r="B38" s="685"/>
      <c r="C38" s="685"/>
      <c r="D38" s="182"/>
      <c r="E38" s="682" t="e">
        <f>#REF!</f>
        <v>#REF!</v>
      </c>
      <c r="F38" s="682"/>
      <c r="G38" s="213"/>
      <c r="H38" s="214"/>
    </row>
    <row r="39" spans="1:8" s="183" customFormat="1" ht="14.25">
      <c r="A39" s="215"/>
      <c r="B39" s="215"/>
      <c r="C39" s="215"/>
      <c r="D39" s="182"/>
      <c r="E39" s="216"/>
      <c r="F39" s="216"/>
      <c r="G39" s="213"/>
      <c r="H39" s="214"/>
    </row>
    <row r="40" spans="1:8" s="182" customFormat="1">
      <c r="G40" s="209"/>
      <c r="H40" s="210"/>
    </row>
    <row r="41" spans="1:8" s="182" customFormat="1">
      <c r="A41" s="209" t="s">
        <v>109</v>
      </c>
      <c r="E41" s="209" t="s">
        <v>110</v>
      </c>
      <c r="H41" s="210"/>
    </row>
    <row r="42" spans="1:8" s="182" customFormat="1">
      <c r="A42" s="209" t="s">
        <v>111</v>
      </c>
      <c r="E42" s="209" t="s">
        <v>112</v>
      </c>
      <c r="H42" s="210"/>
    </row>
    <row r="43" spans="1:8" s="182" customFormat="1">
      <c r="A43" s="209" t="s">
        <v>202</v>
      </c>
      <c r="E43" s="209" t="s">
        <v>113</v>
      </c>
      <c r="H43" s="210"/>
    </row>
    <row r="44" spans="1:8" s="182" customFormat="1">
      <c r="A44" s="683" t="e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>#REF!</v>
      </c>
      <c r="B44" s="683"/>
      <c r="C44" s="683"/>
      <c r="E44" s="217" t="s">
        <v>114</v>
      </c>
      <c r="H44" s="210"/>
    </row>
    <row r="45" spans="1:8" s="182" customFormat="1">
      <c r="A45" s="683"/>
      <c r="B45" s="683"/>
      <c r="C45" s="683"/>
      <c r="E45" s="209" t="s">
        <v>115</v>
      </c>
      <c r="H45" s="210"/>
    </row>
    <row r="46" spans="1:8" s="182" customFormat="1">
      <c r="E46" s="209" t="s">
        <v>116</v>
      </c>
      <c r="H46" s="210"/>
    </row>
    <row r="47" spans="1:8" s="182" customFormat="1">
      <c r="E47" s="209"/>
      <c r="F47" s="209"/>
      <c r="H47" s="210"/>
    </row>
    <row r="48" spans="1:8" s="182" customFormat="1">
      <c r="H48" s="210"/>
    </row>
    <row r="49" spans="1:8" s="182" customFormat="1">
      <c r="A49" s="681" t="s">
        <v>210</v>
      </c>
      <c r="B49" s="681"/>
      <c r="C49" s="681"/>
      <c r="H49" s="210"/>
    </row>
    <row r="50" spans="1:8" s="182" customFormat="1">
      <c r="A50" s="682" t="s">
        <v>211</v>
      </c>
      <c r="B50" s="682"/>
      <c r="C50" s="682"/>
      <c r="H50" s="210"/>
    </row>
    <row r="51" spans="1:8" s="182" customFormat="1">
      <c r="E51" s="681" t="s">
        <v>213</v>
      </c>
      <c r="F51" s="681"/>
      <c r="H51" s="210"/>
    </row>
    <row r="52" spans="1:8">
      <c r="E52" s="682" t="s">
        <v>212</v>
      </c>
      <c r="F52" s="682"/>
    </row>
    <row r="57" spans="1:8">
      <c r="D57" s="342"/>
    </row>
    <row r="58" spans="1:8">
      <c r="A58" s="218"/>
    </row>
    <row r="60" spans="1:8">
      <c r="A60" s="218"/>
    </row>
  </sheetData>
  <mergeCells count="16">
    <mergeCell ref="A50:C50"/>
    <mergeCell ref="E51:F51"/>
    <mergeCell ref="E52:F52"/>
    <mergeCell ref="E8:F9"/>
    <mergeCell ref="A37:C37"/>
    <mergeCell ref="E37:F37"/>
    <mergeCell ref="A38:C38"/>
    <mergeCell ref="E38:F38"/>
    <mergeCell ref="A49:C49"/>
    <mergeCell ref="A44:C45"/>
    <mergeCell ref="E31:F32"/>
    <mergeCell ref="A1:F1"/>
    <mergeCell ref="C3:E3"/>
    <mergeCell ref="C4:E4"/>
    <mergeCell ref="C5:E5"/>
    <mergeCell ref="C6:E6"/>
  </mergeCells>
  <printOptions horizontalCentered="1"/>
  <pageMargins left="0.23622047244094499" right="0.15748031496063" top="0.78740157480314998" bottom="0.74803149606299202" header="0.511811023622047" footer="0.511811023622047"/>
  <pageSetup paperSize="14" scale="87" fitToHeight="0" orientation="portrait" horizontalDpi="240" verticalDpi="144" r:id="rId1"/>
  <headerFooter>
    <oddFooter>&amp;L&amp;"Tahoma,Italic"&amp;8NIA-AlCat-AFS-FIN-INT-Form37Rev00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L73"/>
  <sheetViews>
    <sheetView topLeftCell="A10" zoomScaleNormal="100" workbookViewId="0">
      <selection activeCell="K26" sqref="K26:M26"/>
    </sheetView>
  </sheetViews>
  <sheetFormatPr defaultColWidth="8.85546875" defaultRowHeight="12.75"/>
  <cols>
    <col min="1" max="2" width="2.7109375" style="4" customWidth="1"/>
    <col min="3" max="5" width="8.7109375" style="4" customWidth="1"/>
    <col min="6" max="13" width="3.7109375" style="4" customWidth="1"/>
    <col min="14" max="19" width="1.7109375" style="4" customWidth="1"/>
    <col min="20" max="28" width="3.28515625" style="4" customWidth="1"/>
    <col min="29" max="29" width="5.7109375" style="4" customWidth="1"/>
    <col min="30" max="33" width="2.85546875" style="4" customWidth="1"/>
    <col min="34" max="34" width="8.7109375" style="4" customWidth="1"/>
    <col min="35" max="35" width="0.140625" style="4" hidden="1" customWidth="1"/>
    <col min="36" max="16384" width="8.85546875" style="4"/>
  </cols>
  <sheetData>
    <row r="1" spans="1:35" ht="9.9499999999999993" customHeight="1" thickBot="1">
      <c r="AC1" s="1138"/>
      <c r="AD1" s="1138"/>
      <c r="AE1" s="1138"/>
      <c r="AF1" s="1138"/>
      <c r="AG1" s="1138"/>
      <c r="AH1" s="1138"/>
    </row>
    <row r="2" spans="1:35" ht="21" customHeight="1">
      <c r="A2" s="1139" t="s">
        <v>117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140"/>
      <c r="S2" s="1140"/>
      <c r="T2" s="1140"/>
      <c r="U2" s="1140"/>
      <c r="V2" s="1140"/>
      <c r="W2" s="1140"/>
      <c r="X2" s="1140"/>
      <c r="Y2" s="1140"/>
      <c r="Z2" s="1140"/>
      <c r="AA2" s="1140"/>
      <c r="AB2" s="1141"/>
      <c r="AC2" s="1142" t="s">
        <v>157</v>
      </c>
      <c r="AD2" s="1143"/>
      <c r="AE2" s="1143"/>
      <c r="AF2" s="1143"/>
      <c r="AG2" s="1143"/>
      <c r="AH2" s="1144"/>
    </row>
    <row r="3" spans="1:35" ht="15.75" customHeight="1">
      <c r="A3" s="1145" t="s">
        <v>207</v>
      </c>
      <c r="B3" s="1146"/>
      <c r="C3" s="1146"/>
      <c r="D3" s="1146"/>
      <c r="E3" s="1146"/>
      <c r="F3" s="1146"/>
      <c r="G3" s="1146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7"/>
      <c r="AC3" s="1148"/>
      <c r="AD3" s="1149"/>
      <c r="AE3" s="1149"/>
      <c r="AF3" s="1149"/>
      <c r="AG3" s="1149"/>
      <c r="AH3" s="1150"/>
    </row>
    <row r="4" spans="1:35" ht="15" customHeight="1">
      <c r="A4" s="1162" t="s">
        <v>158</v>
      </c>
      <c r="B4" s="1163"/>
      <c r="C4" s="1164"/>
      <c r="D4" s="1164"/>
      <c r="E4" s="1164"/>
      <c r="F4" s="1164"/>
      <c r="G4" s="1164"/>
      <c r="H4" s="1164"/>
      <c r="I4" s="1164"/>
      <c r="J4" s="1164"/>
      <c r="K4" s="1164"/>
      <c r="L4" s="1164"/>
      <c r="M4" s="1164"/>
      <c r="N4" s="1164"/>
      <c r="O4" s="1164"/>
      <c r="P4" s="1164"/>
      <c r="Q4" s="1164"/>
      <c r="R4" s="1164"/>
      <c r="S4" s="1164"/>
      <c r="T4" s="1164"/>
      <c r="U4" s="1164"/>
      <c r="V4" s="1164"/>
      <c r="W4" s="1164"/>
      <c r="X4" s="1164"/>
      <c r="Y4" s="1164"/>
      <c r="Z4" s="1164"/>
      <c r="AA4" s="1164"/>
      <c r="AB4" s="1165"/>
      <c r="AC4" s="1151" t="s">
        <v>159</v>
      </c>
      <c r="AD4" s="1152"/>
      <c r="AE4" s="1152"/>
      <c r="AF4" s="1152"/>
      <c r="AG4" s="1152"/>
      <c r="AH4" s="1153"/>
    </row>
    <row r="5" spans="1:35" ht="15" customHeight="1">
      <c r="A5" s="1162"/>
      <c r="B5" s="1163"/>
      <c r="C5" s="1164"/>
      <c r="D5" s="1164"/>
      <c r="E5" s="1164"/>
      <c r="F5" s="1164"/>
      <c r="G5" s="1164"/>
      <c r="H5" s="1164"/>
      <c r="I5" s="1164"/>
      <c r="J5" s="1164"/>
      <c r="K5" s="1164"/>
      <c r="L5" s="1164"/>
      <c r="M5" s="1164"/>
      <c r="N5" s="1164"/>
      <c r="O5" s="1164"/>
      <c r="P5" s="1164"/>
      <c r="Q5" s="1164"/>
      <c r="R5" s="1164"/>
      <c r="S5" s="1164"/>
      <c r="T5" s="1164"/>
      <c r="U5" s="1164"/>
      <c r="V5" s="1164"/>
      <c r="W5" s="1164"/>
      <c r="X5" s="1164"/>
      <c r="Y5" s="1164"/>
      <c r="Z5" s="1164"/>
      <c r="AA5" s="1164"/>
      <c r="AB5" s="1165"/>
      <c r="AC5" s="1154" t="s">
        <v>160</v>
      </c>
      <c r="AD5" s="1155"/>
      <c r="AE5" s="1155"/>
      <c r="AF5" s="1155"/>
      <c r="AG5" s="1155"/>
      <c r="AH5" s="1156"/>
    </row>
    <row r="6" spans="1:35" ht="15" customHeight="1" thickBot="1">
      <c r="A6" s="1166"/>
      <c r="B6" s="1167"/>
      <c r="C6" s="1167"/>
      <c r="D6" s="1167"/>
      <c r="E6" s="1167"/>
      <c r="F6" s="1167"/>
      <c r="G6" s="1167"/>
      <c r="H6" s="1167"/>
      <c r="I6" s="1167"/>
      <c r="J6" s="1167"/>
      <c r="K6" s="1167"/>
      <c r="L6" s="1167"/>
      <c r="M6" s="1167"/>
      <c r="N6" s="1167"/>
      <c r="O6" s="1167"/>
      <c r="P6" s="1167"/>
      <c r="Q6" s="1167"/>
      <c r="R6" s="1167"/>
      <c r="S6" s="1167"/>
      <c r="T6" s="1167"/>
      <c r="U6" s="1167"/>
      <c r="V6" s="1167"/>
      <c r="W6" s="1167"/>
      <c r="X6" s="1167"/>
      <c r="Y6" s="1167"/>
      <c r="Z6" s="1167"/>
      <c r="AA6" s="1167"/>
      <c r="AB6" s="1168"/>
      <c r="AC6" s="1157"/>
      <c r="AD6" s="1157"/>
      <c r="AE6" s="1157"/>
      <c r="AF6" s="1157"/>
      <c r="AG6" s="1157"/>
      <c r="AH6" s="1158"/>
    </row>
    <row r="7" spans="1:35" s="1" customFormat="1" ht="9.75" customHeight="1">
      <c r="A7" s="1188" t="s">
        <v>161</v>
      </c>
      <c r="B7" s="1189"/>
      <c r="C7" s="1189"/>
      <c r="D7" s="1190"/>
      <c r="E7" s="1159"/>
      <c r="F7" s="1160"/>
      <c r="G7" s="1160"/>
      <c r="H7" s="1160"/>
      <c r="I7" s="1160"/>
      <c r="J7" s="1160"/>
      <c r="K7" s="1160"/>
      <c r="L7" s="1160"/>
      <c r="M7" s="1160"/>
      <c r="N7" s="1160"/>
      <c r="O7" s="1160"/>
      <c r="P7" s="1160"/>
      <c r="Q7" s="1160"/>
      <c r="R7" s="1160"/>
      <c r="S7" s="1160"/>
      <c r="T7" s="1160"/>
      <c r="U7" s="1160"/>
      <c r="V7" s="1160"/>
      <c r="W7" s="1160"/>
      <c r="X7" s="1160"/>
      <c r="Y7" s="1160"/>
      <c r="Z7" s="1160"/>
      <c r="AA7" s="1160"/>
      <c r="AB7" s="1160"/>
      <c r="AC7" s="1160"/>
      <c r="AD7" s="1160"/>
      <c r="AE7" s="1160"/>
      <c r="AF7" s="1160"/>
      <c r="AG7" s="1160"/>
      <c r="AH7" s="1161"/>
      <c r="AI7" s="72"/>
    </row>
    <row r="8" spans="1:35" s="1" customFormat="1" ht="15">
      <c r="A8" s="1191"/>
      <c r="B8" s="1192"/>
      <c r="C8" s="1192"/>
      <c r="D8" s="1193"/>
      <c r="E8" s="5"/>
      <c r="F8" s="6"/>
      <c r="G8" s="7"/>
      <c r="H8" s="4" t="s">
        <v>162</v>
      </c>
      <c r="I8" s="4"/>
      <c r="J8" s="4"/>
      <c r="K8" s="4"/>
      <c r="L8" s="42"/>
      <c r="M8" s="43"/>
      <c r="N8" s="4" t="s">
        <v>163</v>
      </c>
      <c r="O8" s="6"/>
      <c r="P8" s="4"/>
      <c r="Q8" s="4"/>
      <c r="R8" s="4"/>
      <c r="S8" s="4"/>
      <c r="T8" s="7"/>
      <c r="U8" s="4" t="s">
        <v>164</v>
      </c>
      <c r="V8" s="6"/>
      <c r="W8" s="4"/>
      <c r="X8" s="7"/>
      <c r="Y8" s="4" t="s">
        <v>165</v>
      </c>
      <c r="Z8" s="4"/>
      <c r="AD8" s="4"/>
      <c r="AE8" s="4"/>
      <c r="AF8" s="6"/>
      <c r="AG8" s="6"/>
      <c r="AH8" s="62"/>
      <c r="AI8" s="72"/>
    </row>
    <row r="9" spans="1:35" s="1" customFormat="1" ht="14.25" customHeight="1" thickBot="1">
      <c r="A9" s="1194"/>
      <c r="B9" s="1195"/>
      <c r="C9" s="1195"/>
      <c r="D9" s="1196"/>
      <c r="E9" s="8"/>
      <c r="F9" s="9"/>
      <c r="G9" s="9"/>
      <c r="H9" s="9"/>
      <c r="I9" s="44"/>
      <c r="J9" s="1169"/>
      <c r="K9" s="1169"/>
      <c r="L9" s="1169"/>
      <c r="M9" s="1169"/>
      <c r="N9" s="1169"/>
      <c r="O9" s="9"/>
      <c r="P9" s="1169"/>
      <c r="Q9" s="1169"/>
      <c r="R9" s="1169"/>
      <c r="S9" s="1169"/>
      <c r="T9" s="1169"/>
      <c r="U9" s="1169"/>
      <c r="V9" s="9"/>
      <c r="W9" s="9"/>
      <c r="X9" s="9"/>
      <c r="Y9" s="9"/>
      <c r="Z9" s="9"/>
      <c r="AA9" s="9"/>
      <c r="AB9" s="63" t="s">
        <v>166</v>
      </c>
      <c r="AC9" s="9"/>
      <c r="AD9" s="9"/>
      <c r="AE9" s="9"/>
      <c r="AF9" s="9"/>
      <c r="AG9" s="9"/>
      <c r="AH9" s="73"/>
      <c r="AI9" s="72"/>
    </row>
    <row r="10" spans="1:35" s="1" customFormat="1" ht="15.75" customHeight="1">
      <c r="A10" s="1188" t="s">
        <v>122</v>
      </c>
      <c r="B10" s="1189"/>
      <c r="C10" s="1189"/>
      <c r="D10" s="1190"/>
      <c r="E10" s="1197" t="s">
        <v>75</v>
      </c>
      <c r="F10" s="1198"/>
      <c r="G10" s="1198"/>
      <c r="H10" s="1198"/>
      <c r="I10" s="1198"/>
      <c r="J10" s="1198"/>
      <c r="K10" s="1198"/>
      <c r="L10" s="1198"/>
      <c r="M10" s="1198"/>
      <c r="N10" s="1198"/>
      <c r="O10" s="1198"/>
      <c r="P10" s="1198"/>
      <c r="Q10" s="1198"/>
      <c r="R10" s="1198"/>
      <c r="S10" s="1199"/>
      <c r="T10" s="1170" t="s">
        <v>167</v>
      </c>
      <c r="U10" s="1160"/>
      <c r="V10" s="1160"/>
      <c r="W10" s="1160"/>
      <c r="X10" s="1160"/>
      <c r="Y10" s="1160"/>
      <c r="Z10" s="1160"/>
      <c r="AA10" s="1160"/>
      <c r="AB10" s="1171"/>
      <c r="AC10" s="1172" t="s">
        <v>168</v>
      </c>
      <c r="AD10" s="1173"/>
      <c r="AE10" s="1173"/>
      <c r="AF10" s="1173"/>
      <c r="AG10" s="1173"/>
      <c r="AH10" s="1174"/>
      <c r="AI10" s="74"/>
    </row>
    <row r="11" spans="1:35" s="1" customFormat="1" ht="15.75" customHeight="1">
      <c r="A11" s="1191"/>
      <c r="B11" s="1192"/>
      <c r="C11" s="1192"/>
      <c r="D11" s="1193"/>
      <c r="E11" s="1200"/>
      <c r="F11" s="1201"/>
      <c r="G11" s="1201"/>
      <c r="H11" s="1201"/>
      <c r="I11" s="1201"/>
      <c r="J11" s="1201"/>
      <c r="K11" s="1201"/>
      <c r="L11" s="1201"/>
      <c r="M11" s="1201"/>
      <c r="N11" s="1201"/>
      <c r="O11" s="1201"/>
      <c r="P11" s="1201"/>
      <c r="Q11" s="1201"/>
      <c r="R11" s="1201"/>
      <c r="S11" s="1202"/>
      <c r="T11" s="1175"/>
      <c r="U11" s="1176"/>
      <c r="V11" s="1176"/>
      <c r="W11" s="1176"/>
      <c r="X11" s="1176"/>
      <c r="Y11" s="1176"/>
      <c r="Z11" s="1176"/>
      <c r="AA11" s="1176"/>
      <c r="AB11" s="1177"/>
      <c r="AC11" s="1178"/>
      <c r="AD11" s="1179"/>
      <c r="AE11" s="1179"/>
      <c r="AF11" s="1179"/>
      <c r="AG11" s="1179"/>
      <c r="AH11" s="1180"/>
      <c r="AI11" s="72"/>
    </row>
    <row r="12" spans="1:35" s="1" customFormat="1" ht="15.75" customHeight="1">
      <c r="A12" s="1300" t="s">
        <v>124</v>
      </c>
      <c r="B12" s="1301"/>
      <c r="C12" s="1301"/>
      <c r="D12" s="1302"/>
      <c r="E12" s="1306"/>
      <c r="F12" s="1307"/>
      <c r="G12" s="1307"/>
      <c r="H12" s="1307"/>
      <c r="I12" s="1307"/>
      <c r="J12" s="1307"/>
      <c r="K12" s="1307"/>
      <c r="L12" s="1307"/>
      <c r="M12" s="1307"/>
      <c r="N12" s="1307"/>
      <c r="O12" s="1307"/>
      <c r="P12" s="1307"/>
      <c r="Q12" s="1307"/>
      <c r="R12" s="1307"/>
      <c r="S12" s="1307"/>
      <c r="T12" s="1307"/>
      <c r="U12" s="1307"/>
      <c r="V12" s="1307"/>
      <c r="W12" s="1307"/>
      <c r="X12" s="1307"/>
      <c r="Y12" s="1307"/>
      <c r="Z12" s="1307"/>
      <c r="AA12" s="1307"/>
      <c r="AB12" s="1307"/>
      <c r="AC12" s="1307"/>
      <c r="AD12" s="1307"/>
      <c r="AE12" s="1307"/>
      <c r="AF12" s="1307"/>
      <c r="AG12" s="1307"/>
      <c r="AH12" s="1308"/>
      <c r="AI12" s="72"/>
    </row>
    <row r="13" spans="1:35" s="1" customFormat="1" ht="15.75" customHeight="1" thickBot="1">
      <c r="A13" s="1303"/>
      <c r="B13" s="1304"/>
      <c r="C13" s="1304"/>
      <c r="D13" s="1305"/>
      <c r="E13" s="1309"/>
      <c r="F13" s="1310"/>
      <c r="G13" s="1310"/>
      <c r="H13" s="1310"/>
      <c r="I13" s="1310"/>
      <c r="J13" s="1310"/>
      <c r="K13" s="1310"/>
      <c r="L13" s="1310"/>
      <c r="M13" s="1310"/>
      <c r="N13" s="1310"/>
      <c r="O13" s="1310"/>
      <c r="P13" s="1310"/>
      <c r="Q13" s="1310"/>
      <c r="R13" s="1310"/>
      <c r="S13" s="1310"/>
      <c r="T13" s="1310"/>
      <c r="U13" s="1310"/>
      <c r="V13" s="1310"/>
      <c r="W13" s="1310"/>
      <c r="X13" s="1310"/>
      <c r="Y13" s="1310"/>
      <c r="Z13" s="1310"/>
      <c r="AA13" s="1310"/>
      <c r="AB13" s="1310"/>
      <c r="AC13" s="1310"/>
      <c r="AD13" s="1310"/>
      <c r="AE13" s="1310"/>
      <c r="AF13" s="1310"/>
      <c r="AG13" s="1310"/>
      <c r="AH13" s="1311"/>
      <c r="AI13" s="75"/>
    </row>
    <row r="14" spans="1:35" s="2" customFormat="1" ht="28.15" customHeight="1">
      <c r="A14" s="1181" t="s">
        <v>41</v>
      </c>
      <c r="B14" s="1182"/>
      <c r="C14" s="1182"/>
      <c r="D14" s="1182"/>
      <c r="E14" s="1182"/>
      <c r="F14" s="1182"/>
      <c r="G14" s="1182"/>
      <c r="H14" s="1182"/>
      <c r="I14" s="1182"/>
      <c r="J14" s="1182"/>
      <c r="K14" s="1182"/>
      <c r="L14" s="1182"/>
      <c r="M14" s="1182"/>
      <c r="N14" s="1182"/>
      <c r="O14" s="1182"/>
      <c r="P14" s="1182"/>
      <c r="Q14" s="1182"/>
      <c r="R14" s="1183"/>
      <c r="S14" s="1184" t="s">
        <v>125</v>
      </c>
      <c r="T14" s="1185"/>
      <c r="U14" s="1185"/>
      <c r="V14" s="1185"/>
      <c r="W14" s="1186"/>
      <c r="X14" s="1184" t="s">
        <v>169</v>
      </c>
      <c r="Y14" s="1182"/>
      <c r="Z14" s="1182"/>
      <c r="AA14" s="1182"/>
      <c r="AB14" s="1183"/>
      <c r="AC14" s="1184" t="s">
        <v>37</v>
      </c>
      <c r="AD14" s="1182"/>
      <c r="AE14" s="1182"/>
      <c r="AF14" s="1182"/>
      <c r="AG14" s="1182"/>
      <c r="AH14" s="1187"/>
      <c r="AI14" s="76"/>
    </row>
    <row r="15" spans="1:35" s="1" customFormat="1" ht="18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50"/>
      <c r="S15" s="1331"/>
      <c r="T15" s="1332"/>
      <c r="U15" s="1332"/>
      <c r="V15" s="1332"/>
      <c r="W15" s="1333"/>
      <c r="X15" s="1331"/>
      <c r="Y15" s="1332"/>
      <c r="Z15" s="1332"/>
      <c r="AA15" s="1332"/>
      <c r="AB15" s="1333"/>
      <c r="AC15" s="64"/>
      <c r="AD15" s="11"/>
      <c r="AE15" s="11"/>
      <c r="AF15" s="11"/>
      <c r="AG15" s="11"/>
      <c r="AH15" s="77"/>
      <c r="AI15" s="72"/>
    </row>
    <row r="16" spans="1:35" s="1" customFormat="1" ht="18" customHeight="1">
      <c r="A16" s="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1"/>
      <c r="S16" s="1334"/>
      <c r="T16" s="1233"/>
      <c r="U16" s="1233"/>
      <c r="V16" s="1233"/>
      <c r="W16" s="1335"/>
      <c r="X16" s="1334"/>
      <c r="Y16" s="1233"/>
      <c r="Z16" s="1233"/>
      <c r="AA16" s="1233"/>
      <c r="AB16" s="1335"/>
      <c r="AC16" s="5"/>
      <c r="AD16" s="6"/>
      <c r="AE16" s="6"/>
      <c r="AF16" s="6"/>
      <c r="AG16" s="6"/>
      <c r="AH16" s="62"/>
      <c r="AI16" s="72"/>
    </row>
    <row r="17" spans="1:35" s="1" customFormat="1" ht="20.100000000000001" customHeight="1">
      <c r="A17" s="1312" t="s">
        <v>198</v>
      </c>
      <c r="B17" s="1313"/>
      <c r="C17" s="1313"/>
      <c r="D17" s="1313"/>
      <c r="E17" s="1313"/>
      <c r="F17" s="1313"/>
      <c r="G17" s="1313"/>
      <c r="H17" s="1313"/>
      <c r="I17" s="1313"/>
      <c r="J17" s="1313"/>
      <c r="K17" s="1313"/>
      <c r="L17" s="1313"/>
      <c r="M17" s="1313"/>
      <c r="N17" s="1313"/>
      <c r="O17" s="1313"/>
      <c r="P17" s="1313"/>
      <c r="Q17" s="1313"/>
      <c r="R17" s="1314"/>
      <c r="S17" s="1334"/>
      <c r="T17" s="1233"/>
      <c r="U17" s="1233"/>
      <c r="V17" s="1233"/>
      <c r="W17" s="1335"/>
      <c r="X17" s="1334"/>
      <c r="Y17" s="1233"/>
      <c r="Z17" s="1233"/>
      <c r="AA17" s="1233"/>
      <c r="AB17" s="1335"/>
      <c r="AC17" s="1297" t="e">
        <f>K24</f>
        <v>#REF!</v>
      </c>
      <c r="AD17" s="1204"/>
      <c r="AE17" s="1204"/>
      <c r="AF17" s="1204"/>
      <c r="AG17" s="1204"/>
      <c r="AH17" s="1298"/>
      <c r="AI17" s="72"/>
    </row>
    <row r="18" spans="1:35" s="1" customFormat="1" ht="20.100000000000001" customHeight="1">
      <c r="A18" s="1312"/>
      <c r="B18" s="1313"/>
      <c r="C18" s="1313"/>
      <c r="D18" s="1313"/>
      <c r="E18" s="1313"/>
      <c r="F18" s="1313"/>
      <c r="G18" s="1313"/>
      <c r="H18" s="1313"/>
      <c r="I18" s="1313"/>
      <c r="J18" s="1313"/>
      <c r="K18" s="1313"/>
      <c r="L18" s="1313"/>
      <c r="M18" s="1313"/>
      <c r="N18" s="1313"/>
      <c r="O18" s="1313"/>
      <c r="P18" s="1313"/>
      <c r="Q18" s="1313"/>
      <c r="R18" s="1314"/>
      <c r="S18" s="1334"/>
      <c r="T18" s="1233"/>
      <c r="U18" s="1233"/>
      <c r="V18" s="1233"/>
      <c r="W18" s="1335"/>
      <c r="X18" s="1334"/>
      <c r="Y18" s="1233"/>
      <c r="Z18" s="1233"/>
      <c r="AA18" s="1233"/>
      <c r="AB18" s="1335"/>
      <c r="AC18" s="1299"/>
      <c r="AD18" s="1204"/>
      <c r="AE18" s="1204"/>
      <c r="AF18" s="1204"/>
      <c r="AG18" s="1204"/>
      <c r="AH18" s="1298"/>
      <c r="AI18" s="72"/>
    </row>
    <row r="19" spans="1:35" s="1" customFormat="1" ht="18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52"/>
      <c r="S19" s="1334"/>
      <c r="T19" s="1233"/>
      <c r="U19" s="1233"/>
      <c r="V19" s="1233"/>
      <c r="W19" s="1335"/>
      <c r="X19" s="1334"/>
      <c r="Y19" s="1233"/>
      <c r="Z19" s="1233"/>
      <c r="AA19" s="1233"/>
      <c r="AB19" s="1335"/>
      <c r="AC19" s="65"/>
      <c r="AD19" s="14"/>
      <c r="AE19" s="14"/>
      <c r="AF19" s="14"/>
      <c r="AG19" s="14"/>
      <c r="AH19" s="78"/>
      <c r="AI19" s="72"/>
    </row>
    <row r="20" spans="1:35" s="1" customFormat="1" ht="18" customHeight="1">
      <c r="A20" s="13"/>
      <c r="B20" s="14"/>
      <c r="C20" s="14"/>
      <c r="D20" s="14"/>
      <c r="E20" s="14"/>
      <c r="F20" s="1203"/>
      <c r="G20" s="1203"/>
      <c r="H20" s="1203"/>
      <c r="K20" s="1204" t="s">
        <v>37</v>
      </c>
      <c r="L20" s="1204"/>
      <c r="M20" s="1204"/>
      <c r="N20" s="45"/>
      <c r="O20" s="1205"/>
      <c r="P20" s="1205"/>
      <c r="Q20" s="1205"/>
      <c r="R20" s="52"/>
      <c r="S20" s="1334"/>
      <c r="T20" s="1233"/>
      <c r="U20" s="1233"/>
      <c r="V20" s="1233"/>
      <c r="W20" s="1335"/>
      <c r="X20" s="1334"/>
      <c r="Y20" s="1233"/>
      <c r="Z20" s="1233"/>
      <c r="AA20" s="1233"/>
      <c r="AB20" s="1335"/>
      <c r="AC20" s="65"/>
      <c r="AD20" s="14"/>
      <c r="AE20" s="14"/>
      <c r="AF20" s="14"/>
      <c r="AG20" s="14"/>
      <c r="AH20" s="78"/>
      <c r="AI20" s="72"/>
    </row>
    <row r="21" spans="1:35" s="1" customFormat="1" ht="18" customHeight="1">
      <c r="A21" s="13"/>
      <c r="B21" s="14"/>
      <c r="C21" s="16">
        <v>1</v>
      </c>
      <c r="D21" s="1206" t="e">
        <f>#REF!</f>
        <v>#REF!</v>
      </c>
      <c r="E21" s="1206"/>
      <c r="F21" s="1206"/>
      <c r="G21" s="1206"/>
      <c r="H21" s="1206"/>
      <c r="I21" s="1206"/>
      <c r="K21" s="1208" t="e">
        <f>#REF!</f>
        <v>#REF!</v>
      </c>
      <c r="L21" s="1209"/>
      <c r="M21" s="1209"/>
      <c r="N21" s="45"/>
      <c r="O21" s="321"/>
      <c r="P21" s="321"/>
      <c r="Q21" s="321"/>
      <c r="R21" s="52"/>
      <c r="S21" s="1334"/>
      <c r="T21" s="1233"/>
      <c r="U21" s="1233"/>
      <c r="V21" s="1233"/>
      <c r="W21" s="1335"/>
      <c r="X21" s="1334"/>
      <c r="Y21" s="1233"/>
      <c r="Z21" s="1233"/>
      <c r="AA21" s="1233"/>
      <c r="AB21" s="1335"/>
      <c r="AC21" s="65"/>
      <c r="AD21" s="14"/>
      <c r="AE21" s="14"/>
      <c r="AF21" s="14"/>
      <c r="AG21" s="14"/>
      <c r="AH21" s="78"/>
      <c r="AI21" s="72"/>
    </row>
    <row r="22" spans="1:35" s="3" customFormat="1" ht="20.100000000000001" customHeight="1">
      <c r="A22" s="15"/>
      <c r="C22" s="16">
        <v>2</v>
      </c>
      <c r="D22" s="1206" t="e">
        <f>#REF!</f>
        <v>#REF!</v>
      </c>
      <c r="E22" s="1206"/>
      <c r="F22" s="1206"/>
      <c r="G22" s="1206"/>
      <c r="H22" s="1206"/>
      <c r="I22" s="1206"/>
      <c r="K22" s="1208" t="e">
        <f>#REF!</f>
        <v>#REF!</v>
      </c>
      <c r="L22" s="1209"/>
      <c r="M22" s="1209"/>
      <c r="N22" s="46"/>
      <c r="O22" s="1210"/>
      <c r="P22" s="1211"/>
      <c r="Q22" s="1211"/>
      <c r="R22" s="53"/>
      <c r="S22" s="1334"/>
      <c r="T22" s="1233"/>
      <c r="U22" s="1233"/>
      <c r="V22" s="1233"/>
      <c r="W22" s="1335"/>
      <c r="X22" s="1334"/>
      <c r="Y22" s="1233"/>
      <c r="Z22" s="1233"/>
      <c r="AA22" s="1233"/>
      <c r="AB22" s="1335"/>
      <c r="AC22" s="66"/>
      <c r="AD22" s="67"/>
      <c r="AE22" s="67"/>
      <c r="AF22" s="67"/>
      <c r="AG22" s="67"/>
      <c r="AH22" s="79"/>
      <c r="AI22" s="80"/>
    </row>
    <row r="23" spans="1:35" s="3" customFormat="1" ht="20.100000000000001" customHeight="1">
      <c r="A23" s="15"/>
      <c r="C23" s="16">
        <v>3</v>
      </c>
      <c r="D23" s="1206" t="e">
        <f>#REF!</f>
        <v>#REF!</v>
      </c>
      <c r="E23" s="1206"/>
      <c r="F23" s="1206"/>
      <c r="G23" s="1206"/>
      <c r="H23" s="1207"/>
      <c r="I23" s="1207"/>
      <c r="K23" s="1399" t="e">
        <f>#REF!</f>
        <v>#REF!</v>
      </c>
      <c r="L23" s="1400"/>
      <c r="M23" s="1400"/>
      <c r="N23" s="46"/>
      <c r="O23" s="1210"/>
      <c r="P23" s="1211"/>
      <c r="Q23" s="1211"/>
      <c r="R23" s="53"/>
      <c r="S23" s="1334"/>
      <c r="T23" s="1233"/>
      <c r="U23" s="1233"/>
      <c r="V23" s="1233"/>
      <c r="W23" s="1335"/>
      <c r="X23" s="1334"/>
      <c r="Y23" s="1233"/>
      <c r="Z23" s="1233"/>
      <c r="AA23" s="1233"/>
      <c r="AB23" s="1335"/>
      <c r="AC23" s="66"/>
      <c r="AD23" s="67"/>
      <c r="AE23" s="67"/>
      <c r="AF23" s="67"/>
      <c r="AG23" s="67"/>
      <c r="AH23" s="79"/>
      <c r="AI23" s="80"/>
    </row>
    <row r="24" spans="1:35" s="3" customFormat="1" ht="20.100000000000001" customHeight="1">
      <c r="A24" s="15"/>
      <c r="C24" s="1214" t="s">
        <v>170</v>
      </c>
      <c r="D24" s="1214"/>
      <c r="E24" s="1214"/>
      <c r="F24" s="1214"/>
      <c r="G24" s="1214"/>
      <c r="H24" s="1214"/>
      <c r="I24" s="1214"/>
      <c r="K24" s="1215" t="e">
        <f>#REF!</f>
        <v>#REF!</v>
      </c>
      <c r="L24" s="1209"/>
      <c r="M24" s="1209"/>
      <c r="N24" s="46"/>
      <c r="O24" s="1210"/>
      <c r="P24" s="1211"/>
      <c r="Q24" s="1211"/>
      <c r="R24" s="53"/>
      <c r="S24" s="1334"/>
      <c r="T24" s="1233"/>
      <c r="U24" s="1233"/>
      <c r="V24" s="1233"/>
      <c r="W24" s="1335"/>
      <c r="X24" s="1334"/>
      <c r="Y24" s="1233"/>
      <c r="Z24" s="1233"/>
      <c r="AA24" s="1233"/>
      <c r="AB24" s="1335"/>
      <c r="AC24" s="66"/>
      <c r="AD24" s="67"/>
      <c r="AE24" s="67"/>
      <c r="AF24" s="67"/>
      <c r="AG24" s="67"/>
      <c r="AH24" s="79"/>
      <c r="AI24" s="80"/>
    </row>
    <row r="25" spans="1:35" s="3" customFormat="1" ht="20.100000000000001" customHeight="1">
      <c r="A25" s="15"/>
      <c r="C25" s="16"/>
      <c r="D25" s="1206"/>
      <c r="E25" s="1206"/>
      <c r="F25" s="1206"/>
      <c r="G25" s="1206"/>
      <c r="H25" s="1207"/>
      <c r="I25" s="1207"/>
      <c r="K25" s="1208"/>
      <c r="L25" s="1208"/>
      <c r="M25" s="1208"/>
      <c r="N25" s="46"/>
      <c r="O25" s="47"/>
      <c r="P25" s="16"/>
      <c r="Q25" s="16"/>
      <c r="R25" s="53"/>
      <c r="S25" s="1334"/>
      <c r="T25" s="1233"/>
      <c r="U25" s="1233"/>
      <c r="V25" s="1233"/>
      <c r="W25" s="1335"/>
      <c r="X25" s="1334"/>
      <c r="Y25" s="1233"/>
      <c r="Z25" s="1233"/>
      <c r="AA25" s="1233"/>
      <c r="AB25" s="1335"/>
      <c r="AC25" s="66"/>
      <c r="AD25" s="67"/>
      <c r="AE25" s="67"/>
      <c r="AF25" s="67"/>
      <c r="AG25" s="67"/>
      <c r="AH25" s="79"/>
      <c r="AI25" s="80"/>
    </row>
    <row r="26" spans="1:35" s="3" customFormat="1" ht="20.100000000000001" customHeight="1">
      <c r="A26" s="17"/>
      <c r="C26" s="16"/>
      <c r="K26" s="1208"/>
      <c r="L26" s="1209"/>
      <c r="M26" s="1209"/>
      <c r="N26" s="46"/>
      <c r="O26" s="1213"/>
      <c r="P26" s="1214"/>
      <c r="Q26" s="1214"/>
      <c r="R26" s="54"/>
      <c r="S26" s="1334"/>
      <c r="T26" s="1233"/>
      <c r="U26" s="1233"/>
      <c r="V26" s="1233"/>
      <c r="W26" s="1335"/>
      <c r="X26" s="1334"/>
      <c r="Y26" s="1233"/>
      <c r="Z26" s="1233"/>
      <c r="AA26" s="1233"/>
      <c r="AB26" s="1335"/>
      <c r="AC26" s="66"/>
      <c r="AD26" s="67"/>
      <c r="AE26" s="67"/>
      <c r="AF26" s="67"/>
      <c r="AG26" s="67"/>
      <c r="AH26" s="79"/>
      <c r="AI26" s="80"/>
    </row>
    <row r="27" spans="1:35" s="3" customFormat="1" ht="20.100000000000001" customHeight="1">
      <c r="A27" s="17"/>
      <c r="C27" s="16"/>
      <c r="D27" s="1206"/>
      <c r="E27" s="1206"/>
      <c r="F27" s="1206"/>
      <c r="G27" s="1206"/>
      <c r="H27" s="1207"/>
      <c r="I27" s="1207"/>
      <c r="K27" s="1208"/>
      <c r="L27" s="1209"/>
      <c r="M27" s="1209"/>
      <c r="N27" s="46"/>
      <c r="O27" s="48"/>
      <c r="P27" s="19"/>
      <c r="Q27" s="19"/>
      <c r="R27" s="54"/>
      <c r="S27" s="1334"/>
      <c r="T27" s="1233"/>
      <c r="U27" s="1233"/>
      <c r="V27" s="1233"/>
      <c r="W27" s="1335"/>
      <c r="X27" s="1334"/>
      <c r="Y27" s="1233"/>
      <c r="Z27" s="1233"/>
      <c r="AA27" s="1233"/>
      <c r="AB27" s="1335"/>
      <c r="AC27" s="66"/>
      <c r="AD27" s="67"/>
      <c r="AE27" s="67"/>
      <c r="AF27" s="67"/>
      <c r="AG27" s="67"/>
      <c r="AH27" s="79"/>
      <c r="AI27" s="80"/>
    </row>
    <row r="28" spans="1:35" s="3" customFormat="1" ht="20.100000000000001" customHeight="1">
      <c r="A28" s="17"/>
      <c r="B28" s="18"/>
      <c r="N28" s="49"/>
      <c r="O28" s="1216"/>
      <c r="P28" s="1217"/>
      <c r="Q28" s="1217"/>
      <c r="R28" s="54"/>
      <c r="S28" s="1334"/>
      <c r="T28" s="1233"/>
      <c r="U28" s="1233"/>
      <c r="V28" s="1233"/>
      <c r="W28" s="1335"/>
      <c r="X28" s="1334"/>
      <c r="Y28" s="1233"/>
      <c r="Z28" s="1233"/>
      <c r="AA28" s="1233"/>
      <c r="AB28" s="1335"/>
      <c r="AC28" s="66"/>
      <c r="AD28" s="67"/>
      <c r="AE28" s="67"/>
      <c r="AF28" s="67"/>
      <c r="AG28" s="67"/>
      <c r="AH28" s="79"/>
      <c r="AI28" s="80"/>
    </row>
    <row r="29" spans="1:35" s="3" customFormat="1" ht="18" customHeight="1">
      <c r="A29" s="17"/>
      <c r="B29" s="18"/>
      <c r="C29" s="1218"/>
      <c r="D29" s="1218"/>
      <c r="E29" s="1218"/>
      <c r="F29" s="1219"/>
      <c r="G29" s="1219"/>
      <c r="H29" s="1219"/>
      <c r="I29" s="1219"/>
      <c r="J29" s="1219"/>
      <c r="K29" s="1219"/>
      <c r="L29" s="1219"/>
      <c r="M29" s="1219"/>
      <c r="N29" s="1219"/>
      <c r="O29" s="1216"/>
      <c r="P29" s="1217"/>
      <c r="Q29" s="1217"/>
      <c r="R29" s="54"/>
      <c r="S29" s="1334"/>
      <c r="T29" s="1233"/>
      <c r="U29" s="1233"/>
      <c r="V29" s="1233"/>
      <c r="W29" s="1335"/>
      <c r="X29" s="1334"/>
      <c r="Y29" s="1233"/>
      <c r="Z29" s="1233"/>
      <c r="AA29" s="1233"/>
      <c r="AB29" s="1335"/>
      <c r="AC29" s="66"/>
      <c r="AD29" s="67"/>
      <c r="AE29" s="67"/>
      <c r="AF29" s="67"/>
      <c r="AG29" s="67"/>
      <c r="AH29" s="79"/>
      <c r="AI29" s="80"/>
    </row>
    <row r="30" spans="1:35" s="3" customFormat="1" ht="18" customHeight="1">
      <c r="A30" s="17"/>
      <c r="B30" s="18"/>
      <c r="C30" s="20"/>
      <c r="D30" s="20"/>
      <c r="E30" s="20"/>
      <c r="F30" s="1220"/>
      <c r="G30" s="1220"/>
      <c r="H30" s="1220"/>
      <c r="I30" s="1220"/>
      <c r="J30" s="1220"/>
      <c r="K30" s="1220"/>
      <c r="L30" s="1220"/>
      <c r="M30" s="1220"/>
      <c r="N30" s="1220"/>
      <c r="O30" s="1213"/>
      <c r="P30" s="1214"/>
      <c r="Q30" s="1214"/>
      <c r="R30" s="54"/>
      <c r="S30" s="1334"/>
      <c r="T30" s="1233"/>
      <c r="U30" s="1233"/>
      <c r="V30" s="1233"/>
      <c r="W30" s="1335"/>
      <c r="X30" s="1334"/>
      <c r="Y30" s="1233"/>
      <c r="Z30" s="1233"/>
      <c r="AA30" s="1233"/>
      <c r="AB30" s="1335"/>
      <c r="AC30" s="66"/>
      <c r="AD30" s="67"/>
      <c r="AE30" s="67"/>
      <c r="AF30" s="67"/>
      <c r="AG30" s="67"/>
      <c r="AH30" s="79"/>
      <c r="AI30" s="80"/>
    </row>
    <row r="31" spans="1:35" s="1" customFormat="1" ht="18" customHeight="1" thickBot="1">
      <c r="A31" s="1221" t="s">
        <v>171</v>
      </c>
      <c r="B31" s="1222"/>
      <c r="C31" s="1223"/>
      <c r="D31" s="1223"/>
      <c r="E31" s="1223"/>
      <c r="F31" s="1223"/>
      <c r="G31" s="1223"/>
      <c r="H31" s="1223"/>
      <c r="I31" s="1223"/>
      <c r="J31" s="1223"/>
      <c r="K31" s="1223"/>
      <c r="L31" s="1223"/>
      <c r="M31" s="1223"/>
      <c r="N31" s="1223"/>
      <c r="O31" s="1223"/>
      <c r="P31" s="1223"/>
      <c r="Q31" s="1223"/>
      <c r="R31" s="1224"/>
      <c r="S31" s="55"/>
      <c r="T31" s="56"/>
      <c r="U31" s="56"/>
      <c r="V31" s="56"/>
      <c r="W31" s="57"/>
      <c r="X31" s="55"/>
      <c r="Y31" s="56"/>
      <c r="Z31" s="56"/>
      <c r="AA31" s="56"/>
      <c r="AB31" s="57"/>
      <c r="AC31" s="1225" t="e">
        <f>AC17</f>
        <v>#REF!</v>
      </c>
      <c r="AD31" s="1226"/>
      <c r="AE31" s="1226"/>
      <c r="AF31" s="1226"/>
      <c r="AG31" s="1226"/>
      <c r="AH31" s="1227"/>
      <c r="AI31" s="72"/>
    </row>
    <row r="32" spans="1:35" s="1" customFormat="1" ht="13.9" customHeight="1">
      <c r="A32" s="21" t="s">
        <v>131</v>
      </c>
      <c r="B32" s="22"/>
      <c r="C32" s="1228" t="s">
        <v>172</v>
      </c>
      <c r="D32" s="1228"/>
      <c r="E32" s="1228"/>
      <c r="F32" s="1228"/>
      <c r="G32" s="1228"/>
      <c r="H32" s="1228"/>
      <c r="I32" s="1228"/>
      <c r="J32" s="1228"/>
      <c r="K32" s="1228"/>
      <c r="L32" s="1228"/>
      <c r="M32" s="1228"/>
      <c r="N32" s="1228"/>
      <c r="O32" s="1228"/>
      <c r="P32" s="1228"/>
      <c r="Q32" s="1228"/>
      <c r="R32" s="1228"/>
      <c r="S32" s="1229"/>
      <c r="T32" s="1229"/>
      <c r="U32" s="1229"/>
      <c r="V32" s="1229"/>
      <c r="W32" s="1229"/>
      <c r="X32" s="1229"/>
      <c r="Y32" s="1229"/>
      <c r="Z32" s="1229"/>
      <c r="AA32" s="1229"/>
      <c r="AB32" s="1229"/>
      <c r="AC32" s="1228"/>
      <c r="AD32" s="1228"/>
      <c r="AE32" s="1228"/>
      <c r="AF32" s="1228"/>
      <c r="AG32" s="1228"/>
      <c r="AH32" s="1230"/>
      <c r="AI32" s="72"/>
    </row>
    <row r="33" spans="1:35" s="1" customFormat="1" ht="13.9" customHeight="1">
      <c r="A33" s="2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81"/>
      <c r="AI33" s="72"/>
    </row>
    <row r="34" spans="1:35" s="1" customFormat="1" ht="20.100000000000001" customHeight="1">
      <c r="A34" s="25"/>
      <c r="B34" s="26"/>
      <c r="C34" s="26"/>
      <c r="D34" s="26"/>
      <c r="E34" s="6" t="s">
        <v>173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6"/>
      <c r="T34" s="26"/>
      <c r="U34" s="43"/>
      <c r="V34" s="43"/>
      <c r="W34" s="43"/>
      <c r="X34" s="43"/>
      <c r="Y34" s="43"/>
      <c r="Z34" s="4"/>
      <c r="AA34" s="43"/>
      <c r="AB34" s="43"/>
      <c r="AC34" s="68"/>
      <c r="AD34" s="69"/>
      <c r="AE34" s="69"/>
      <c r="AF34" s="69"/>
      <c r="AG34" s="69"/>
      <c r="AH34" s="82"/>
      <c r="AI34" s="72"/>
    </row>
    <row r="35" spans="1:35" s="1" customFormat="1" ht="18" customHeight="1">
      <c r="A35" s="25"/>
      <c r="B35" s="26"/>
      <c r="C35" s="1204" t="e">
        <f>'BUR - Gross-D&amp;6'!C33:H33</f>
        <v>#REF!</v>
      </c>
      <c r="D35" s="1211"/>
      <c r="E35" s="1211"/>
      <c r="F35" s="1211"/>
      <c r="G35" s="1211"/>
      <c r="H35" s="1211"/>
      <c r="I35" s="1211"/>
      <c r="J35" s="1211"/>
      <c r="K35" s="1211"/>
      <c r="L35" s="1211"/>
      <c r="M35" s="1211"/>
      <c r="N35" s="1211"/>
      <c r="O35" s="1211"/>
      <c r="P35" s="1211"/>
      <c r="Q35" s="1211"/>
      <c r="R35" s="1211"/>
      <c r="S35" s="1211"/>
      <c r="T35" s="1211"/>
      <c r="U35" s="1211"/>
      <c r="V35" s="1211"/>
      <c r="W35" s="1211"/>
      <c r="X35" s="1211"/>
      <c r="Y35" s="1211"/>
      <c r="Z35" s="1211"/>
      <c r="AA35" s="1211"/>
      <c r="AB35" s="1211"/>
      <c r="AC35" s="1211"/>
      <c r="AD35" s="1211"/>
      <c r="AE35" s="1211"/>
      <c r="AF35" s="1211"/>
      <c r="AG35" s="1211"/>
      <c r="AH35" s="82"/>
      <c r="AI35" s="72"/>
    </row>
    <row r="36" spans="1:35" s="1" customFormat="1" ht="15" customHeight="1">
      <c r="A36" s="25"/>
      <c r="B36" s="26"/>
      <c r="C36" s="1231" t="e">
        <f>'BUR - Gross-D&amp;6'!C34:H34</f>
        <v>#REF!</v>
      </c>
      <c r="D36" s="1231"/>
      <c r="E36" s="1231"/>
      <c r="F36" s="1231"/>
      <c r="G36" s="1231"/>
      <c r="H36" s="1231"/>
      <c r="I36" s="1231"/>
      <c r="J36" s="1231"/>
      <c r="K36" s="1231"/>
      <c r="L36" s="1231"/>
      <c r="M36" s="1231"/>
      <c r="N36" s="1231"/>
      <c r="O36" s="1231"/>
      <c r="P36" s="1231"/>
      <c r="Q36" s="1231"/>
      <c r="R36" s="1231"/>
      <c r="S36" s="1231"/>
      <c r="T36" s="1231"/>
      <c r="U36" s="1231"/>
      <c r="V36" s="1231"/>
      <c r="W36" s="1231"/>
      <c r="X36" s="1231"/>
      <c r="Y36" s="1231"/>
      <c r="Z36" s="1231"/>
      <c r="AA36" s="1231"/>
      <c r="AB36" s="1231"/>
      <c r="AC36" s="1231"/>
      <c r="AD36" s="1231"/>
      <c r="AE36" s="1231"/>
      <c r="AF36" s="1231"/>
      <c r="AG36" s="1231"/>
      <c r="AH36" s="82"/>
      <c r="AI36" s="72"/>
    </row>
    <row r="37" spans="1:35" s="3" customFormat="1" ht="12" customHeight="1">
      <c r="A37" s="27"/>
      <c r="B37" s="28"/>
      <c r="C37" s="1232" t="s">
        <v>174</v>
      </c>
      <c r="D37" s="1232"/>
      <c r="E37" s="1232"/>
      <c r="F37" s="1232"/>
      <c r="G37" s="1232"/>
      <c r="H37" s="1232"/>
      <c r="I37" s="1232"/>
      <c r="J37" s="1232"/>
      <c r="K37" s="1232"/>
      <c r="L37" s="1232"/>
      <c r="M37" s="1232"/>
      <c r="N37" s="1232"/>
      <c r="O37" s="1232"/>
      <c r="P37" s="1232"/>
      <c r="Q37" s="1232"/>
      <c r="R37" s="1232"/>
      <c r="S37" s="1232"/>
      <c r="T37" s="1232"/>
      <c r="U37" s="1232"/>
      <c r="V37" s="1232"/>
      <c r="W37" s="1232"/>
      <c r="X37" s="1232"/>
      <c r="Y37" s="1232"/>
      <c r="Z37" s="1232"/>
      <c r="AA37" s="1232"/>
      <c r="AB37" s="1232"/>
      <c r="AC37" s="1232"/>
      <c r="AD37" s="1232"/>
      <c r="AE37" s="1232"/>
      <c r="AF37" s="1232"/>
      <c r="AG37" s="1232"/>
      <c r="AH37" s="83"/>
      <c r="AI37" s="80"/>
    </row>
    <row r="38" spans="1:35" s="1" customFormat="1" ht="12" customHeight="1" thickBot="1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1233"/>
      <c r="M38" s="1233"/>
      <c r="N38" s="1233"/>
      <c r="O38" s="1233"/>
      <c r="P38" s="1233"/>
      <c r="Q38" s="1233"/>
      <c r="R38" s="1233"/>
      <c r="S38" s="1233"/>
      <c r="T38" s="1233"/>
      <c r="U38" s="1233"/>
      <c r="V38" s="1233"/>
      <c r="W38" s="1233"/>
      <c r="X38" s="1233"/>
      <c r="Y38" s="1233"/>
      <c r="Z38" s="4"/>
      <c r="AA38" s="4"/>
      <c r="AB38" s="4"/>
      <c r="AC38" s="4"/>
      <c r="AD38" s="4"/>
      <c r="AE38" s="4"/>
      <c r="AF38" s="4"/>
      <c r="AG38" s="4"/>
      <c r="AH38" s="61"/>
      <c r="AI38" s="72"/>
    </row>
    <row r="39" spans="1:35" s="1" customFormat="1" ht="14.1" customHeight="1">
      <c r="A39" s="30" t="s">
        <v>132</v>
      </c>
      <c r="B39" s="31"/>
      <c r="C39" s="32" t="s">
        <v>175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84"/>
      <c r="AI39" s="72"/>
    </row>
    <row r="40" spans="1:35" s="1" customFormat="1" ht="12" customHeight="1">
      <c r="A40" s="1234" t="s">
        <v>176</v>
      </c>
      <c r="B40" s="1235"/>
      <c r="C40" s="1236"/>
      <c r="D40" s="1236"/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 t="s">
        <v>177</v>
      </c>
      <c r="U40" s="1236"/>
      <c r="V40" s="1236"/>
      <c r="W40" s="1236"/>
      <c r="X40" s="1236"/>
      <c r="Y40" s="1237" t="s">
        <v>178</v>
      </c>
      <c r="Z40" s="1237"/>
      <c r="AA40" s="1237"/>
      <c r="AB40" s="1237"/>
      <c r="AC40" s="1237"/>
      <c r="AD40" s="1238" t="s">
        <v>179</v>
      </c>
      <c r="AE40" s="1238"/>
      <c r="AF40" s="1238"/>
      <c r="AG40" s="1238"/>
      <c r="AH40" s="1239"/>
      <c r="AI40" s="72"/>
    </row>
    <row r="41" spans="1:35" s="1" customFormat="1" ht="15.75" customHeight="1">
      <c r="A41" s="33"/>
      <c r="B41" s="34"/>
      <c r="C41" s="34"/>
      <c r="D41" s="34"/>
      <c r="E41" s="6"/>
      <c r="F41" s="6"/>
      <c r="G41" s="6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6"/>
      <c r="S41" s="51"/>
      <c r="T41" s="1248"/>
      <c r="U41" s="1249"/>
      <c r="V41" s="1249"/>
      <c r="W41" s="1249"/>
      <c r="X41" s="1250"/>
      <c r="Y41" s="1251"/>
      <c r="Z41" s="1252"/>
      <c r="AA41" s="1252"/>
      <c r="AB41" s="1252"/>
      <c r="AC41" s="1253"/>
      <c r="AD41" s="43"/>
      <c r="AE41" s="43"/>
      <c r="AF41" s="43"/>
      <c r="AG41" s="43"/>
      <c r="AH41" s="85"/>
      <c r="AI41" s="72"/>
    </row>
    <row r="42" spans="1:35" s="1" customFormat="1" ht="15.75" customHeight="1">
      <c r="A42" s="36"/>
      <c r="B42" s="37"/>
      <c r="C42" s="37"/>
      <c r="D42" s="37"/>
      <c r="E42" s="37"/>
      <c r="F42" s="37"/>
      <c r="G42" s="6"/>
      <c r="H42" s="35"/>
      <c r="I42" s="35"/>
      <c r="J42" s="35"/>
      <c r="K42" s="35"/>
      <c r="L42" s="35"/>
      <c r="M42" s="35"/>
      <c r="N42" s="35"/>
      <c r="O42" s="35"/>
      <c r="P42" s="35"/>
      <c r="Q42" s="6"/>
      <c r="R42" s="6"/>
      <c r="S42" s="51"/>
      <c r="T42" s="1254"/>
      <c r="U42" s="1255"/>
      <c r="V42" s="1255"/>
      <c r="W42" s="1255"/>
      <c r="X42" s="1256"/>
      <c r="Y42" s="6"/>
      <c r="Z42" s="6"/>
      <c r="AA42" s="6"/>
      <c r="AB42" s="6"/>
      <c r="AC42" s="51"/>
      <c r="AD42" s="1254"/>
      <c r="AE42" s="1255"/>
      <c r="AF42" s="1255"/>
      <c r="AG42" s="1255"/>
      <c r="AH42" s="1257"/>
      <c r="AI42" s="72"/>
    </row>
    <row r="43" spans="1:35" s="1" customFormat="1" ht="15.75" customHeight="1">
      <c r="A43" s="36"/>
      <c r="B43" s="37"/>
      <c r="C43" s="37"/>
      <c r="D43" s="37"/>
      <c r="E43" s="37"/>
      <c r="F43" s="37"/>
      <c r="G43" s="6"/>
      <c r="H43" s="35"/>
      <c r="I43" s="35"/>
      <c r="J43" s="35"/>
      <c r="K43" s="35"/>
      <c r="L43" s="35"/>
      <c r="M43" s="35"/>
      <c r="N43" s="35"/>
      <c r="O43" s="35"/>
      <c r="P43" s="35"/>
      <c r="Q43" s="6"/>
      <c r="R43" s="6"/>
      <c r="S43" s="51"/>
      <c r="T43" s="58"/>
      <c r="U43" s="37"/>
      <c r="V43" s="37"/>
      <c r="W43" s="37"/>
      <c r="X43" s="59"/>
      <c r="Y43" s="6"/>
      <c r="Z43" s="6"/>
      <c r="AA43" s="6"/>
      <c r="AB43" s="6"/>
      <c r="AC43" s="51"/>
      <c r="AD43" s="37"/>
      <c r="AE43" s="37"/>
      <c r="AF43" s="37"/>
      <c r="AG43" s="37"/>
      <c r="AH43" s="86"/>
      <c r="AI43" s="72"/>
    </row>
    <row r="44" spans="1:35" s="1" customFormat="1" ht="15.75" customHeight="1">
      <c r="A44" s="36"/>
      <c r="B44" s="37"/>
      <c r="C44" s="37"/>
      <c r="D44" s="37"/>
      <c r="E44" s="37"/>
      <c r="F44" s="37"/>
      <c r="G44" s="6"/>
      <c r="H44" s="35"/>
      <c r="I44" s="35"/>
      <c r="J44" s="35"/>
      <c r="K44" s="35"/>
      <c r="L44" s="35"/>
      <c r="M44" s="35"/>
      <c r="N44" s="35"/>
      <c r="O44" s="35"/>
      <c r="P44" s="35"/>
      <c r="Q44" s="6"/>
      <c r="R44" s="6"/>
      <c r="S44" s="51"/>
      <c r="T44" s="58"/>
      <c r="U44" s="37"/>
      <c r="V44" s="37"/>
      <c r="W44" s="37"/>
      <c r="X44" s="59"/>
      <c r="Y44" s="6"/>
      <c r="Z44" s="6"/>
      <c r="AA44" s="6"/>
      <c r="AB44" s="6"/>
      <c r="AC44" s="51"/>
      <c r="AD44" s="37"/>
      <c r="AE44" s="37"/>
      <c r="AF44" s="37"/>
      <c r="AG44" s="37"/>
      <c r="AH44" s="86"/>
      <c r="AI44" s="72"/>
    </row>
    <row r="45" spans="1:35" s="1" customFormat="1" ht="15.75" customHeight="1">
      <c r="A45" s="36"/>
      <c r="B45" s="37"/>
      <c r="C45" s="37"/>
      <c r="D45" s="37"/>
      <c r="E45" s="37"/>
      <c r="F45" s="37"/>
      <c r="G45" s="6"/>
      <c r="H45" s="35"/>
      <c r="I45" s="35"/>
      <c r="J45" s="35"/>
      <c r="K45" s="35"/>
      <c r="L45" s="35"/>
      <c r="M45" s="35"/>
      <c r="N45" s="35"/>
      <c r="O45" s="35"/>
      <c r="P45" s="35"/>
      <c r="Q45" s="6"/>
      <c r="R45" s="6"/>
      <c r="S45" s="51"/>
      <c r="T45" s="58"/>
      <c r="U45" s="37"/>
      <c r="V45" s="37"/>
      <c r="W45" s="37"/>
      <c r="X45" s="59"/>
      <c r="Y45" s="6"/>
      <c r="Z45" s="6"/>
      <c r="AA45" s="6"/>
      <c r="AB45" s="6"/>
      <c r="AC45" s="51"/>
      <c r="AD45" s="37"/>
      <c r="AE45" s="37"/>
      <c r="AF45" s="37"/>
      <c r="AG45" s="37"/>
      <c r="AH45" s="86"/>
      <c r="AI45" s="72"/>
    </row>
    <row r="46" spans="1:35" s="1" customFormat="1" ht="15.75" customHeight="1">
      <c r="A46" s="36"/>
      <c r="B46" s="37"/>
      <c r="C46" s="37"/>
      <c r="D46" s="37"/>
      <c r="E46" s="37"/>
      <c r="F46" s="37"/>
      <c r="G46" s="6"/>
      <c r="H46" s="35"/>
      <c r="I46" s="35"/>
      <c r="J46" s="35"/>
      <c r="K46" s="35"/>
      <c r="L46" s="35"/>
      <c r="M46" s="35"/>
      <c r="N46" s="35"/>
      <c r="O46" s="35"/>
      <c r="P46" s="35"/>
      <c r="Q46" s="6"/>
      <c r="R46" s="6"/>
      <c r="S46" s="51"/>
      <c r="T46" s="1254"/>
      <c r="U46" s="1255"/>
      <c r="V46" s="1255"/>
      <c r="W46" s="1255"/>
      <c r="X46" s="1256"/>
      <c r="Y46" s="6"/>
      <c r="Z46" s="6"/>
      <c r="AA46" s="6"/>
      <c r="AB46" s="6"/>
      <c r="AC46" s="51"/>
      <c r="AD46" s="37"/>
      <c r="AE46" s="37"/>
      <c r="AF46" s="37"/>
      <c r="AG46" s="37"/>
      <c r="AH46" s="86"/>
      <c r="AI46" s="72"/>
    </row>
    <row r="47" spans="1:35" s="1" customFormat="1" ht="15.75" customHeight="1">
      <c r="A47" s="36"/>
      <c r="B47" s="37"/>
      <c r="C47" s="37"/>
      <c r="D47" s="37"/>
      <c r="E47" s="37"/>
      <c r="F47" s="37"/>
      <c r="G47" s="6"/>
      <c r="H47" s="35"/>
      <c r="I47" s="35"/>
      <c r="J47" s="35"/>
      <c r="K47" s="35"/>
      <c r="L47" s="35"/>
      <c r="M47" s="35"/>
      <c r="N47" s="35"/>
      <c r="O47" s="35"/>
      <c r="P47" s="35"/>
      <c r="Q47" s="6"/>
      <c r="R47" s="6"/>
      <c r="S47" s="51"/>
      <c r="T47" s="1254"/>
      <c r="U47" s="1255"/>
      <c r="V47" s="1255"/>
      <c r="W47" s="1255"/>
      <c r="X47" s="1256"/>
      <c r="Y47" s="6"/>
      <c r="Z47" s="6"/>
      <c r="AA47" s="6"/>
      <c r="AB47" s="6"/>
      <c r="AC47" s="51"/>
      <c r="AD47" s="37"/>
      <c r="AE47" s="37"/>
      <c r="AF47" s="37"/>
      <c r="AG47" s="37"/>
      <c r="AH47" s="86"/>
      <c r="AI47" s="72"/>
    </row>
    <row r="48" spans="1:35" s="1" customFormat="1" ht="15.75" customHeight="1">
      <c r="A48" s="36"/>
      <c r="B48" s="37"/>
      <c r="C48" s="37"/>
      <c r="D48" s="37"/>
      <c r="E48" s="37"/>
      <c r="F48" s="37"/>
      <c r="G48" s="6"/>
      <c r="H48" s="35"/>
      <c r="I48" s="35"/>
      <c r="J48" s="35"/>
      <c r="K48" s="35"/>
      <c r="L48" s="35"/>
      <c r="M48" s="35"/>
      <c r="N48" s="35"/>
      <c r="O48" s="35"/>
      <c r="P48" s="35"/>
      <c r="Q48" s="6"/>
      <c r="R48" s="6"/>
      <c r="S48" s="51"/>
      <c r="T48" s="1254"/>
      <c r="U48" s="1255"/>
      <c r="V48" s="1255"/>
      <c r="W48" s="1255"/>
      <c r="X48" s="1256"/>
      <c r="Y48" s="6"/>
      <c r="Z48" s="6"/>
      <c r="AA48" s="6"/>
      <c r="AB48" s="6"/>
      <c r="AC48" s="51"/>
      <c r="AD48" s="37"/>
      <c r="AE48" s="37"/>
      <c r="AF48" s="37"/>
      <c r="AG48" s="37"/>
      <c r="AH48" s="86"/>
      <c r="AI48" s="72"/>
    </row>
    <row r="49" spans="1:35" s="1" customFormat="1" ht="15.75" customHeight="1">
      <c r="A49" s="36"/>
      <c r="B49" s="37"/>
      <c r="C49" s="37"/>
      <c r="D49" s="37"/>
      <c r="E49" s="37"/>
      <c r="F49" s="37"/>
      <c r="G49" s="6"/>
      <c r="H49" s="35"/>
      <c r="I49" s="35"/>
      <c r="J49" s="35"/>
      <c r="K49" s="35"/>
      <c r="L49" s="35"/>
      <c r="M49" s="35"/>
      <c r="N49" s="35"/>
      <c r="O49" s="35"/>
      <c r="P49" s="35"/>
      <c r="Q49" s="6"/>
      <c r="R49" s="6"/>
      <c r="S49" s="51"/>
      <c r="T49" s="1254"/>
      <c r="U49" s="1255"/>
      <c r="V49" s="1255"/>
      <c r="W49" s="1255"/>
      <c r="X49" s="1256"/>
      <c r="Y49" s="6"/>
      <c r="Z49" s="6"/>
      <c r="AA49" s="6"/>
      <c r="AB49" s="6"/>
      <c r="AC49" s="51"/>
      <c r="AD49" s="6"/>
      <c r="AE49" s="6"/>
      <c r="AF49" s="6"/>
      <c r="AG49" s="6"/>
      <c r="AH49" s="62"/>
      <c r="AI49" s="72"/>
    </row>
    <row r="50" spans="1:35" s="1" customFormat="1" ht="15.75" customHeight="1">
      <c r="A50" s="36"/>
      <c r="B50" s="37"/>
      <c r="C50" s="37"/>
      <c r="D50" s="37"/>
      <c r="E50" s="37"/>
      <c r="F50" s="37"/>
      <c r="G50" s="6"/>
      <c r="H50" s="35"/>
      <c r="I50" s="35"/>
      <c r="J50" s="35"/>
      <c r="K50" s="35"/>
      <c r="L50" s="35"/>
      <c r="M50" s="35"/>
      <c r="N50" s="35"/>
      <c r="O50" s="35"/>
      <c r="P50" s="35"/>
      <c r="Q50" s="6"/>
      <c r="R50" s="6"/>
      <c r="S50" s="51"/>
      <c r="T50" s="1254"/>
      <c r="U50" s="1255"/>
      <c r="V50" s="1255"/>
      <c r="W50" s="1255"/>
      <c r="X50" s="1256"/>
      <c r="Y50" s="6"/>
      <c r="Z50" s="6"/>
      <c r="AA50" s="6"/>
      <c r="AB50" s="6"/>
      <c r="AC50" s="51"/>
      <c r="AD50" s="6"/>
      <c r="AE50" s="6"/>
      <c r="AF50" s="6"/>
      <c r="AG50" s="6"/>
      <c r="AH50" s="62"/>
      <c r="AI50" s="72"/>
    </row>
    <row r="51" spans="1:35" s="1" customFormat="1" ht="15.75" customHeight="1" thickBot="1">
      <c r="A51" s="36"/>
      <c r="B51" s="37"/>
      <c r="C51" s="37"/>
      <c r="D51" s="37"/>
      <c r="E51" s="37"/>
      <c r="F51" s="37"/>
      <c r="G51" s="6"/>
      <c r="H51" s="35"/>
      <c r="I51" s="35"/>
      <c r="J51" s="35"/>
      <c r="K51" s="35"/>
      <c r="L51" s="35"/>
      <c r="M51" s="35"/>
      <c r="N51" s="35"/>
      <c r="O51" s="35"/>
      <c r="P51" s="35"/>
      <c r="Q51" s="6"/>
      <c r="R51" s="6"/>
      <c r="S51" s="51"/>
      <c r="T51" s="1254"/>
      <c r="U51" s="1255"/>
      <c r="V51" s="1255"/>
      <c r="W51" s="1255"/>
      <c r="X51" s="1256"/>
      <c r="Y51" s="9"/>
      <c r="Z51" s="9"/>
      <c r="AA51" s="9"/>
      <c r="AB51" s="9"/>
      <c r="AC51" s="70"/>
      <c r="AD51" s="9"/>
      <c r="AE51" s="9"/>
      <c r="AF51" s="9"/>
      <c r="AG51" s="9"/>
      <c r="AH51" s="73"/>
      <c r="AI51" s="72"/>
    </row>
    <row r="52" spans="1:35" s="1" customFormat="1" ht="14.1" customHeight="1">
      <c r="A52" s="38" t="s">
        <v>145</v>
      </c>
      <c r="B52" s="39"/>
      <c r="C52" s="39" t="s">
        <v>133</v>
      </c>
      <c r="D52" s="3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60"/>
      <c r="T52" s="38" t="s">
        <v>180</v>
      </c>
      <c r="U52" s="1352" t="s">
        <v>181</v>
      </c>
      <c r="V52" s="1352"/>
      <c r="W52" s="1352"/>
      <c r="X52" s="1352"/>
      <c r="Y52" s="1352"/>
      <c r="Z52" s="1352"/>
      <c r="AA52" s="1352"/>
      <c r="AB52" s="1352"/>
      <c r="AC52" s="1352"/>
      <c r="AD52" s="1352"/>
      <c r="AE52" s="1352"/>
      <c r="AF52" s="71"/>
      <c r="AG52" s="71"/>
      <c r="AH52" s="87"/>
      <c r="AI52" s="72"/>
    </row>
    <row r="53" spans="1:35" s="1" customFormat="1" ht="11.25" customHeight="1">
      <c r="A53" s="29"/>
      <c r="B53" s="4"/>
      <c r="C53" s="41"/>
      <c r="D53" s="4" t="s">
        <v>182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1"/>
      <c r="T53" s="1336" t="e">
        <f>UPPER(CHOOSE(LEFT(TEXT(AC31,"000000000.00"))+1,,"One","Two","Three","Four","Five","Six","Seven","Eight","Nine")&amp;IF(--LEFT(TEXT(AC31,"000000000.00"))=0,,IF(AND(--MID(TEXT(AC31,"000000000.00"),2,1)=0,--MID(TEXT(AC31,"000000000.00"),3,1)=0)," Hundred"," Hundred "))&amp;CHOOSE(MID(TEXT(AC31,"000000000.00"),2,1)+1,,,"Twenty ","Thirty ","Forty ","Fifty ","Sixty ","Seventy ","Eighty ","Ninety ")&amp;IF(--MID(TEXT(AC31,"000000000.00"),2,1)&lt;&gt;1,CHOOSE(MID(TEXT(AC31,"000000000.00"),3,1)+1,,"One","Two","Three","Four","Five","Six","Seven","Eight","Nine"),CHOOSE(MID(TEXT(AC31,"000000000.00"),3,1)+1,"Ten","Eleven","Twelve","Thirteen","Fourteen","Fifteen","Sixteen","Seventeen","Eighteen","Nineteen"))&amp;IF((--LEFT(TEXT(AC31,"000000000.00"))+MID(TEXT(AC31,"000000000.00"),2,1)+MID(TEXT(AC31,"000000000.00"),3,1))=0,,IF(AND((--MID(TEXT(AC31,"000000000.00"),4,1)+MID(TEXT(AC31,"000000000.00"),5,1)+MID(TEXT(AC31,"000000000.00"),6,1)+MID(TEXT(AC31,"000000000.00"),7,1))=0,(--MID(TEXT(AC31,"000000000.00"),8,1)+RIGHT(TEXT(AC31,"000000000.00")))&gt;0)," Million"," Million "))&amp;CHOOSE(MID(TEXT(AC31,"000000000.00"),4,1)+1,,"One","Two","Three","Four","Five","Six","Seven","Eight","Nine")&amp;IF(--MID(TEXT(AC31,"000000000.00"),4,1)=0,,IF(AND(--MID(TEXT(AC31,"000000000.00"),5,1)=0,--MID(TEXT(AC31,"000000000.00"),6,1)=0)," Hundred"," Hundred "))&amp;CHOOSE(MID(TEXT(AC31,"000000000.00"),5,1)+1,,," Twenty"," Thirty"," Forty"," Fifty"," Sixty"," Seventy"," Eighty"," Ninety")&amp;IF(--MID(TEXT(AC31,"000000000.00"),5,1)&lt;&gt;1,CHOOSE(MID(TEXT(AC31,"000000000.00"),6,1)+1,," One"," Two"," Three"," Four"," Five"," Six"," Seven"," Eight"," Nine"),CHOOSE(MID(TEXT(AC31,"000000000.00"),6,1)+1," Ten"," Eleven"," Twelve"," Thirteen"," Fourteen"," Fifteen"," Sixteen"," Seventeen"," Eighteen"," Nineteen"))&amp;IF((--MID(TEXT(AC31,"000000000.00"),4,1)+MID(TEXT(AC31,"000000000.00"),5,1)+MID(TEXT(AC31,"000000000.00"),6,1))=0,,IF(OR((--MID(TEXT(AC31,"000000000.00"),7,1)+MID(TEXT(AC31,"000000000.00"),8,1)+MID(TEXT(AC31,"000000000.00"),9,1))=0,--MID(TEXT(AC31,"000000000.00"),7,1)&lt;&gt;0)," Thousand "," Thousand "))&amp;CHOOSE(MID(TEXT(AC31,"000000000.00"),7,1)+1,,"One","Two","Three","Four","Five","Six","Seven","Eight","Nine")&amp;IF(--MID(TEXT(AC31,"000000000.00"),7,1)=0,,IF(AND(--MID(TEXT(AC31,"000000000.00"),8,1)=0,--MID(TEXT(AC31,"000000000.00"),9,1)=0)," Hundred "," Hundred "))&amp;CHOOSE(MID(TEXT(AC31,"000000000.00"),8,1)+1,,,"Twenty ","Thirty ","Forty ","Fifty ","Sixty ","Seventy ","Eighty ","Ninety ")&amp;IF(--MID(TEXT(AC31,"000000000.00"),8,1)&lt;&gt;1,CHOOSE(MID(TEXT(AC31,"000000000.00"),9,1)+1,,"One","Two","Three","Four","Five","Six","Seven","Eight","Nine"),CHOOSE(MID(TEXT(AC31,"000000000.00"),9,1)+1,"Ten","Eleven","Twelve","Thirteen","Fourteen","Fifteen","Sixteen","Seventeen","Eighteen","Nineteen"))&amp;" Pesos &amp; "&amp;RIGHT(TEXT(AC31,"000000000.00"),2)&amp;"/100 only")</f>
        <v>#REF!</v>
      </c>
      <c r="U53" s="1337"/>
      <c r="V53" s="1337"/>
      <c r="W53" s="1337"/>
      <c r="X53" s="1337"/>
      <c r="Y53" s="1337"/>
      <c r="Z53" s="1337"/>
      <c r="AA53" s="1337"/>
      <c r="AB53" s="1337"/>
      <c r="AC53" s="1337"/>
      <c r="AD53" s="1337"/>
      <c r="AE53" s="1337"/>
      <c r="AF53" s="1337"/>
      <c r="AG53" s="1337"/>
      <c r="AH53" s="1338"/>
      <c r="AI53" s="72"/>
    </row>
    <row r="54" spans="1:35" s="1" customFormat="1" ht="4.5" customHeight="1">
      <c r="A54" s="1351"/>
      <c r="B54" s="1179"/>
      <c r="C54" s="1179"/>
      <c r="D54" s="1179"/>
      <c r="E54" s="1179"/>
      <c r="F54" s="1179"/>
      <c r="G54" s="117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1"/>
      <c r="T54" s="1339"/>
      <c r="U54" s="1340"/>
      <c r="V54" s="1340"/>
      <c r="W54" s="1340"/>
      <c r="X54" s="1340"/>
      <c r="Y54" s="1340"/>
      <c r="Z54" s="1340"/>
      <c r="AA54" s="1340"/>
      <c r="AB54" s="1340"/>
      <c r="AC54" s="1340"/>
      <c r="AD54" s="1340"/>
      <c r="AE54" s="1340"/>
      <c r="AF54" s="1340"/>
      <c r="AG54" s="1340"/>
      <c r="AH54" s="1341"/>
      <c r="AI54" s="72"/>
    </row>
    <row r="55" spans="1:35" s="1" customFormat="1" ht="11.25" customHeight="1">
      <c r="A55" s="29"/>
      <c r="B55" s="4"/>
      <c r="C55" s="7"/>
      <c r="D55" s="4" t="s">
        <v>183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1"/>
      <c r="T55" s="1339"/>
      <c r="U55" s="1340"/>
      <c r="V55" s="1340"/>
      <c r="W55" s="1340"/>
      <c r="X55" s="1340"/>
      <c r="Y55" s="1340"/>
      <c r="Z55" s="1340"/>
      <c r="AA55" s="1340"/>
      <c r="AB55" s="1340"/>
      <c r="AC55" s="1340"/>
      <c r="AD55" s="1340"/>
      <c r="AE55" s="1340"/>
      <c r="AF55" s="1340"/>
      <c r="AG55" s="1340"/>
      <c r="AH55" s="1341"/>
      <c r="AI55" s="72"/>
    </row>
    <row r="56" spans="1:35" s="1" customFormat="1" ht="7.5" customHeight="1">
      <c r="A56" s="1351"/>
      <c r="B56" s="1179"/>
      <c r="C56" s="1179"/>
      <c r="D56" s="1179"/>
      <c r="E56" s="1179"/>
      <c r="F56" s="1179"/>
      <c r="G56" s="1179"/>
      <c r="H56" s="1179"/>
      <c r="I56" s="1179"/>
      <c r="J56" s="1179"/>
      <c r="K56" s="1179"/>
      <c r="L56" s="1179"/>
      <c r="M56" s="1179"/>
      <c r="N56" s="1179"/>
      <c r="O56" s="1179"/>
      <c r="P56" s="1179"/>
      <c r="Q56" s="1179"/>
      <c r="R56" s="1179"/>
      <c r="S56" s="1180"/>
      <c r="T56" s="1339"/>
      <c r="U56" s="1340"/>
      <c r="V56" s="1340"/>
      <c r="W56" s="1340"/>
      <c r="X56" s="1340"/>
      <c r="Y56" s="1340"/>
      <c r="Z56" s="1340"/>
      <c r="AA56" s="1340"/>
      <c r="AB56" s="1340"/>
      <c r="AC56" s="1340"/>
      <c r="AD56" s="1340"/>
      <c r="AE56" s="1340"/>
      <c r="AF56" s="1340"/>
      <c r="AG56" s="1340"/>
      <c r="AH56" s="1341"/>
      <c r="AI56" s="72"/>
    </row>
    <row r="57" spans="1:35" s="1" customFormat="1" ht="11.25" customHeight="1">
      <c r="A57" s="29"/>
      <c r="B57" s="4"/>
      <c r="C57" s="7"/>
      <c r="D57" s="4" t="s">
        <v>184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1"/>
      <c r="T57" s="1339"/>
      <c r="U57" s="1340"/>
      <c r="V57" s="1340"/>
      <c r="W57" s="1340"/>
      <c r="X57" s="1340"/>
      <c r="Y57" s="1340"/>
      <c r="Z57" s="1340"/>
      <c r="AA57" s="1340"/>
      <c r="AB57" s="1340"/>
      <c r="AC57" s="1340"/>
      <c r="AD57" s="1340"/>
      <c r="AE57" s="1340"/>
      <c r="AF57" s="1340"/>
      <c r="AG57" s="1340"/>
      <c r="AH57" s="1341"/>
      <c r="AI57" s="72"/>
    </row>
    <row r="58" spans="1:35" s="1" customFormat="1" ht="11.25" customHeight="1">
      <c r="A58" s="29"/>
      <c r="B58" s="4"/>
      <c r="C58" s="4"/>
      <c r="D58" s="88" t="s">
        <v>185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61"/>
      <c r="T58" s="1339"/>
      <c r="U58" s="1340"/>
      <c r="V58" s="1340"/>
      <c r="W58" s="1340"/>
      <c r="X58" s="1340"/>
      <c r="Y58" s="1340"/>
      <c r="Z58" s="1340"/>
      <c r="AA58" s="1340"/>
      <c r="AB58" s="1340"/>
      <c r="AC58" s="1340"/>
      <c r="AD58" s="1340"/>
      <c r="AE58" s="1340"/>
      <c r="AF58" s="1340"/>
      <c r="AG58" s="1340"/>
      <c r="AH58" s="1341"/>
      <c r="AI58" s="72"/>
    </row>
    <row r="59" spans="1:35" s="1" customFormat="1" ht="6" customHeight="1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2"/>
      <c r="T59" s="1342"/>
      <c r="U59" s="1343"/>
      <c r="V59" s="1343"/>
      <c r="W59" s="1343"/>
      <c r="X59" s="1343"/>
      <c r="Y59" s="1343"/>
      <c r="Z59" s="1343"/>
      <c r="AA59" s="1343"/>
      <c r="AB59" s="1343"/>
      <c r="AC59" s="1343"/>
      <c r="AD59" s="1343"/>
      <c r="AE59" s="1343"/>
      <c r="AF59" s="1343"/>
      <c r="AG59" s="1343"/>
      <c r="AH59" s="1344"/>
      <c r="AI59" s="72"/>
    </row>
    <row r="60" spans="1:35" s="1" customFormat="1" ht="20.100000000000001" customHeight="1">
      <c r="A60" s="1293" t="s">
        <v>186</v>
      </c>
      <c r="B60" s="1294"/>
      <c r="C60" s="1321"/>
      <c r="D60" s="1321"/>
      <c r="E60" s="1178"/>
      <c r="F60" s="1179"/>
      <c r="G60" s="1179"/>
      <c r="H60" s="1179"/>
      <c r="I60" s="1179"/>
      <c r="J60" s="1179"/>
      <c r="K60" s="1179"/>
      <c r="L60" s="1179"/>
      <c r="M60" s="1179"/>
      <c r="N60" s="1179"/>
      <c r="O60" s="1179"/>
      <c r="P60" s="1179"/>
      <c r="Q60" s="1179"/>
      <c r="R60" s="1179"/>
      <c r="S60" s="1180"/>
      <c r="T60" s="1293" t="s">
        <v>186</v>
      </c>
      <c r="U60" s="1294"/>
      <c r="V60" s="1294"/>
      <c r="W60" s="1324"/>
      <c r="X60" s="1275"/>
      <c r="Y60" s="1266"/>
      <c r="Z60" s="1266"/>
      <c r="AA60" s="1266"/>
      <c r="AB60" s="1266"/>
      <c r="AC60" s="1266"/>
      <c r="AD60" s="1266"/>
      <c r="AE60" s="1266"/>
      <c r="AF60" s="1266"/>
      <c r="AG60" s="1266"/>
      <c r="AH60" s="1276"/>
      <c r="AI60" s="72"/>
    </row>
    <row r="61" spans="1:35" s="1" customFormat="1" ht="20.100000000000001" customHeight="1">
      <c r="A61" s="1322"/>
      <c r="B61" s="1323"/>
      <c r="C61" s="1323"/>
      <c r="D61" s="1323"/>
      <c r="E61" s="1327"/>
      <c r="F61" s="1286"/>
      <c r="G61" s="1286"/>
      <c r="H61" s="1286"/>
      <c r="I61" s="1286"/>
      <c r="J61" s="1286"/>
      <c r="K61" s="1286"/>
      <c r="L61" s="1286"/>
      <c r="M61" s="1286"/>
      <c r="N61" s="1286"/>
      <c r="O61" s="1286"/>
      <c r="P61" s="1286"/>
      <c r="Q61" s="1286"/>
      <c r="R61" s="1286"/>
      <c r="S61" s="1328"/>
      <c r="T61" s="1295"/>
      <c r="U61" s="1296"/>
      <c r="V61" s="1296"/>
      <c r="W61" s="1325"/>
      <c r="X61" s="1329"/>
      <c r="Y61" s="1296"/>
      <c r="Z61" s="1296"/>
      <c r="AA61" s="1296"/>
      <c r="AB61" s="1296"/>
      <c r="AC61" s="1296"/>
      <c r="AD61" s="1296"/>
      <c r="AE61" s="1296"/>
      <c r="AF61" s="1296"/>
      <c r="AG61" s="1296"/>
      <c r="AH61" s="1330"/>
      <c r="AI61" s="72"/>
    </row>
    <row r="62" spans="1:35" s="1" customFormat="1" ht="12" customHeight="1">
      <c r="A62" s="1265" t="s">
        <v>187</v>
      </c>
      <c r="B62" s="1266"/>
      <c r="C62" s="1326"/>
      <c r="D62" s="1326"/>
      <c r="E62" s="1345" t="str">
        <f>'BUR - Gross-D&amp;6'!K33:K33</f>
        <v>VIDA E. PITALLANO, CPA</v>
      </c>
      <c r="F62" s="1346"/>
      <c r="G62" s="1346"/>
      <c r="H62" s="1346"/>
      <c r="I62" s="1346"/>
      <c r="J62" s="1346"/>
      <c r="K62" s="1346"/>
      <c r="L62" s="1346"/>
      <c r="M62" s="1346"/>
      <c r="N62" s="1346"/>
      <c r="O62" s="1346"/>
      <c r="P62" s="1346"/>
      <c r="Q62" s="1346"/>
      <c r="R62" s="1346"/>
      <c r="S62" s="1347"/>
      <c r="T62" s="1265" t="s">
        <v>187</v>
      </c>
      <c r="U62" s="1266"/>
      <c r="V62" s="1266"/>
      <c r="W62" s="1271"/>
      <c r="X62" s="1315" t="str">
        <f>'SUMMARY (1-15)-D&amp;6'!A37</f>
        <v>Engr. MARK CLOYD G. SO</v>
      </c>
      <c r="Y62" s="1316"/>
      <c r="Z62" s="1316"/>
      <c r="AA62" s="1316"/>
      <c r="AB62" s="1316"/>
      <c r="AC62" s="1316"/>
      <c r="AD62" s="1316"/>
      <c r="AE62" s="1316"/>
      <c r="AF62" s="1316"/>
      <c r="AG62" s="1316"/>
      <c r="AH62" s="1317"/>
      <c r="AI62" s="72"/>
    </row>
    <row r="63" spans="1:35" s="1" customFormat="1" ht="12" customHeight="1">
      <c r="A63" s="1322"/>
      <c r="B63" s="1323"/>
      <c r="C63" s="1323"/>
      <c r="D63" s="1323"/>
      <c r="E63" s="1348"/>
      <c r="F63" s="1349"/>
      <c r="G63" s="1349"/>
      <c r="H63" s="1349"/>
      <c r="I63" s="1349"/>
      <c r="J63" s="1349"/>
      <c r="K63" s="1349"/>
      <c r="L63" s="1349"/>
      <c r="M63" s="1349"/>
      <c r="N63" s="1349"/>
      <c r="O63" s="1349"/>
      <c r="P63" s="1349"/>
      <c r="Q63" s="1349"/>
      <c r="R63" s="1349"/>
      <c r="S63" s="1350"/>
      <c r="T63" s="1295"/>
      <c r="U63" s="1296"/>
      <c r="V63" s="1296"/>
      <c r="W63" s="1325"/>
      <c r="X63" s="1318"/>
      <c r="Y63" s="1319"/>
      <c r="Z63" s="1319"/>
      <c r="AA63" s="1319"/>
      <c r="AB63" s="1319"/>
      <c r="AC63" s="1319"/>
      <c r="AD63" s="1319"/>
      <c r="AE63" s="1319"/>
      <c r="AF63" s="1319"/>
      <c r="AG63" s="1319"/>
      <c r="AH63" s="1320"/>
      <c r="AI63" s="72"/>
    </row>
    <row r="64" spans="1:35" s="3" customFormat="1" ht="20.100000000000001" customHeight="1">
      <c r="A64" s="1265" t="s">
        <v>188</v>
      </c>
      <c r="B64" s="1266"/>
      <c r="C64" s="1266"/>
      <c r="D64" s="1266"/>
      <c r="E64" s="1353" t="str">
        <f>'BUR - Gross-D&amp;6'!K34:K34</f>
        <v>Sr. Accounting Processor A</v>
      </c>
      <c r="F64" s="1354"/>
      <c r="G64" s="1354"/>
      <c r="H64" s="1354"/>
      <c r="I64" s="1354"/>
      <c r="J64" s="1354"/>
      <c r="K64" s="1354"/>
      <c r="L64" s="1354"/>
      <c r="M64" s="1354"/>
      <c r="N64" s="1354"/>
      <c r="O64" s="1354"/>
      <c r="P64" s="1354"/>
      <c r="Q64" s="1354"/>
      <c r="R64" s="1354"/>
      <c r="S64" s="1355"/>
      <c r="T64" s="1265" t="s">
        <v>188</v>
      </c>
      <c r="U64" s="1266"/>
      <c r="V64" s="1266"/>
      <c r="W64" s="1271"/>
      <c r="X64" s="1356" t="str">
        <f>'SUMMARY (1-15)-D&amp;6'!A38</f>
        <v>Acting Manager, Albay-Cat IMO</v>
      </c>
      <c r="Y64" s="1357"/>
      <c r="Z64" s="1357"/>
      <c r="AA64" s="1357"/>
      <c r="AB64" s="1357"/>
      <c r="AC64" s="1357"/>
      <c r="AD64" s="1357"/>
      <c r="AE64" s="1357"/>
      <c r="AF64" s="1357"/>
      <c r="AG64" s="1357"/>
      <c r="AH64" s="1358"/>
      <c r="AI64" s="97"/>
    </row>
    <row r="65" spans="1:38" s="1" customFormat="1" ht="15" customHeight="1">
      <c r="A65" s="1295"/>
      <c r="B65" s="1296"/>
      <c r="C65" s="1296"/>
      <c r="D65" s="1296"/>
      <c r="E65" s="1240" t="s">
        <v>189</v>
      </c>
      <c r="F65" s="1241"/>
      <c r="G65" s="1241"/>
      <c r="H65" s="1241"/>
      <c r="I65" s="1241"/>
      <c r="J65" s="1241"/>
      <c r="K65" s="1241"/>
      <c r="L65" s="1241"/>
      <c r="M65" s="1241"/>
      <c r="N65" s="1241"/>
      <c r="O65" s="1242"/>
      <c r="P65" s="1242"/>
      <c r="Q65" s="1242"/>
      <c r="R65" s="1242"/>
      <c r="S65" s="1243"/>
      <c r="T65" s="1295"/>
      <c r="U65" s="1296"/>
      <c r="V65" s="1296"/>
      <c r="W65" s="1325"/>
      <c r="X65" s="1244" t="s">
        <v>190</v>
      </c>
      <c r="Y65" s="1245"/>
      <c r="Z65" s="1245"/>
      <c r="AA65" s="1245"/>
      <c r="AB65" s="1245"/>
      <c r="AC65" s="1245"/>
      <c r="AD65" s="1245"/>
      <c r="AE65" s="1245"/>
      <c r="AF65" s="1245"/>
      <c r="AG65" s="1245"/>
      <c r="AH65" s="1246"/>
      <c r="AI65" s="72"/>
    </row>
    <row r="66" spans="1:38" s="1" customFormat="1" ht="12" customHeight="1">
      <c r="A66" s="1265" t="s">
        <v>53</v>
      </c>
      <c r="B66" s="1266"/>
      <c r="C66" s="1266"/>
      <c r="D66" s="1266"/>
      <c r="E66" s="1178"/>
      <c r="F66" s="1179"/>
      <c r="G66" s="1179"/>
      <c r="H66" s="1179"/>
      <c r="I66" s="1179"/>
      <c r="J66" s="1179"/>
      <c r="K66" s="1179"/>
      <c r="L66" s="1179"/>
      <c r="M66" s="1179"/>
      <c r="N66" s="1179"/>
      <c r="O66" s="1179"/>
      <c r="P66" s="1179"/>
      <c r="Q66" s="1179"/>
      <c r="R66" s="1179"/>
      <c r="S66" s="1180"/>
      <c r="T66" s="1265" t="s">
        <v>53</v>
      </c>
      <c r="U66" s="1266"/>
      <c r="V66" s="1266"/>
      <c r="W66" s="1271"/>
      <c r="X66" s="1275"/>
      <c r="Y66" s="1266"/>
      <c r="Z66" s="1266"/>
      <c r="AA66" s="1266"/>
      <c r="AB66" s="1266"/>
      <c r="AC66" s="1266"/>
      <c r="AD66" s="1266"/>
      <c r="AE66" s="1266"/>
      <c r="AF66" s="1266"/>
      <c r="AG66" s="1266"/>
      <c r="AH66" s="1276"/>
      <c r="AI66" s="72"/>
    </row>
    <row r="67" spans="1:38" s="1" customFormat="1" ht="12" customHeight="1" thickBot="1">
      <c r="A67" s="1267"/>
      <c r="B67" s="1268"/>
      <c r="C67" s="1268"/>
      <c r="D67" s="1268"/>
      <c r="E67" s="1269"/>
      <c r="F67" s="1169"/>
      <c r="G67" s="1169"/>
      <c r="H67" s="1169"/>
      <c r="I67" s="1169"/>
      <c r="J67" s="1169"/>
      <c r="K67" s="1169"/>
      <c r="L67" s="1169"/>
      <c r="M67" s="1169"/>
      <c r="N67" s="1169"/>
      <c r="O67" s="1169"/>
      <c r="P67" s="1169"/>
      <c r="Q67" s="1169"/>
      <c r="R67" s="1169"/>
      <c r="S67" s="1270"/>
      <c r="T67" s="1272"/>
      <c r="U67" s="1273"/>
      <c r="V67" s="1273"/>
      <c r="W67" s="1274"/>
      <c r="X67" s="1277"/>
      <c r="Y67" s="1273"/>
      <c r="Z67" s="1273"/>
      <c r="AA67" s="1273"/>
      <c r="AB67" s="1273"/>
      <c r="AC67" s="1273"/>
      <c r="AD67" s="1273"/>
      <c r="AE67" s="1273"/>
      <c r="AF67" s="1273"/>
      <c r="AG67" s="1273"/>
      <c r="AH67" s="1278"/>
      <c r="AI67" s="72"/>
    </row>
    <row r="68" spans="1:38" s="1" customFormat="1" ht="14.1" customHeight="1">
      <c r="A68" s="38" t="s">
        <v>191</v>
      </c>
      <c r="B68" s="39"/>
      <c r="C68" s="39" t="s">
        <v>192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94"/>
      <c r="AC68" s="95" t="s">
        <v>193</v>
      </c>
      <c r="AD68" s="95"/>
      <c r="AE68" s="95"/>
      <c r="AF68" s="1160"/>
      <c r="AG68" s="1160"/>
      <c r="AH68" s="1161"/>
      <c r="AI68" s="72"/>
    </row>
    <row r="69" spans="1:38" s="1" customFormat="1" ht="15" customHeight="1">
      <c r="A69" s="1293" t="s">
        <v>194</v>
      </c>
      <c r="B69" s="1294"/>
      <c r="C69" s="1294"/>
      <c r="D69" s="1294"/>
      <c r="E69" s="1237"/>
      <c r="F69" s="1237"/>
      <c r="G69" s="1237"/>
      <c r="H69" s="1237"/>
      <c r="I69" s="1237"/>
      <c r="J69" s="1237"/>
      <c r="K69" s="1237"/>
      <c r="L69" s="1259" t="s">
        <v>159</v>
      </c>
      <c r="M69" s="1259"/>
      <c r="N69" s="1259"/>
      <c r="O69" s="1259"/>
      <c r="P69" s="1259"/>
      <c r="Q69" s="1259"/>
      <c r="R69" s="1259"/>
      <c r="S69" s="1260"/>
      <c r="T69" s="1279" t="s">
        <v>195</v>
      </c>
      <c r="U69" s="1280"/>
      <c r="V69" s="1280"/>
      <c r="W69" s="1280"/>
      <c r="X69" s="1280"/>
      <c r="Y69" s="1280"/>
      <c r="Z69" s="1280"/>
      <c r="AA69" s="1280"/>
      <c r="AB69" s="1281"/>
      <c r="AC69" s="6"/>
      <c r="AD69" s="6"/>
      <c r="AE69" s="6"/>
      <c r="AF69" s="6"/>
      <c r="AG69" s="6"/>
      <c r="AH69" s="62"/>
      <c r="AI69" s="72"/>
    </row>
    <row r="70" spans="1:38" s="1" customFormat="1" ht="15" customHeight="1">
      <c r="A70" s="1295"/>
      <c r="B70" s="1296"/>
      <c r="C70" s="1296"/>
      <c r="D70" s="1296"/>
      <c r="E70" s="1237"/>
      <c r="F70" s="1237"/>
      <c r="G70" s="1237"/>
      <c r="H70" s="1237"/>
      <c r="I70" s="1237"/>
      <c r="J70" s="1237"/>
      <c r="K70" s="1237"/>
      <c r="L70" s="1263"/>
      <c r="M70" s="1263"/>
      <c r="N70" s="1263"/>
      <c r="O70" s="1263"/>
      <c r="P70" s="1263"/>
      <c r="Q70" s="1263"/>
      <c r="R70" s="1263"/>
      <c r="S70" s="1264"/>
      <c r="T70" s="1282"/>
      <c r="U70" s="1283"/>
      <c r="V70" s="1283"/>
      <c r="W70" s="1283"/>
      <c r="X70" s="1283"/>
      <c r="Y70" s="1283"/>
      <c r="Z70" s="1283"/>
      <c r="AA70" s="1283"/>
      <c r="AB70" s="1284"/>
      <c r="AC70" s="90"/>
      <c r="AD70" s="90"/>
      <c r="AE70" s="91"/>
      <c r="AF70" s="91"/>
      <c r="AG70" s="91"/>
      <c r="AH70" s="93"/>
      <c r="AI70" s="72"/>
    </row>
    <row r="71" spans="1:38" s="1" customFormat="1" ht="15" customHeight="1">
      <c r="A71" s="1265" t="s">
        <v>196</v>
      </c>
      <c r="B71" s="1266"/>
      <c r="C71" s="1261"/>
      <c r="D71" s="1261"/>
      <c r="E71" s="1237"/>
      <c r="F71" s="1237"/>
      <c r="G71" s="1237"/>
      <c r="H71" s="1237"/>
      <c r="I71" s="1237"/>
      <c r="J71" s="1237"/>
      <c r="K71" s="1237"/>
      <c r="L71" s="1259" t="s">
        <v>159</v>
      </c>
      <c r="M71" s="1259"/>
      <c r="N71" s="1259"/>
      <c r="O71" s="1259"/>
      <c r="P71" s="1259"/>
      <c r="Q71" s="1259"/>
      <c r="R71" s="1259"/>
      <c r="S71" s="1260"/>
      <c r="T71" s="1258" t="s">
        <v>140</v>
      </c>
      <c r="U71" s="1259"/>
      <c r="V71" s="1259"/>
      <c r="W71" s="1259"/>
      <c r="X71" s="1259"/>
      <c r="Y71" s="1259"/>
      <c r="Z71" s="1259"/>
      <c r="AA71" s="1259"/>
      <c r="AB71" s="1260"/>
      <c r="AC71" s="96" t="s">
        <v>53</v>
      </c>
      <c r="AD71" s="96"/>
      <c r="AE71" s="1261"/>
      <c r="AF71" s="1261"/>
      <c r="AG71" s="1261"/>
      <c r="AH71" s="1262"/>
      <c r="AI71" s="72"/>
    </row>
    <row r="72" spans="1:38" s="1" customFormat="1" ht="15" customHeight="1">
      <c r="A72" s="1285"/>
      <c r="B72" s="1286"/>
      <c r="C72" s="1286"/>
      <c r="D72" s="1286"/>
      <c r="E72" s="1237"/>
      <c r="F72" s="1237"/>
      <c r="G72" s="1237"/>
      <c r="H72" s="1237"/>
      <c r="I72" s="1237"/>
      <c r="J72" s="1237"/>
      <c r="K72" s="1237"/>
      <c r="L72" s="1263"/>
      <c r="M72" s="1263"/>
      <c r="N72" s="1263"/>
      <c r="O72" s="1263"/>
      <c r="P72" s="1263"/>
      <c r="Q72" s="1263"/>
      <c r="R72" s="1263"/>
      <c r="S72" s="1264"/>
      <c r="T72" s="1287" t="str">
        <f>E10</f>
        <v>SSS</v>
      </c>
      <c r="U72" s="1288"/>
      <c r="V72" s="1288"/>
      <c r="W72" s="1288"/>
      <c r="X72" s="1288"/>
      <c r="Y72" s="1288"/>
      <c r="Z72" s="1288"/>
      <c r="AA72" s="1288"/>
      <c r="AB72" s="1289"/>
      <c r="AC72" s="1179"/>
      <c r="AD72" s="1179"/>
      <c r="AE72" s="1179"/>
      <c r="AF72" s="1179"/>
      <c r="AG72" s="1179"/>
      <c r="AH72" s="1180"/>
      <c r="AI72" s="72"/>
    </row>
    <row r="73" spans="1:38" s="1" customFormat="1" ht="15.6" customHeight="1" thickBot="1">
      <c r="A73" s="1290" t="s">
        <v>197</v>
      </c>
      <c r="B73" s="1291"/>
      <c r="C73" s="1291"/>
      <c r="D73" s="1291"/>
      <c r="E73" s="1291"/>
      <c r="F73" s="1291"/>
      <c r="G73" s="1291"/>
      <c r="H73" s="1291"/>
      <c r="I73" s="1291"/>
      <c r="J73" s="1291"/>
      <c r="K73" s="1291"/>
      <c r="L73" s="1291"/>
      <c r="M73" s="1291"/>
      <c r="N73" s="1291"/>
      <c r="O73" s="1291"/>
      <c r="P73" s="1291"/>
      <c r="Q73" s="1291"/>
      <c r="R73" s="1291"/>
      <c r="S73" s="1291"/>
      <c r="T73" s="1291"/>
      <c r="U73" s="1291"/>
      <c r="V73" s="1291"/>
      <c r="W73" s="1291"/>
      <c r="X73" s="1291"/>
      <c r="Y73" s="1291"/>
      <c r="Z73" s="1291"/>
      <c r="AA73" s="1291"/>
      <c r="AB73" s="1292"/>
      <c r="AC73" s="1169"/>
      <c r="AD73" s="1169"/>
      <c r="AE73" s="1169"/>
      <c r="AF73" s="1169"/>
      <c r="AG73" s="1169"/>
      <c r="AH73" s="1270"/>
      <c r="AI73" s="98"/>
      <c r="AJ73" s="99"/>
      <c r="AK73" s="99"/>
      <c r="AL73" s="99"/>
    </row>
  </sheetData>
  <sheetProtection selectLockedCells="1"/>
  <mergeCells count="116">
    <mergeCell ref="A71:D72"/>
    <mergeCell ref="E71:K72"/>
    <mergeCell ref="L71:S72"/>
    <mergeCell ref="T71:AB71"/>
    <mergeCell ref="AE71:AH71"/>
    <mergeCell ref="T72:AB72"/>
    <mergeCell ref="AC72:AH73"/>
    <mergeCell ref="A73:AB73"/>
    <mergeCell ref="A66:D67"/>
    <mergeCell ref="E66:S67"/>
    <mergeCell ref="T66:W67"/>
    <mergeCell ref="X66:AH67"/>
    <mergeCell ref="AF68:AH68"/>
    <mergeCell ref="A69:D70"/>
    <mergeCell ref="E69:K70"/>
    <mergeCell ref="L69:S70"/>
    <mergeCell ref="T69:AB70"/>
    <mergeCell ref="A62:D63"/>
    <mergeCell ref="E62:S63"/>
    <mergeCell ref="T62:W63"/>
    <mergeCell ref="X62:AH63"/>
    <mergeCell ref="A64:D65"/>
    <mergeCell ref="E64:S64"/>
    <mergeCell ref="T64:W65"/>
    <mergeCell ref="X64:AH64"/>
    <mergeCell ref="E65:S65"/>
    <mergeCell ref="X65:AH65"/>
    <mergeCell ref="T53:AH59"/>
    <mergeCell ref="A54:G54"/>
    <mergeCell ref="A56:S56"/>
    <mergeCell ref="A60:D61"/>
    <mergeCell ref="E60:S61"/>
    <mergeCell ref="T60:W61"/>
    <mergeCell ref="X60:AH61"/>
    <mergeCell ref="T47:X47"/>
    <mergeCell ref="T48:X48"/>
    <mergeCell ref="T49:X49"/>
    <mergeCell ref="T50:X50"/>
    <mergeCell ref="T51:X51"/>
    <mergeCell ref="U52:AE52"/>
    <mergeCell ref="H41:Q41"/>
    <mergeCell ref="T41:X41"/>
    <mergeCell ref="Y41:AC41"/>
    <mergeCell ref="T42:X42"/>
    <mergeCell ref="AD42:AH42"/>
    <mergeCell ref="T46:X46"/>
    <mergeCell ref="C32:AH32"/>
    <mergeCell ref="C35:AG35"/>
    <mergeCell ref="C36:AG36"/>
    <mergeCell ref="C37:AG37"/>
    <mergeCell ref="L38:Y38"/>
    <mergeCell ref="A40:S40"/>
    <mergeCell ref="T40:X40"/>
    <mergeCell ref="Y40:AC40"/>
    <mergeCell ref="AD40:AH40"/>
    <mergeCell ref="F30:H30"/>
    <mergeCell ref="I30:K30"/>
    <mergeCell ref="L30:N30"/>
    <mergeCell ref="O30:Q30"/>
    <mergeCell ref="A31:R31"/>
    <mergeCell ref="AC31:AH31"/>
    <mergeCell ref="C24:I24"/>
    <mergeCell ref="K24:M24"/>
    <mergeCell ref="O28:Q28"/>
    <mergeCell ref="C29:E29"/>
    <mergeCell ref="F29:H29"/>
    <mergeCell ref="I29:K29"/>
    <mergeCell ref="L29:N29"/>
    <mergeCell ref="O29:Q29"/>
    <mergeCell ref="D25:I25"/>
    <mergeCell ref="K25:M25"/>
    <mergeCell ref="S15:W30"/>
    <mergeCell ref="X15:AB30"/>
    <mergeCell ref="A17:R18"/>
    <mergeCell ref="AC17:AH18"/>
    <mergeCell ref="F20:H20"/>
    <mergeCell ref="K20:M20"/>
    <mergeCell ref="O20:Q20"/>
    <mergeCell ref="D21:I21"/>
    <mergeCell ref="D23:I23"/>
    <mergeCell ref="K26:M26"/>
    <mergeCell ref="O26:Q26"/>
    <mergeCell ref="D27:I27"/>
    <mergeCell ref="K27:M27"/>
    <mergeCell ref="K22:M22"/>
    <mergeCell ref="O22:Q22"/>
    <mergeCell ref="D22:I22"/>
    <mergeCell ref="K23:M23"/>
    <mergeCell ref="O23:Q23"/>
    <mergeCell ref="O24:Q24"/>
    <mergeCell ref="K21:M21"/>
    <mergeCell ref="A12:D13"/>
    <mergeCell ref="E12:AH13"/>
    <mergeCell ref="A14:R14"/>
    <mergeCell ref="S14:W14"/>
    <mergeCell ref="X14:AB14"/>
    <mergeCell ref="AC14:AH14"/>
    <mergeCell ref="A7:D9"/>
    <mergeCell ref="E7:AH7"/>
    <mergeCell ref="J9:N9"/>
    <mergeCell ref="P9:U9"/>
    <mergeCell ref="A10:D11"/>
    <mergeCell ref="E10:S11"/>
    <mergeCell ref="T10:AB10"/>
    <mergeCell ref="AC10:AH10"/>
    <mergeCell ref="T11:AB11"/>
    <mergeCell ref="AC11:AH11"/>
    <mergeCell ref="AC1:AH1"/>
    <mergeCell ref="A2:AB2"/>
    <mergeCell ref="AC2:AH2"/>
    <mergeCell ref="A3:AB3"/>
    <mergeCell ref="AC3:AH3"/>
    <mergeCell ref="A4:AB6"/>
    <mergeCell ref="AC4:AH4"/>
    <mergeCell ref="AC5:AH5"/>
    <mergeCell ref="AC6:AH6"/>
  </mergeCells>
  <printOptions horizontalCentered="1"/>
  <pageMargins left="0.5" right="0.25" top="0.75" bottom="0.390625" header="0.3" footer="0.3"/>
  <pageSetup paperSize="14" scale="75" fitToWidth="0" fitToHeight="0" orientation="portrait" r:id="rId1"/>
  <headerFooter>
    <oddFooter>&amp;L&amp;"Tahoma,Italic"&amp;8NIA-RO V-AFD-FIN-INT-Form13Rev00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2:AI32"/>
  <sheetViews>
    <sheetView topLeftCell="A13" zoomScale="70" zoomScaleNormal="85" zoomScalePageLayoutView="70" workbookViewId="0">
      <selection activeCell="B20" sqref="B20:C20"/>
    </sheetView>
  </sheetViews>
  <sheetFormatPr defaultColWidth="9" defaultRowHeight="12.75"/>
  <cols>
    <col min="1" max="1" width="5.7109375" style="184" customWidth="1"/>
    <col min="2" max="2" width="33.7109375" style="184" customWidth="1"/>
    <col min="3" max="3" width="21.5703125" style="184" customWidth="1"/>
    <col min="4" max="18" width="3.5703125" style="184" customWidth="1"/>
    <col min="19" max="19" width="3.5703125" style="184" hidden="1" customWidth="1"/>
    <col min="20" max="20" width="6.7109375" style="184" customWidth="1"/>
    <col min="21" max="21" width="11.5703125" style="347" customWidth="1"/>
    <col min="22" max="22" width="17.28515625" style="347" customWidth="1"/>
    <col min="23" max="24" width="15.7109375" style="347" customWidth="1"/>
    <col min="25" max="25" width="15.7109375" style="222" customWidth="1"/>
    <col min="26" max="26" width="18.7109375" style="222" customWidth="1"/>
    <col min="27" max="27" width="18.42578125" style="347" customWidth="1"/>
    <col min="28" max="28" width="18.85546875" style="347" customWidth="1"/>
    <col min="29" max="29" width="22.85546875" style="347" customWidth="1"/>
    <col min="30" max="30" width="4.42578125" style="184" customWidth="1"/>
    <col min="31" max="31" width="18" style="184" customWidth="1"/>
    <col min="32" max="34" width="9" style="184"/>
    <col min="35" max="35" width="12.85546875" style="184" customWidth="1"/>
    <col min="36" max="257" width="9" style="184"/>
    <col min="258" max="258" width="2.5703125" style="184" customWidth="1"/>
    <col min="259" max="259" width="27.5703125" style="184" customWidth="1"/>
    <col min="260" max="260" width="16.140625" style="184" customWidth="1"/>
    <col min="261" max="276" width="3.5703125" style="184" customWidth="1"/>
    <col min="277" max="277" width="5.5703125" style="184" customWidth="1"/>
    <col min="278" max="278" width="11.5703125" style="184" customWidth="1"/>
    <col min="279" max="279" width="15.7109375" style="184" customWidth="1"/>
    <col min="280" max="282" width="13.42578125" style="184" customWidth="1"/>
    <col min="283" max="283" width="15.7109375" style="184" customWidth="1"/>
    <col min="284" max="284" width="16.140625" style="184" customWidth="1"/>
    <col min="285" max="285" width="9" style="184"/>
    <col min="286" max="286" width="13" style="184" customWidth="1"/>
    <col min="287" max="513" width="9" style="184"/>
    <col min="514" max="514" width="2.5703125" style="184" customWidth="1"/>
    <col min="515" max="515" width="27.5703125" style="184" customWidth="1"/>
    <col min="516" max="516" width="16.140625" style="184" customWidth="1"/>
    <col min="517" max="532" width="3.5703125" style="184" customWidth="1"/>
    <col min="533" max="533" width="5.5703125" style="184" customWidth="1"/>
    <col min="534" max="534" width="11.5703125" style="184" customWidth="1"/>
    <col min="535" max="535" width="15.7109375" style="184" customWidth="1"/>
    <col min="536" max="538" width="13.42578125" style="184" customWidth="1"/>
    <col min="539" max="539" width="15.7109375" style="184" customWidth="1"/>
    <col min="540" max="540" width="16.140625" style="184" customWidth="1"/>
    <col min="541" max="541" width="9" style="184"/>
    <col min="542" max="542" width="13" style="184" customWidth="1"/>
    <col min="543" max="769" width="9" style="184"/>
    <col min="770" max="770" width="2.5703125" style="184" customWidth="1"/>
    <col min="771" max="771" width="27.5703125" style="184" customWidth="1"/>
    <col min="772" max="772" width="16.140625" style="184" customWidth="1"/>
    <col min="773" max="788" width="3.5703125" style="184" customWidth="1"/>
    <col min="789" max="789" width="5.5703125" style="184" customWidth="1"/>
    <col min="790" max="790" width="11.5703125" style="184" customWidth="1"/>
    <col min="791" max="791" width="15.7109375" style="184" customWidth="1"/>
    <col min="792" max="794" width="13.42578125" style="184" customWidth="1"/>
    <col min="795" max="795" width="15.7109375" style="184" customWidth="1"/>
    <col min="796" max="796" width="16.140625" style="184" customWidth="1"/>
    <col min="797" max="797" width="9" style="184"/>
    <col min="798" max="798" width="13" style="184" customWidth="1"/>
    <col min="799" max="1025" width="9" style="184"/>
    <col min="1026" max="1026" width="2.5703125" style="184" customWidth="1"/>
    <col min="1027" max="1027" width="27.5703125" style="184" customWidth="1"/>
    <col min="1028" max="1028" width="16.140625" style="184" customWidth="1"/>
    <col min="1029" max="1044" width="3.5703125" style="184" customWidth="1"/>
    <col min="1045" max="1045" width="5.5703125" style="184" customWidth="1"/>
    <col min="1046" max="1046" width="11.5703125" style="184" customWidth="1"/>
    <col min="1047" max="1047" width="15.7109375" style="184" customWidth="1"/>
    <col min="1048" max="1050" width="13.42578125" style="184" customWidth="1"/>
    <col min="1051" max="1051" width="15.7109375" style="184" customWidth="1"/>
    <col min="1052" max="1052" width="16.140625" style="184" customWidth="1"/>
    <col min="1053" max="1053" width="9" style="184"/>
    <col min="1054" max="1054" width="13" style="184" customWidth="1"/>
    <col min="1055" max="1281" width="9" style="184"/>
    <col min="1282" max="1282" width="2.5703125" style="184" customWidth="1"/>
    <col min="1283" max="1283" width="27.5703125" style="184" customWidth="1"/>
    <col min="1284" max="1284" width="16.140625" style="184" customWidth="1"/>
    <col min="1285" max="1300" width="3.5703125" style="184" customWidth="1"/>
    <col min="1301" max="1301" width="5.5703125" style="184" customWidth="1"/>
    <col min="1302" max="1302" width="11.5703125" style="184" customWidth="1"/>
    <col min="1303" max="1303" width="15.7109375" style="184" customWidth="1"/>
    <col min="1304" max="1306" width="13.42578125" style="184" customWidth="1"/>
    <col min="1307" max="1307" width="15.7109375" style="184" customWidth="1"/>
    <col min="1308" max="1308" width="16.140625" style="184" customWidth="1"/>
    <col min="1309" max="1309" width="9" style="184"/>
    <col min="1310" max="1310" width="13" style="184" customWidth="1"/>
    <col min="1311" max="1537" width="9" style="184"/>
    <col min="1538" max="1538" width="2.5703125" style="184" customWidth="1"/>
    <col min="1539" max="1539" width="27.5703125" style="184" customWidth="1"/>
    <col min="1540" max="1540" width="16.140625" style="184" customWidth="1"/>
    <col min="1541" max="1556" width="3.5703125" style="184" customWidth="1"/>
    <col min="1557" max="1557" width="5.5703125" style="184" customWidth="1"/>
    <col min="1558" max="1558" width="11.5703125" style="184" customWidth="1"/>
    <col min="1559" max="1559" width="15.7109375" style="184" customWidth="1"/>
    <col min="1560" max="1562" width="13.42578125" style="184" customWidth="1"/>
    <col min="1563" max="1563" width="15.7109375" style="184" customWidth="1"/>
    <col min="1564" max="1564" width="16.140625" style="184" customWidth="1"/>
    <col min="1565" max="1565" width="9" style="184"/>
    <col min="1566" max="1566" width="13" style="184" customWidth="1"/>
    <col min="1567" max="1793" width="9" style="184"/>
    <col min="1794" max="1794" width="2.5703125" style="184" customWidth="1"/>
    <col min="1795" max="1795" width="27.5703125" style="184" customWidth="1"/>
    <col min="1796" max="1796" width="16.140625" style="184" customWidth="1"/>
    <col min="1797" max="1812" width="3.5703125" style="184" customWidth="1"/>
    <col min="1813" max="1813" width="5.5703125" style="184" customWidth="1"/>
    <col min="1814" max="1814" width="11.5703125" style="184" customWidth="1"/>
    <col min="1815" max="1815" width="15.7109375" style="184" customWidth="1"/>
    <col min="1816" max="1818" width="13.42578125" style="184" customWidth="1"/>
    <col min="1819" max="1819" width="15.7109375" style="184" customWidth="1"/>
    <col min="1820" max="1820" width="16.140625" style="184" customWidth="1"/>
    <col min="1821" max="1821" width="9" style="184"/>
    <col min="1822" max="1822" width="13" style="184" customWidth="1"/>
    <col min="1823" max="2049" width="9" style="184"/>
    <col min="2050" max="2050" width="2.5703125" style="184" customWidth="1"/>
    <col min="2051" max="2051" width="27.5703125" style="184" customWidth="1"/>
    <col min="2052" max="2052" width="16.140625" style="184" customWidth="1"/>
    <col min="2053" max="2068" width="3.5703125" style="184" customWidth="1"/>
    <col min="2069" max="2069" width="5.5703125" style="184" customWidth="1"/>
    <col min="2070" max="2070" width="11.5703125" style="184" customWidth="1"/>
    <col min="2071" max="2071" width="15.7109375" style="184" customWidth="1"/>
    <col min="2072" max="2074" width="13.42578125" style="184" customWidth="1"/>
    <col min="2075" max="2075" width="15.7109375" style="184" customWidth="1"/>
    <col min="2076" max="2076" width="16.140625" style="184" customWidth="1"/>
    <col min="2077" max="2077" width="9" style="184"/>
    <col min="2078" max="2078" width="13" style="184" customWidth="1"/>
    <col min="2079" max="2305" width="9" style="184"/>
    <col min="2306" max="2306" width="2.5703125" style="184" customWidth="1"/>
    <col min="2307" max="2307" width="27.5703125" style="184" customWidth="1"/>
    <col min="2308" max="2308" width="16.140625" style="184" customWidth="1"/>
    <col min="2309" max="2324" width="3.5703125" style="184" customWidth="1"/>
    <col min="2325" max="2325" width="5.5703125" style="184" customWidth="1"/>
    <col min="2326" max="2326" width="11.5703125" style="184" customWidth="1"/>
    <col min="2327" max="2327" width="15.7109375" style="184" customWidth="1"/>
    <col min="2328" max="2330" width="13.42578125" style="184" customWidth="1"/>
    <col min="2331" max="2331" width="15.7109375" style="184" customWidth="1"/>
    <col min="2332" max="2332" width="16.140625" style="184" customWidth="1"/>
    <col min="2333" max="2333" width="9" style="184"/>
    <col min="2334" max="2334" width="13" style="184" customWidth="1"/>
    <col min="2335" max="2561" width="9" style="184"/>
    <col min="2562" max="2562" width="2.5703125" style="184" customWidth="1"/>
    <col min="2563" max="2563" width="27.5703125" style="184" customWidth="1"/>
    <col min="2564" max="2564" width="16.140625" style="184" customWidth="1"/>
    <col min="2565" max="2580" width="3.5703125" style="184" customWidth="1"/>
    <col min="2581" max="2581" width="5.5703125" style="184" customWidth="1"/>
    <col min="2582" max="2582" width="11.5703125" style="184" customWidth="1"/>
    <col min="2583" max="2583" width="15.7109375" style="184" customWidth="1"/>
    <col min="2584" max="2586" width="13.42578125" style="184" customWidth="1"/>
    <col min="2587" max="2587" width="15.7109375" style="184" customWidth="1"/>
    <col min="2588" max="2588" width="16.140625" style="184" customWidth="1"/>
    <col min="2589" max="2589" width="9" style="184"/>
    <col min="2590" max="2590" width="13" style="184" customWidth="1"/>
    <col min="2591" max="2817" width="9" style="184"/>
    <col min="2818" max="2818" width="2.5703125" style="184" customWidth="1"/>
    <col min="2819" max="2819" width="27.5703125" style="184" customWidth="1"/>
    <col min="2820" max="2820" width="16.140625" style="184" customWidth="1"/>
    <col min="2821" max="2836" width="3.5703125" style="184" customWidth="1"/>
    <col min="2837" max="2837" width="5.5703125" style="184" customWidth="1"/>
    <col min="2838" max="2838" width="11.5703125" style="184" customWidth="1"/>
    <col min="2839" max="2839" width="15.7109375" style="184" customWidth="1"/>
    <col min="2840" max="2842" width="13.42578125" style="184" customWidth="1"/>
    <col min="2843" max="2843" width="15.7109375" style="184" customWidth="1"/>
    <col min="2844" max="2844" width="16.140625" style="184" customWidth="1"/>
    <col min="2845" max="2845" width="9" style="184"/>
    <col min="2846" max="2846" width="13" style="184" customWidth="1"/>
    <col min="2847" max="3073" width="9" style="184"/>
    <col min="3074" max="3074" width="2.5703125" style="184" customWidth="1"/>
    <col min="3075" max="3075" width="27.5703125" style="184" customWidth="1"/>
    <col min="3076" max="3076" width="16.140625" style="184" customWidth="1"/>
    <col min="3077" max="3092" width="3.5703125" style="184" customWidth="1"/>
    <col min="3093" max="3093" width="5.5703125" style="184" customWidth="1"/>
    <col min="3094" max="3094" width="11.5703125" style="184" customWidth="1"/>
    <col min="3095" max="3095" width="15.7109375" style="184" customWidth="1"/>
    <col min="3096" max="3098" width="13.42578125" style="184" customWidth="1"/>
    <col min="3099" max="3099" width="15.7109375" style="184" customWidth="1"/>
    <col min="3100" max="3100" width="16.140625" style="184" customWidth="1"/>
    <col min="3101" max="3101" width="9" style="184"/>
    <col min="3102" max="3102" width="13" style="184" customWidth="1"/>
    <col min="3103" max="3329" width="9" style="184"/>
    <col min="3330" max="3330" width="2.5703125" style="184" customWidth="1"/>
    <col min="3331" max="3331" width="27.5703125" style="184" customWidth="1"/>
    <col min="3332" max="3332" width="16.140625" style="184" customWidth="1"/>
    <col min="3333" max="3348" width="3.5703125" style="184" customWidth="1"/>
    <col min="3349" max="3349" width="5.5703125" style="184" customWidth="1"/>
    <col min="3350" max="3350" width="11.5703125" style="184" customWidth="1"/>
    <col min="3351" max="3351" width="15.7109375" style="184" customWidth="1"/>
    <col min="3352" max="3354" width="13.42578125" style="184" customWidth="1"/>
    <col min="3355" max="3355" width="15.7109375" style="184" customWidth="1"/>
    <col min="3356" max="3356" width="16.140625" style="184" customWidth="1"/>
    <col min="3357" max="3357" width="9" style="184"/>
    <col min="3358" max="3358" width="13" style="184" customWidth="1"/>
    <col min="3359" max="3585" width="9" style="184"/>
    <col min="3586" max="3586" width="2.5703125" style="184" customWidth="1"/>
    <col min="3587" max="3587" width="27.5703125" style="184" customWidth="1"/>
    <col min="3588" max="3588" width="16.140625" style="184" customWidth="1"/>
    <col min="3589" max="3604" width="3.5703125" style="184" customWidth="1"/>
    <col min="3605" max="3605" width="5.5703125" style="184" customWidth="1"/>
    <col min="3606" max="3606" width="11.5703125" style="184" customWidth="1"/>
    <col min="3607" max="3607" width="15.7109375" style="184" customWidth="1"/>
    <col min="3608" max="3610" width="13.42578125" style="184" customWidth="1"/>
    <col min="3611" max="3611" width="15.7109375" style="184" customWidth="1"/>
    <col min="3612" max="3612" width="16.140625" style="184" customWidth="1"/>
    <col min="3613" max="3613" width="9" style="184"/>
    <col min="3614" max="3614" width="13" style="184" customWidth="1"/>
    <col min="3615" max="3841" width="9" style="184"/>
    <col min="3842" max="3842" width="2.5703125" style="184" customWidth="1"/>
    <col min="3843" max="3843" width="27.5703125" style="184" customWidth="1"/>
    <col min="3844" max="3844" width="16.140625" style="184" customWidth="1"/>
    <col min="3845" max="3860" width="3.5703125" style="184" customWidth="1"/>
    <col min="3861" max="3861" width="5.5703125" style="184" customWidth="1"/>
    <col min="3862" max="3862" width="11.5703125" style="184" customWidth="1"/>
    <col min="3863" max="3863" width="15.7109375" style="184" customWidth="1"/>
    <col min="3864" max="3866" width="13.42578125" style="184" customWidth="1"/>
    <col min="3867" max="3867" width="15.7109375" style="184" customWidth="1"/>
    <col min="3868" max="3868" width="16.140625" style="184" customWidth="1"/>
    <col min="3869" max="3869" width="9" style="184"/>
    <col min="3870" max="3870" width="13" style="184" customWidth="1"/>
    <col min="3871" max="4097" width="9" style="184"/>
    <col min="4098" max="4098" width="2.5703125" style="184" customWidth="1"/>
    <col min="4099" max="4099" width="27.5703125" style="184" customWidth="1"/>
    <col min="4100" max="4100" width="16.140625" style="184" customWidth="1"/>
    <col min="4101" max="4116" width="3.5703125" style="184" customWidth="1"/>
    <col min="4117" max="4117" width="5.5703125" style="184" customWidth="1"/>
    <col min="4118" max="4118" width="11.5703125" style="184" customWidth="1"/>
    <col min="4119" max="4119" width="15.7109375" style="184" customWidth="1"/>
    <col min="4120" max="4122" width="13.42578125" style="184" customWidth="1"/>
    <col min="4123" max="4123" width="15.7109375" style="184" customWidth="1"/>
    <col min="4124" max="4124" width="16.140625" style="184" customWidth="1"/>
    <col min="4125" max="4125" width="9" style="184"/>
    <col min="4126" max="4126" width="13" style="184" customWidth="1"/>
    <col min="4127" max="4353" width="9" style="184"/>
    <col min="4354" max="4354" width="2.5703125" style="184" customWidth="1"/>
    <col min="4355" max="4355" width="27.5703125" style="184" customWidth="1"/>
    <col min="4356" max="4356" width="16.140625" style="184" customWidth="1"/>
    <col min="4357" max="4372" width="3.5703125" style="184" customWidth="1"/>
    <col min="4373" max="4373" width="5.5703125" style="184" customWidth="1"/>
    <col min="4374" max="4374" width="11.5703125" style="184" customWidth="1"/>
    <col min="4375" max="4375" width="15.7109375" style="184" customWidth="1"/>
    <col min="4376" max="4378" width="13.42578125" style="184" customWidth="1"/>
    <col min="4379" max="4379" width="15.7109375" style="184" customWidth="1"/>
    <col min="4380" max="4380" width="16.140625" style="184" customWidth="1"/>
    <col min="4381" max="4381" width="9" style="184"/>
    <col min="4382" max="4382" width="13" style="184" customWidth="1"/>
    <col min="4383" max="4609" width="9" style="184"/>
    <col min="4610" max="4610" width="2.5703125" style="184" customWidth="1"/>
    <col min="4611" max="4611" width="27.5703125" style="184" customWidth="1"/>
    <col min="4612" max="4612" width="16.140625" style="184" customWidth="1"/>
    <col min="4613" max="4628" width="3.5703125" style="184" customWidth="1"/>
    <col min="4629" max="4629" width="5.5703125" style="184" customWidth="1"/>
    <col min="4630" max="4630" width="11.5703125" style="184" customWidth="1"/>
    <col min="4631" max="4631" width="15.7109375" style="184" customWidth="1"/>
    <col min="4632" max="4634" width="13.42578125" style="184" customWidth="1"/>
    <col min="4635" max="4635" width="15.7109375" style="184" customWidth="1"/>
    <col min="4636" max="4636" width="16.140625" style="184" customWidth="1"/>
    <col min="4637" max="4637" width="9" style="184"/>
    <col min="4638" max="4638" width="13" style="184" customWidth="1"/>
    <col min="4639" max="4865" width="9" style="184"/>
    <col min="4866" max="4866" width="2.5703125" style="184" customWidth="1"/>
    <col min="4867" max="4867" width="27.5703125" style="184" customWidth="1"/>
    <col min="4868" max="4868" width="16.140625" style="184" customWidth="1"/>
    <col min="4869" max="4884" width="3.5703125" style="184" customWidth="1"/>
    <col min="4885" max="4885" width="5.5703125" style="184" customWidth="1"/>
    <col min="4886" max="4886" width="11.5703125" style="184" customWidth="1"/>
    <col min="4887" max="4887" width="15.7109375" style="184" customWidth="1"/>
    <col min="4888" max="4890" width="13.42578125" style="184" customWidth="1"/>
    <col min="4891" max="4891" width="15.7109375" style="184" customWidth="1"/>
    <col min="4892" max="4892" width="16.140625" style="184" customWidth="1"/>
    <col min="4893" max="4893" width="9" style="184"/>
    <col min="4894" max="4894" width="13" style="184" customWidth="1"/>
    <col min="4895" max="5121" width="9" style="184"/>
    <col min="5122" max="5122" width="2.5703125" style="184" customWidth="1"/>
    <col min="5123" max="5123" width="27.5703125" style="184" customWidth="1"/>
    <col min="5124" max="5124" width="16.140625" style="184" customWidth="1"/>
    <col min="5125" max="5140" width="3.5703125" style="184" customWidth="1"/>
    <col min="5141" max="5141" width="5.5703125" style="184" customWidth="1"/>
    <col min="5142" max="5142" width="11.5703125" style="184" customWidth="1"/>
    <col min="5143" max="5143" width="15.7109375" style="184" customWidth="1"/>
    <col min="5144" max="5146" width="13.42578125" style="184" customWidth="1"/>
    <col min="5147" max="5147" width="15.7109375" style="184" customWidth="1"/>
    <col min="5148" max="5148" width="16.140625" style="184" customWidth="1"/>
    <col min="5149" max="5149" width="9" style="184"/>
    <col min="5150" max="5150" width="13" style="184" customWidth="1"/>
    <col min="5151" max="5377" width="9" style="184"/>
    <col min="5378" max="5378" width="2.5703125" style="184" customWidth="1"/>
    <col min="5379" max="5379" width="27.5703125" style="184" customWidth="1"/>
    <col min="5380" max="5380" width="16.140625" style="184" customWidth="1"/>
    <col min="5381" max="5396" width="3.5703125" style="184" customWidth="1"/>
    <col min="5397" max="5397" width="5.5703125" style="184" customWidth="1"/>
    <col min="5398" max="5398" width="11.5703125" style="184" customWidth="1"/>
    <col min="5399" max="5399" width="15.7109375" style="184" customWidth="1"/>
    <col min="5400" max="5402" width="13.42578125" style="184" customWidth="1"/>
    <col min="5403" max="5403" width="15.7109375" style="184" customWidth="1"/>
    <col min="5404" max="5404" width="16.140625" style="184" customWidth="1"/>
    <col min="5405" max="5405" width="9" style="184"/>
    <col min="5406" max="5406" width="13" style="184" customWidth="1"/>
    <col min="5407" max="5633" width="9" style="184"/>
    <col min="5634" max="5634" width="2.5703125" style="184" customWidth="1"/>
    <col min="5635" max="5635" width="27.5703125" style="184" customWidth="1"/>
    <col min="5636" max="5636" width="16.140625" style="184" customWidth="1"/>
    <col min="5637" max="5652" width="3.5703125" style="184" customWidth="1"/>
    <col min="5653" max="5653" width="5.5703125" style="184" customWidth="1"/>
    <col min="5654" max="5654" width="11.5703125" style="184" customWidth="1"/>
    <col min="5655" max="5655" width="15.7109375" style="184" customWidth="1"/>
    <col min="5656" max="5658" width="13.42578125" style="184" customWidth="1"/>
    <col min="5659" max="5659" width="15.7109375" style="184" customWidth="1"/>
    <col min="5660" max="5660" width="16.140625" style="184" customWidth="1"/>
    <col min="5661" max="5661" width="9" style="184"/>
    <col min="5662" max="5662" width="13" style="184" customWidth="1"/>
    <col min="5663" max="5889" width="9" style="184"/>
    <col min="5890" max="5890" width="2.5703125" style="184" customWidth="1"/>
    <col min="5891" max="5891" width="27.5703125" style="184" customWidth="1"/>
    <col min="5892" max="5892" width="16.140625" style="184" customWidth="1"/>
    <col min="5893" max="5908" width="3.5703125" style="184" customWidth="1"/>
    <col min="5909" max="5909" width="5.5703125" style="184" customWidth="1"/>
    <col min="5910" max="5910" width="11.5703125" style="184" customWidth="1"/>
    <col min="5911" max="5911" width="15.7109375" style="184" customWidth="1"/>
    <col min="5912" max="5914" width="13.42578125" style="184" customWidth="1"/>
    <col min="5915" max="5915" width="15.7109375" style="184" customWidth="1"/>
    <col min="5916" max="5916" width="16.140625" style="184" customWidth="1"/>
    <col min="5917" max="5917" width="9" style="184"/>
    <col min="5918" max="5918" width="13" style="184" customWidth="1"/>
    <col min="5919" max="6145" width="9" style="184"/>
    <col min="6146" max="6146" width="2.5703125" style="184" customWidth="1"/>
    <col min="6147" max="6147" width="27.5703125" style="184" customWidth="1"/>
    <col min="6148" max="6148" width="16.140625" style="184" customWidth="1"/>
    <col min="6149" max="6164" width="3.5703125" style="184" customWidth="1"/>
    <col min="6165" max="6165" width="5.5703125" style="184" customWidth="1"/>
    <col min="6166" max="6166" width="11.5703125" style="184" customWidth="1"/>
    <col min="6167" max="6167" width="15.7109375" style="184" customWidth="1"/>
    <col min="6168" max="6170" width="13.42578125" style="184" customWidth="1"/>
    <col min="6171" max="6171" width="15.7109375" style="184" customWidth="1"/>
    <col min="6172" max="6172" width="16.140625" style="184" customWidth="1"/>
    <col min="6173" max="6173" width="9" style="184"/>
    <col min="6174" max="6174" width="13" style="184" customWidth="1"/>
    <col min="6175" max="6401" width="9" style="184"/>
    <col min="6402" max="6402" width="2.5703125" style="184" customWidth="1"/>
    <col min="6403" max="6403" width="27.5703125" style="184" customWidth="1"/>
    <col min="6404" max="6404" width="16.140625" style="184" customWidth="1"/>
    <col min="6405" max="6420" width="3.5703125" style="184" customWidth="1"/>
    <col min="6421" max="6421" width="5.5703125" style="184" customWidth="1"/>
    <col min="6422" max="6422" width="11.5703125" style="184" customWidth="1"/>
    <col min="6423" max="6423" width="15.7109375" style="184" customWidth="1"/>
    <col min="6424" max="6426" width="13.42578125" style="184" customWidth="1"/>
    <col min="6427" max="6427" width="15.7109375" style="184" customWidth="1"/>
    <col min="6428" max="6428" width="16.140625" style="184" customWidth="1"/>
    <col min="6429" max="6429" width="9" style="184"/>
    <col min="6430" max="6430" width="13" style="184" customWidth="1"/>
    <col min="6431" max="6657" width="9" style="184"/>
    <col min="6658" max="6658" width="2.5703125" style="184" customWidth="1"/>
    <col min="6659" max="6659" width="27.5703125" style="184" customWidth="1"/>
    <col min="6660" max="6660" width="16.140625" style="184" customWidth="1"/>
    <col min="6661" max="6676" width="3.5703125" style="184" customWidth="1"/>
    <col min="6677" max="6677" width="5.5703125" style="184" customWidth="1"/>
    <col min="6678" max="6678" width="11.5703125" style="184" customWidth="1"/>
    <col min="6679" max="6679" width="15.7109375" style="184" customWidth="1"/>
    <col min="6680" max="6682" width="13.42578125" style="184" customWidth="1"/>
    <col min="6683" max="6683" width="15.7109375" style="184" customWidth="1"/>
    <col min="6684" max="6684" width="16.140625" style="184" customWidth="1"/>
    <col min="6685" max="6685" width="9" style="184"/>
    <col min="6686" max="6686" width="13" style="184" customWidth="1"/>
    <col min="6687" max="6913" width="9" style="184"/>
    <col min="6914" max="6914" width="2.5703125" style="184" customWidth="1"/>
    <col min="6915" max="6915" width="27.5703125" style="184" customWidth="1"/>
    <col min="6916" max="6916" width="16.140625" style="184" customWidth="1"/>
    <col min="6917" max="6932" width="3.5703125" style="184" customWidth="1"/>
    <col min="6933" max="6933" width="5.5703125" style="184" customWidth="1"/>
    <col min="6934" max="6934" width="11.5703125" style="184" customWidth="1"/>
    <col min="6935" max="6935" width="15.7109375" style="184" customWidth="1"/>
    <col min="6936" max="6938" width="13.42578125" style="184" customWidth="1"/>
    <col min="6939" max="6939" width="15.7109375" style="184" customWidth="1"/>
    <col min="6940" max="6940" width="16.140625" style="184" customWidth="1"/>
    <col min="6941" max="6941" width="9" style="184"/>
    <col min="6942" max="6942" width="13" style="184" customWidth="1"/>
    <col min="6943" max="7169" width="9" style="184"/>
    <col min="7170" max="7170" width="2.5703125" style="184" customWidth="1"/>
    <col min="7171" max="7171" width="27.5703125" style="184" customWidth="1"/>
    <col min="7172" max="7172" width="16.140625" style="184" customWidth="1"/>
    <col min="7173" max="7188" width="3.5703125" style="184" customWidth="1"/>
    <col min="7189" max="7189" width="5.5703125" style="184" customWidth="1"/>
    <col min="7190" max="7190" width="11.5703125" style="184" customWidth="1"/>
    <col min="7191" max="7191" width="15.7109375" style="184" customWidth="1"/>
    <col min="7192" max="7194" width="13.42578125" style="184" customWidth="1"/>
    <col min="7195" max="7195" width="15.7109375" style="184" customWidth="1"/>
    <col min="7196" max="7196" width="16.140625" style="184" customWidth="1"/>
    <col min="7197" max="7197" width="9" style="184"/>
    <col min="7198" max="7198" width="13" style="184" customWidth="1"/>
    <col min="7199" max="7425" width="9" style="184"/>
    <col min="7426" max="7426" width="2.5703125" style="184" customWidth="1"/>
    <col min="7427" max="7427" width="27.5703125" style="184" customWidth="1"/>
    <col min="7428" max="7428" width="16.140625" style="184" customWidth="1"/>
    <col min="7429" max="7444" width="3.5703125" style="184" customWidth="1"/>
    <col min="7445" max="7445" width="5.5703125" style="184" customWidth="1"/>
    <col min="7446" max="7446" width="11.5703125" style="184" customWidth="1"/>
    <col min="7447" max="7447" width="15.7109375" style="184" customWidth="1"/>
    <col min="7448" max="7450" width="13.42578125" style="184" customWidth="1"/>
    <col min="7451" max="7451" width="15.7109375" style="184" customWidth="1"/>
    <col min="7452" max="7452" width="16.140625" style="184" customWidth="1"/>
    <col min="7453" max="7453" width="9" style="184"/>
    <col min="7454" max="7454" width="13" style="184" customWidth="1"/>
    <col min="7455" max="7681" width="9" style="184"/>
    <col min="7682" max="7682" width="2.5703125" style="184" customWidth="1"/>
    <col min="7683" max="7683" width="27.5703125" style="184" customWidth="1"/>
    <col min="7684" max="7684" width="16.140625" style="184" customWidth="1"/>
    <col min="7685" max="7700" width="3.5703125" style="184" customWidth="1"/>
    <col min="7701" max="7701" width="5.5703125" style="184" customWidth="1"/>
    <col min="7702" max="7702" width="11.5703125" style="184" customWidth="1"/>
    <col min="7703" max="7703" width="15.7109375" style="184" customWidth="1"/>
    <col min="7704" max="7706" width="13.42578125" style="184" customWidth="1"/>
    <col min="7707" max="7707" width="15.7109375" style="184" customWidth="1"/>
    <col min="7708" max="7708" width="16.140625" style="184" customWidth="1"/>
    <col min="7709" max="7709" width="9" style="184"/>
    <col min="7710" max="7710" width="13" style="184" customWidth="1"/>
    <col min="7711" max="7937" width="9" style="184"/>
    <col min="7938" max="7938" width="2.5703125" style="184" customWidth="1"/>
    <col min="7939" max="7939" width="27.5703125" style="184" customWidth="1"/>
    <col min="7940" max="7940" width="16.140625" style="184" customWidth="1"/>
    <col min="7941" max="7956" width="3.5703125" style="184" customWidth="1"/>
    <col min="7957" max="7957" width="5.5703125" style="184" customWidth="1"/>
    <col min="7958" max="7958" width="11.5703125" style="184" customWidth="1"/>
    <col min="7959" max="7959" width="15.7109375" style="184" customWidth="1"/>
    <col min="7960" max="7962" width="13.42578125" style="184" customWidth="1"/>
    <col min="7963" max="7963" width="15.7109375" style="184" customWidth="1"/>
    <col min="7964" max="7964" width="16.140625" style="184" customWidth="1"/>
    <col min="7965" max="7965" width="9" style="184"/>
    <col min="7966" max="7966" width="13" style="184" customWidth="1"/>
    <col min="7967" max="8193" width="9" style="184"/>
    <col min="8194" max="8194" width="2.5703125" style="184" customWidth="1"/>
    <col min="8195" max="8195" width="27.5703125" style="184" customWidth="1"/>
    <col min="8196" max="8196" width="16.140625" style="184" customWidth="1"/>
    <col min="8197" max="8212" width="3.5703125" style="184" customWidth="1"/>
    <col min="8213" max="8213" width="5.5703125" style="184" customWidth="1"/>
    <col min="8214" max="8214" width="11.5703125" style="184" customWidth="1"/>
    <col min="8215" max="8215" width="15.7109375" style="184" customWidth="1"/>
    <col min="8216" max="8218" width="13.42578125" style="184" customWidth="1"/>
    <col min="8219" max="8219" width="15.7109375" style="184" customWidth="1"/>
    <col min="8220" max="8220" width="16.140625" style="184" customWidth="1"/>
    <col min="8221" max="8221" width="9" style="184"/>
    <col min="8222" max="8222" width="13" style="184" customWidth="1"/>
    <col min="8223" max="8449" width="9" style="184"/>
    <col min="8450" max="8450" width="2.5703125" style="184" customWidth="1"/>
    <col min="8451" max="8451" width="27.5703125" style="184" customWidth="1"/>
    <col min="8452" max="8452" width="16.140625" style="184" customWidth="1"/>
    <col min="8453" max="8468" width="3.5703125" style="184" customWidth="1"/>
    <col min="8469" max="8469" width="5.5703125" style="184" customWidth="1"/>
    <col min="8470" max="8470" width="11.5703125" style="184" customWidth="1"/>
    <col min="8471" max="8471" width="15.7109375" style="184" customWidth="1"/>
    <col min="8472" max="8474" width="13.42578125" style="184" customWidth="1"/>
    <col min="8475" max="8475" width="15.7109375" style="184" customWidth="1"/>
    <col min="8476" max="8476" width="16.140625" style="184" customWidth="1"/>
    <col min="8477" max="8477" width="9" style="184"/>
    <col min="8478" max="8478" width="13" style="184" customWidth="1"/>
    <col min="8479" max="8705" width="9" style="184"/>
    <col min="8706" max="8706" width="2.5703125" style="184" customWidth="1"/>
    <col min="8707" max="8707" width="27.5703125" style="184" customWidth="1"/>
    <col min="8708" max="8708" width="16.140625" style="184" customWidth="1"/>
    <col min="8709" max="8724" width="3.5703125" style="184" customWidth="1"/>
    <col min="8725" max="8725" width="5.5703125" style="184" customWidth="1"/>
    <col min="8726" max="8726" width="11.5703125" style="184" customWidth="1"/>
    <col min="8727" max="8727" width="15.7109375" style="184" customWidth="1"/>
    <col min="8728" max="8730" width="13.42578125" style="184" customWidth="1"/>
    <col min="8731" max="8731" width="15.7109375" style="184" customWidth="1"/>
    <col min="8732" max="8732" width="16.140625" style="184" customWidth="1"/>
    <col min="8733" max="8733" width="9" style="184"/>
    <col min="8734" max="8734" width="13" style="184" customWidth="1"/>
    <col min="8735" max="8961" width="9" style="184"/>
    <col min="8962" max="8962" width="2.5703125" style="184" customWidth="1"/>
    <col min="8963" max="8963" width="27.5703125" style="184" customWidth="1"/>
    <col min="8964" max="8964" width="16.140625" style="184" customWidth="1"/>
    <col min="8965" max="8980" width="3.5703125" style="184" customWidth="1"/>
    <col min="8981" max="8981" width="5.5703125" style="184" customWidth="1"/>
    <col min="8982" max="8982" width="11.5703125" style="184" customWidth="1"/>
    <col min="8983" max="8983" width="15.7109375" style="184" customWidth="1"/>
    <col min="8984" max="8986" width="13.42578125" style="184" customWidth="1"/>
    <col min="8987" max="8987" width="15.7109375" style="184" customWidth="1"/>
    <col min="8988" max="8988" width="16.140625" style="184" customWidth="1"/>
    <col min="8989" max="8989" width="9" style="184"/>
    <col min="8990" max="8990" width="13" style="184" customWidth="1"/>
    <col min="8991" max="9217" width="9" style="184"/>
    <col min="9218" max="9218" width="2.5703125" style="184" customWidth="1"/>
    <col min="9219" max="9219" width="27.5703125" style="184" customWidth="1"/>
    <col min="9220" max="9220" width="16.140625" style="184" customWidth="1"/>
    <col min="9221" max="9236" width="3.5703125" style="184" customWidth="1"/>
    <col min="9237" max="9237" width="5.5703125" style="184" customWidth="1"/>
    <col min="9238" max="9238" width="11.5703125" style="184" customWidth="1"/>
    <col min="9239" max="9239" width="15.7109375" style="184" customWidth="1"/>
    <col min="9240" max="9242" width="13.42578125" style="184" customWidth="1"/>
    <col min="9243" max="9243" width="15.7109375" style="184" customWidth="1"/>
    <col min="9244" max="9244" width="16.140625" style="184" customWidth="1"/>
    <col min="9245" max="9245" width="9" style="184"/>
    <col min="9246" max="9246" width="13" style="184" customWidth="1"/>
    <col min="9247" max="9473" width="9" style="184"/>
    <col min="9474" max="9474" width="2.5703125" style="184" customWidth="1"/>
    <col min="9475" max="9475" width="27.5703125" style="184" customWidth="1"/>
    <col min="9476" max="9476" width="16.140625" style="184" customWidth="1"/>
    <col min="9477" max="9492" width="3.5703125" style="184" customWidth="1"/>
    <col min="9493" max="9493" width="5.5703125" style="184" customWidth="1"/>
    <col min="9494" max="9494" width="11.5703125" style="184" customWidth="1"/>
    <col min="9495" max="9495" width="15.7109375" style="184" customWidth="1"/>
    <col min="9496" max="9498" width="13.42578125" style="184" customWidth="1"/>
    <col min="9499" max="9499" width="15.7109375" style="184" customWidth="1"/>
    <col min="9500" max="9500" width="16.140625" style="184" customWidth="1"/>
    <col min="9501" max="9501" width="9" style="184"/>
    <col min="9502" max="9502" width="13" style="184" customWidth="1"/>
    <col min="9503" max="9729" width="9" style="184"/>
    <col min="9730" max="9730" width="2.5703125" style="184" customWidth="1"/>
    <col min="9731" max="9731" width="27.5703125" style="184" customWidth="1"/>
    <col min="9732" max="9732" width="16.140625" style="184" customWidth="1"/>
    <col min="9733" max="9748" width="3.5703125" style="184" customWidth="1"/>
    <col min="9749" max="9749" width="5.5703125" style="184" customWidth="1"/>
    <col min="9750" max="9750" width="11.5703125" style="184" customWidth="1"/>
    <col min="9751" max="9751" width="15.7109375" style="184" customWidth="1"/>
    <col min="9752" max="9754" width="13.42578125" style="184" customWidth="1"/>
    <col min="9755" max="9755" width="15.7109375" style="184" customWidth="1"/>
    <col min="9756" max="9756" width="16.140625" style="184" customWidth="1"/>
    <col min="9757" max="9757" width="9" style="184"/>
    <col min="9758" max="9758" width="13" style="184" customWidth="1"/>
    <col min="9759" max="9985" width="9" style="184"/>
    <col min="9986" max="9986" width="2.5703125" style="184" customWidth="1"/>
    <col min="9987" max="9987" width="27.5703125" style="184" customWidth="1"/>
    <col min="9988" max="9988" width="16.140625" style="184" customWidth="1"/>
    <col min="9989" max="10004" width="3.5703125" style="184" customWidth="1"/>
    <col min="10005" max="10005" width="5.5703125" style="184" customWidth="1"/>
    <col min="10006" max="10006" width="11.5703125" style="184" customWidth="1"/>
    <col min="10007" max="10007" width="15.7109375" style="184" customWidth="1"/>
    <col min="10008" max="10010" width="13.42578125" style="184" customWidth="1"/>
    <col min="10011" max="10011" width="15.7109375" style="184" customWidth="1"/>
    <col min="10012" max="10012" width="16.140625" style="184" customWidth="1"/>
    <col min="10013" max="10013" width="9" style="184"/>
    <col min="10014" max="10014" width="13" style="184" customWidth="1"/>
    <col min="10015" max="10241" width="9" style="184"/>
    <col min="10242" max="10242" width="2.5703125" style="184" customWidth="1"/>
    <col min="10243" max="10243" width="27.5703125" style="184" customWidth="1"/>
    <col min="10244" max="10244" width="16.140625" style="184" customWidth="1"/>
    <col min="10245" max="10260" width="3.5703125" style="184" customWidth="1"/>
    <col min="10261" max="10261" width="5.5703125" style="184" customWidth="1"/>
    <col min="10262" max="10262" width="11.5703125" style="184" customWidth="1"/>
    <col min="10263" max="10263" width="15.7109375" style="184" customWidth="1"/>
    <col min="10264" max="10266" width="13.42578125" style="184" customWidth="1"/>
    <col min="10267" max="10267" width="15.7109375" style="184" customWidth="1"/>
    <col min="10268" max="10268" width="16.140625" style="184" customWidth="1"/>
    <col min="10269" max="10269" width="9" style="184"/>
    <col min="10270" max="10270" width="13" style="184" customWidth="1"/>
    <col min="10271" max="10497" width="9" style="184"/>
    <col min="10498" max="10498" width="2.5703125" style="184" customWidth="1"/>
    <col min="10499" max="10499" width="27.5703125" style="184" customWidth="1"/>
    <col min="10500" max="10500" width="16.140625" style="184" customWidth="1"/>
    <col min="10501" max="10516" width="3.5703125" style="184" customWidth="1"/>
    <col min="10517" max="10517" width="5.5703125" style="184" customWidth="1"/>
    <col min="10518" max="10518" width="11.5703125" style="184" customWidth="1"/>
    <col min="10519" max="10519" width="15.7109375" style="184" customWidth="1"/>
    <col min="10520" max="10522" width="13.42578125" style="184" customWidth="1"/>
    <col min="10523" max="10523" width="15.7109375" style="184" customWidth="1"/>
    <col min="10524" max="10524" width="16.140625" style="184" customWidth="1"/>
    <col min="10525" max="10525" width="9" style="184"/>
    <col min="10526" max="10526" width="13" style="184" customWidth="1"/>
    <col min="10527" max="10753" width="9" style="184"/>
    <col min="10754" max="10754" width="2.5703125" style="184" customWidth="1"/>
    <col min="10755" max="10755" width="27.5703125" style="184" customWidth="1"/>
    <col min="10756" max="10756" width="16.140625" style="184" customWidth="1"/>
    <col min="10757" max="10772" width="3.5703125" style="184" customWidth="1"/>
    <col min="10773" max="10773" width="5.5703125" style="184" customWidth="1"/>
    <col min="10774" max="10774" width="11.5703125" style="184" customWidth="1"/>
    <col min="10775" max="10775" width="15.7109375" style="184" customWidth="1"/>
    <col min="10776" max="10778" width="13.42578125" style="184" customWidth="1"/>
    <col min="10779" max="10779" width="15.7109375" style="184" customWidth="1"/>
    <col min="10780" max="10780" width="16.140625" style="184" customWidth="1"/>
    <col min="10781" max="10781" width="9" style="184"/>
    <col min="10782" max="10782" width="13" style="184" customWidth="1"/>
    <col min="10783" max="11009" width="9" style="184"/>
    <col min="11010" max="11010" width="2.5703125" style="184" customWidth="1"/>
    <col min="11011" max="11011" width="27.5703125" style="184" customWidth="1"/>
    <col min="11012" max="11012" width="16.140625" style="184" customWidth="1"/>
    <col min="11013" max="11028" width="3.5703125" style="184" customWidth="1"/>
    <col min="11029" max="11029" width="5.5703125" style="184" customWidth="1"/>
    <col min="11030" max="11030" width="11.5703125" style="184" customWidth="1"/>
    <col min="11031" max="11031" width="15.7109375" style="184" customWidth="1"/>
    <col min="11032" max="11034" width="13.42578125" style="184" customWidth="1"/>
    <col min="11035" max="11035" width="15.7109375" style="184" customWidth="1"/>
    <col min="11036" max="11036" width="16.140625" style="184" customWidth="1"/>
    <col min="11037" max="11037" width="9" style="184"/>
    <col min="11038" max="11038" width="13" style="184" customWidth="1"/>
    <col min="11039" max="11265" width="9" style="184"/>
    <col min="11266" max="11266" width="2.5703125" style="184" customWidth="1"/>
    <col min="11267" max="11267" width="27.5703125" style="184" customWidth="1"/>
    <col min="11268" max="11268" width="16.140625" style="184" customWidth="1"/>
    <col min="11269" max="11284" width="3.5703125" style="184" customWidth="1"/>
    <col min="11285" max="11285" width="5.5703125" style="184" customWidth="1"/>
    <col min="11286" max="11286" width="11.5703125" style="184" customWidth="1"/>
    <col min="11287" max="11287" width="15.7109375" style="184" customWidth="1"/>
    <col min="11288" max="11290" width="13.42578125" style="184" customWidth="1"/>
    <col min="11291" max="11291" width="15.7109375" style="184" customWidth="1"/>
    <col min="11292" max="11292" width="16.140625" style="184" customWidth="1"/>
    <col min="11293" max="11293" width="9" style="184"/>
    <col min="11294" max="11294" width="13" style="184" customWidth="1"/>
    <col min="11295" max="11521" width="9" style="184"/>
    <col min="11522" max="11522" width="2.5703125" style="184" customWidth="1"/>
    <col min="11523" max="11523" width="27.5703125" style="184" customWidth="1"/>
    <col min="11524" max="11524" width="16.140625" style="184" customWidth="1"/>
    <col min="11525" max="11540" width="3.5703125" style="184" customWidth="1"/>
    <col min="11541" max="11541" width="5.5703125" style="184" customWidth="1"/>
    <col min="11542" max="11542" width="11.5703125" style="184" customWidth="1"/>
    <col min="11543" max="11543" width="15.7109375" style="184" customWidth="1"/>
    <col min="11544" max="11546" width="13.42578125" style="184" customWidth="1"/>
    <col min="11547" max="11547" width="15.7109375" style="184" customWidth="1"/>
    <col min="11548" max="11548" width="16.140625" style="184" customWidth="1"/>
    <col min="11549" max="11549" width="9" style="184"/>
    <col min="11550" max="11550" width="13" style="184" customWidth="1"/>
    <col min="11551" max="11777" width="9" style="184"/>
    <col min="11778" max="11778" width="2.5703125" style="184" customWidth="1"/>
    <col min="11779" max="11779" width="27.5703125" style="184" customWidth="1"/>
    <col min="11780" max="11780" width="16.140625" style="184" customWidth="1"/>
    <col min="11781" max="11796" width="3.5703125" style="184" customWidth="1"/>
    <col min="11797" max="11797" width="5.5703125" style="184" customWidth="1"/>
    <col min="11798" max="11798" width="11.5703125" style="184" customWidth="1"/>
    <col min="11799" max="11799" width="15.7109375" style="184" customWidth="1"/>
    <col min="11800" max="11802" width="13.42578125" style="184" customWidth="1"/>
    <col min="11803" max="11803" width="15.7109375" style="184" customWidth="1"/>
    <col min="11804" max="11804" width="16.140625" style="184" customWidth="1"/>
    <col min="11805" max="11805" width="9" style="184"/>
    <col min="11806" max="11806" width="13" style="184" customWidth="1"/>
    <col min="11807" max="12033" width="9" style="184"/>
    <col min="12034" max="12034" width="2.5703125" style="184" customWidth="1"/>
    <col min="12035" max="12035" width="27.5703125" style="184" customWidth="1"/>
    <col min="12036" max="12036" width="16.140625" style="184" customWidth="1"/>
    <col min="12037" max="12052" width="3.5703125" style="184" customWidth="1"/>
    <col min="12053" max="12053" width="5.5703125" style="184" customWidth="1"/>
    <col min="12054" max="12054" width="11.5703125" style="184" customWidth="1"/>
    <col min="12055" max="12055" width="15.7109375" style="184" customWidth="1"/>
    <col min="12056" max="12058" width="13.42578125" style="184" customWidth="1"/>
    <col min="12059" max="12059" width="15.7109375" style="184" customWidth="1"/>
    <col min="12060" max="12060" width="16.140625" style="184" customWidth="1"/>
    <col min="12061" max="12061" width="9" style="184"/>
    <col min="12062" max="12062" width="13" style="184" customWidth="1"/>
    <col min="12063" max="12289" width="9" style="184"/>
    <col min="12290" max="12290" width="2.5703125" style="184" customWidth="1"/>
    <col min="12291" max="12291" width="27.5703125" style="184" customWidth="1"/>
    <col min="12292" max="12292" width="16.140625" style="184" customWidth="1"/>
    <col min="12293" max="12308" width="3.5703125" style="184" customWidth="1"/>
    <col min="12309" max="12309" width="5.5703125" style="184" customWidth="1"/>
    <col min="12310" max="12310" width="11.5703125" style="184" customWidth="1"/>
    <col min="12311" max="12311" width="15.7109375" style="184" customWidth="1"/>
    <col min="12312" max="12314" width="13.42578125" style="184" customWidth="1"/>
    <col min="12315" max="12315" width="15.7109375" style="184" customWidth="1"/>
    <col min="12316" max="12316" width="16.140625" style="184" customWidth="1"/>
    <col min="12317" max="12317" width="9" style="184"/>
    <col min="12318" max="12318" width="13" style="184" customWidth="1"/>
    <col min="12319" max="12545" width="9" style="184"/>
    <col min="12546" max="12546" width="2.5703125" style="184" customWidth="1"/>
    <col min="12547" max="12547" width="27.5703125" style="184" customWidth="1"/>
    <col min="12548" max="12548" width="16.140625" style="184" customWidth="1"/>
    <col min="12549" max="12564" width="3.5703125" style="184" customWidth="1"/>
    <col min="12565" max="12565" width="5.5703125" style="184" customWidth="1"/>
    <col min="12566" max="12566" width="11.5703125" style="184" customWidth="1"/>
    <col min="12567" max="12567" width="15.7109375" style="184" customWidth="1"/>
    <col min="12568" max="12570" width="13.42578125" style="184" customWidth="1"/>
    <col min="12571" max="12571" width="15.7109375" style="184" customWidth="1"/>
    <col min="12572" max="12572" width="16.140625" style="184" customWidth="1"/>
    <col min="12573" max="12573" width="9" style="184"/>
    <col min="12574" max="12574" width="13" style="184" customWidth="1"/>
    <col min="12575" max="12801" width="9" style="184"/>
    <col min="12802" max="12802" width="2.5703125" style="184" customWidth="1"/>
    <col min="12803" max="12803" width="27.5703125" style="184" customWidth="1"/>
    <col min="12804" max="12804" width="16.140625" style="184" customWidth="1"/>
    <col min="12805" max="12820" width="3.5703125" style="184" customWidth="1"/>
    <col min="12821" max="12821" width="5.5703125" style="184" customWidth="1"/>
    <col min="12822" max="12822" width="11.5703125" style="184" customWidth="1"/>
    <col min="12823" max="12823" width="15.7109375" style="184" customWidth="1"/>
    <col min="12824" max="12826" width="13.42578125" style="184" customWidth="1"/>
    <col min="12827" max="12827" width="15.7109375" style="184" customWidth="1"/>
    <col min="12828" max="12828" width="16.140625" style="184" customWidth="1"/>
    <col min="12829" max="12829" width="9" style="184"/>
    <col min="12830" max="12830" width="13" style="184" customWidth="1"/>
    <col min="12831" max="13057" width="9" style="184"/>
    <col min="13058" max="13058" width="2.5703125" style="184" customWidth="1"/>
    <col min="13059" max="13059" width="27.5703125" style="184" customWidth="1"/>
    <col min="13060" max="13060" width="16.140625" style="184" customWidth="1"/>
    <col min="13061" max="13076" width="3.5703125" style="184" customWidth="1"/>
    <col min="13077" max="13077" width="5.5703125" style="184" customWidth="1"/>
    <col min="13078" max="13078" width="11.5703125" style="184" customWidth="1"/>
    <col min="13079" max="13079" width="15.7109375" style="184" customWidth="1"/>
    <col min="13080" max="13082" width="13.42578125" style="184" customWidth="1"/>
    <col min="13083" max="13083" width="15.7109375" style="184" customWidth="1"/>
    <col min="13084" max="13084" width="16.140625" style="184" customWidth="1"/>
    <col min="13085" max="13085" width="9" style="184"/>
    <col min="13086" max="13086" width="13" style="184" customWidth="1"/>
    <col min="13087" max="13313" width="9" style="184"/>
    <col min="13314" max="13314" width="2.5703125" style="184" customWidth="1"/>
    <col min="13315" max="13315" width="27.5703125" style="184" customWidth="1"/>
    <col min="13316" max="13316" width="16.140625" style="184" customWidth="1"/>
    <col min="13317" max="13332" width="3.5703125" style="184" customWidth="1"/>
    <col min="13333" max="13333" width="5.5703125" style="184" customWidth="1"/>
    <col min="13334" max="13334" width="11.5703125" style="184" customWidth="1"/>
    <col min="13335" max="13335" width="15.7109375" style="184" customWidth="1"/>
    <col min="13336" max="13338" width="13.42578125" style="184" customWidth="1"/>
    <col min="13339" max="13339" width="15.7109375" style="184" customWidth="1"/>
    <col min="13340" max="13340" width="16.140625" style="184" customWidth="1"/>
    <col min="13341" max="13341" width="9" style="184"/>
    <col min="13342" max="13342" width="13" style="184" customWidth="1"/>
    <col min="13343" max="13569" width="9" style="184"/>
    <col min="13570" max="13570" width="2.5703125" style="184" customWidth="1"/>
    <col min="13571" max="13571" width="27.5703125" style="184" customWidth="1"/>
    <col min="13572" max="13572" width="16.140625" style="184" customWidth="1"/>
    <col min="13573" max="13588" width="3.5703125" style="184" customWidth="1"/>
    <col min="13589" max="13589" width="5.5703125" style="184" customWidth="1"/>
    <col min="13590" max="13590" width="11.5703125" style="184" customWidth="1"/>
    <col min="13591" max="13591" width="15.7109375" style="184" customWidth="1"/>
    <col min="13592" max="13594" width="13.42578125" style="184" customWidth="1"/>
    <col min="13595" max="13595" width="15.7109375" style="184" customWidth="1"/>
    <col min="13596" max="13596" width="16.140625" style="184" customWidth="1"/>
    <col min="13597" max="13597" width="9" style="184"/>
    <col min="13598" max="13598" width="13" style="184" customWidth="1"/>
    <col min="13599" max="13825" width="9" style="184"/>
    <col min="13826" max="13826" width="2.5703125" style="184" customWidth="1"/>
    <col min="13827" max="13827" width="27.5703125" style="184" customWidth="1"/>
    <col min="13828" max="13828" width="16.140625" style="184" customWidth="1"/>
    <col min="13829" max="13844" width="3.5703125" style="184" customWidth="1"/>
    <col min="13845" max="13845" width="5.5703125" style="184" customWidth="1"/>
    <col min="13846" max="13846" width="11.5703125" style="184" customWidth="1"/>
    <col min="13847" max="13847" width="15.7109375" style="184" customWidth="1"/>
    <col min="13848" max="13850" width="13.42578125" style="184" customWidth="1"/>
    <col min="13851" max="13851" width="15.7109375" style="184" customWidth="1"/>
    <col min="13852" max="13852" width="16.140625" style="184" customWidth="1"/>
    <col min="13853" max="13853" width="9" style="184"/>
    <col min="13854" max="13854" width="13" style="184" customWidth="1"/>
    <col min="13855" max="14081" width="9" style="184"/>
    <col min="14082" max="14082" width="2.5703125" style="184" customWidth="1"/>
    <col min="14083" max="14083" width="27.5703125" style="184" customWidth="1"/>
    <col min="14084" max="14084" width="16.140625" style="184" customWidth="1"/>
    <col min="14085" max="14100" width="3.5703125" style="184" customWidth="1"/>
    <col min="14101" max="14101" width="5.5703125" style="184" customWidth="1"/>
    <col min="14102" max="14102" width="11.5703125" style="184" customWidth="1"/>
    <col min="14103" max="14103" width="15.7109375" style="184" customWidth="1"/>
    <col min="14104" max="14106" width="13.42578125" style="184" customWidth="1"/>
    <col min="14107" max="14107" width="15.7109375" style="184" customWidth="1"/>
    <col min="14108" max="14108" width="16.140625" style="184" customWidth="1"/>
    <col min="14109" max="14109" width="9" style="184"/>
    <col min="14110" max="14110" width="13" style="184" customWidth="1"/>
    <col min="14111" max="14337" width="9" style="184"/>
    <col min="14338" max="14338" width="2.5703125" style="184" customWidth="1"/>
    <col min="14339" max="14339" width="27.5703125" style="184" customWidth="1"/>
    <col min="14340" max="14340" width="16.140625" style="184" customWidth="1"/>
    <col min="14341" max="14356" width="3.5703125" style="184" customWidth="1"/>
    <col min="14357" max="14357" width="5.5703125" style="184" customWidth="1"/>
    <col min="14358" max="14358" width="11.5703125" style="184" customWidth="1"/>
    <col min="14359" max="14359" width="15.7109375" style="184" customWidth="1"/>
    <col min="14360" max="14362" width="13.42578125" style="184" customWidth="1"/>
    <col min="14363" max="14363" width="15.7109375" style="184" customWidth="1"/>
    <col min="14364" max="14364" width="16.140625" style="184" customWidth="1"/>
    <col min="14365" max="14365" width="9" style="184"/>
    <col min="14366" max="14366" width="13" style="184" customWidth="1"/>
    <col min="14367" max="14593" width="9" style="184"/>
    <col min="14594" max="14594" width="2.5703125" style="184" customWidth="1"/>
    <col min="14595" max="14595" width="27.5703125" style="184" customWidth="1"/>
    <col min="14596" max="14596" width="16.140625" style="184" customWidth="1"/>
    <col min="14597" max="14612" width="3.5703125" style="184" customWidth="1"/>
    <col min="14613" max="14613" width="5.5703125" style="184" customWidth="1"/>
    <col min="14614" max="14614" width="11.5703125" style="184" customWidth="1"/>
    <col min="14615" max="14615" width="15.7109375" style="184" customWidth="1"/>
    <col min="14616" max="14618" width="13.42578125" style="184" customWidth="1"/>
    <col min="14619" max="14619" width="15.7109375" style="184" customWidth="1"/>
    <col min="14620" max="14620" width="16.140625" style="184" customWidth="1"/>
    <col min="14621" max="14621" width="9" style="184"/>
    <col min="14622" max="14622" width="13" style="184" customWidth="1"/>
    <col min="14623" max="14849" width="9" style="184"/>
    <col min="14850" max="14850" width="2.5703125" style="184" customWidth="1"/>
    <col min="14851" max="14851" width="27.5703125" style="184" customWidth="1"/>
    <col min="14852" max="14852" width="16.140625" style="184" customWidth="1"/>
    <col min="14853" max="14868" width="3.5703125" style="184" customWidth="1"/>
    <col min="14869" max="14869" width="5.5703125" style="184" customWidth="1"/>
    <col min="14870" max="14870" width="11.5703125" style="184" customWidth="1"/>
    <col min="14871" max="14871" width="15.7109375" style="184" customWidth="1"/>
    <col min="14872" max="14874" width="13.42578125" style="184" customWidth="1"/>
    <col min="14875" max="14875" width="15.7109375" style="184" customWidth="1"/>
    <col min="14876" max="14876" width="16.140625" style="184" customWidth="1"/>
    <col min="14877" max="14877" width="9" style="184"/>
    <col min="14878" max="14878" width="13" style="184" customWidth="1"/>
    <col min="14879" max="15105" width="9" style="184"/>
    <col min="15106" max="15106" width="2.5703125" style="184" customWidth="1"/>
    <col min="15107" max="15107" width="27.5703125" style="184" customWidth="1"/>
    <col min="15108" max="15108" width="16.140625" style="184" customWidth="1"/>
    <col min="15109" max="15124" width="3.5703125" style="184" customWidth="1"/>
    <col min="15125" max="15125" width="5.5703125" style="184" customWidth="1"/>
    <col min="15126" max="15126" width="11.5703125" style="184" customWidth="1"/>
    <col min="15127" max="15127" width="15.7109375" style="184" customWidth="1"/>
    <col min="15128" max="15130" width="13.42578125" style="184" customWidth="1"/>
    <col min="15131" max="15131" width="15.7109375" style="184" customWidth="1"/>
    <col min="15132" max="15132" width="16.140625" style="184" customWidth="1"/>
    <col min="15133" max="15133" width="9" style="184"/>
    <col min="15134" max="15134" width="13" style="184" customWidth="1"/>
    <col min="15135" max="15361" width="9" style="184"/>
    <col min="15362" max="15362" width="2.5703125" style="184" customWidth="1"/>
    <col min="15363" max="15363" width="27.5703125" style="184" customWidth="1"/>
    <col min="15364" max="15364" width="16.140625" style="184" customWidth="1"/>
    <col min="15365" max="15380" width="3.5703125" style="184" customWidth="1"/>
    <col min="15381" max="15381" width="5.5703125" style="184" customWidth="1"/>
    <col min="15382" max="15382" width="11.5703125" style="184" customWidth="1"/>
    <col min="15383" max="15383" width="15.7109375" style="184" customWidth="1"/>
    <col min="15384" max="15386" width="13.42578125" style="184" customWidth="1"/>
    <col min="15387" max="15387" width="15.7109375" style="184" customWidth="1"/>
    <col min="15388" max="15388" width="16.140625" style="184" customWidth="1"/>
    <col min="15389" max="15389" width="9" style="184"/>
    <col min="15390" max="15390" width="13" style="184" customWidth="1"/>
    <col min="15391" max="15617" width="9" style="184"/>
    <col min="15618" max="15618" width="2.5703125" style="184" customWidth="1"/>
    <col min="15619" max="15619" width="27.5703125" style="184" customWidth="1"/>
    <col min="15620" max="15620" width="16.140625" style="184" customWidth="1"/>
    <col min="15621" max="15636" width="3.5703125" style="184" customWidth="1"/>
    <col min="15637" max="15637" width="5.5703125" style="184" customWidth="1"/>
    <col min="15638" max="15638" width="11.5703125" style="184" customWidth="1"/>
    <col min="15639" max="15639" width="15.7109375" style="184" customWidth="1"/>
    <col min="15640" max="15642" width="13.42578125" style="184" customWidth="1"/>
    <col min="15643" max="15643" width="15.7109375" style="184" customWidth="1"/>
    <col min="15644" max="15644" width="16.140625" style="184" customWidth="1"/>
    <col min="15645" max="15645" width="9" style="184"/>
    <col min="15646" max="15646" width="13" style="184" customWidth="1"/>
    <col min="15647" max="15873" width="9" style="184"/>
    <col min="15874" max="15874" width="2.5703125" style="184" customWidth="1"/>
    <col min="15875" max="15875" width="27.5703125" style="184" customWidth="1"/>
    <col min="15876" max="15876" width="16.140625" style="184" customWidth="1"/>
    <col min="15877" max="15892" width="3.5703125" style="184" customWidth="1"/>
    <col min="15893" max="15893" width="5.5703125" style="184" customWidth="1"/>
    <col min="15894" max="15894" width="11.5703125" style="184" customWidth="1"/>
    <col min="15895" max="15895" width="15.7109375" style="184" customWidth="1"/>
    <col min="15896" max="15898" width="13.42578125" style="184" customWidth="1"/>
    <col min="15899" max="15899" width="15.7109375" style="184" customWidth="1"/>
    <col min="15900" max="15900" width="16.140625" style="184" customWidth="1"/>
    <col min="15901" max="15901" width="9" style="184"/>
    <col min="15902" max="15902" width="13" style="184" customWidth="1"/>
    <col min="15903" max="16129" width="9" style="184"/>
    <col min="16130" max="16130" width="2.5703125" style="184" customWidth="1"/>
    <col min="16131" max="16131" width="27.5703125" style="184" customWidth="1"/>
    <col min="16132" max="16132" width="16.140625" style="184" customWidth="1"/>
    <col min="16133" max="16148" width="3.5703125" style="184" customWidth="1"/>
    <col min="16149" max="16149" width="5.5703125" style="184" customWidth="1"/>
    <col min="16150" max="16150" width="11.5703125" style="184" customWidth="1"/>
    <col min="16151" max="16151" width="15.7109375" style="184" customWidth="1"/>
    <col min="16152" max="16154" width="13.42578125" style="184" customWidth="1"/>
    <col min="16155" max="16155" width="15.7109375" style="184" customWidth="1"/>
    <col min="16156" max="16156" width="16.140625" style="184" customWidth="1"/>
    <col min="16157" max="16157" width="9" style="184"/>
    <col min="16158" max="16158" width="13" style="184" customWidth="1"/>
    <col min="16159" max="16384" width="9" style="184"/>
  </cols>
  <sheetData>
    <row r="2" spans="1:35" ht="15" customHeight="1">
      <c r="B2" s="1401" t="s">
        <v>56</v>
      </c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1401"/>
      <c r="N2" s="1401"/>
      <c r="O2" s="1401"/>
      <c r="P2" s="1401"/>
      <c r="Q2" s="1401"/>
      <c r="R2" s="1401"/>
      <c r="S2" s="1401"/>
      <c r="T2" s="1401"/>
      <c r="U2" s="1401"/>
      <c r="V2" s="1401"/>
      <c r="W2" s="1401"/>
      <c r="X2" s="1401"/>
      <c r="Y2" s="1401"/>
      <c r="Z2" s="1401"/>
      <c r="AA2" s="1401"/>
      <c r="AB2" s="1401"/>
      <c r="AC2" s="1401"/>
    </row>
    <row r="3" spans="1:35" ht="15" customHeight="1">
      <c r="B3" s="1402" t="s">
        <v>57</v>
      </c>
      <c r="C3" s="1402"/>
      <c r="D3" s="1402"/>
      <c r="E3" s="1402"/>
      <c r="F3" s="1402"/>
      <c r="G3" s="1402"/>
      <c r="H3" s="1402"/>
      <c r="I3" s="1402"/>
      <c r="J3" s="1402"/>
      <c r="K3" s="1402"/>
      <c r="L3" s="1402"/>
      <c r="M3" s="1402"/>
      <c r="N3" s="1402"/>
      <c r="O3" s="1402"/>
      <c r="P3" s="1402"/>
      <c r="Q3" s="1402"/>
      <c r="R3" s="1402"/>
      <c r="S3" s="1402"/>
      <c r="T3" s="1402"/>
      <c r="U3" s="1402"/>
      <c r="V3" s="1402"/>
      <c r="W3" s="1402"/>
      <c r="X3" s="1402"/>
      <c r="Y3" s="1402"/>
      <c r="Z3" s="1402"/>
      <c r="AA3" s="1402"/>
      <c r="AB3" s="1402"/>
      <c r="AC3" s="1402"/>
    </row>
    <row r="4" spans="1:35" ht="15" customHeight="1">
      <c r="B4" s="1403" t="s">
        <v>204</v>
      </c>
      <c r="C4" s="1401"/>
      <c r="D4" s="1401"/>
      <c r="E4" s="1401"/>
      <c r="F4" s="1401"/>
      <c r="G4" s="1401"/>
      <c r="H4" s="1401"/>
      <c r="I4" s="1401"/>
      <c r="J4" s="1401"/>
      <c r="K4" s="1401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</row>
    <row r="5" spans="1:35" ht="15" customHeight="1">
      <c r="B5" s="1401" t="s">
        <v>1079</v>
      </c>
      <c r="C5" s="1401"/>
      <c r="D5" s="1401"/>
      <c r="E5" s="1401"/>
      <c r="F5" s="1401"/>
      <c r="G5" s="1401"/>
      <c r="H5" s="1401"/>
      <c r="I5" s="1401"/>
      <c r="J5" s="1401"/>
      <c r="K5" s="1401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</row>
    <row r="6" spans="1:35" ht="9.75" customHeight="1"/>
    <row r="7" spans="1:35" ht="12" customHeight="1">
      <c r="A7" s="611" t="s">
        <v>58</v>
      </c>
      <c r="B7" s="611"/>
      <c r="C7" s="611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</row>
    <row r="8" spans="1:35" ht="15" customHeight="1">
      <c r="A8" s="346"/>
      <c r="B8" s="346"/>
      <c r="C8" s="346"/>
      <c r="D8" s="346"/>
      <c r="E8" s="346"/>
      <c r="F8" s="346"/>
      <c r="G8" s="346"/>
      <c r="H8" s="346"/>
      <c r="I8" s="346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258"/>
      <c r="Z8" s="258"/>
      <c r="AA8" s="346"/>
      <c r="AB8" s="612" t="s">
        <v>59</v>
      </c>
      <c r="AC8" s="612"/>
    </row>
    <row r="9" spans="1:35" ht="5.0999999999999996" customHeight="1">
      <c r="U9" s="184"/>
      <c r="V9" s="184"/>
      <c r="W9" s="184"/>
      <c r="X9" s="184"/>
      <c r="Y9" s="259"/>
      <c r="Z9" s="259"/>
      <c r="AA9" s="184"/>
      <c r="AB9" s="184"/>
      <c r="AC9" s="184"/>
    </row>
    <row r="10" spans="1:35" ht="17.100000000000001" customHeight="1" thickBot="1">
      <c r="B10" s="184" t="s">
        <v>60</v>
      </c>
      <c r="C10" s="351" t="s">
        <v>1078</v>
      </c>
      <c r="D10" s="223"/>
      <c r="E10" s="223"/>
      <c r="F10" s="223"/>
      <c r="G10" s="223"/>
      <c r="AA10" s="260"/>
      <c r="AB10" s="613" t="s">
        <v>1097</v>
      </c>
      <c r="AC10" s="614"/>
    </row>
    <row r="11" spans="1:35" s="219" customFormat="1" ht="10.5">
      <c r="C11" s="183" t="s">
        <v>61</v>
      </c>
      <c r="U11" s="234"/>
      <c r="V11" s="234"/>
      <c r="W11" s="234"/>
      <c r="X11" s="234"/>
      <c r="Y11" s="261"/>
      <c r="Z11" s="261"/>
      <c r="AA11" s="234"/>
      <c r="AB11" s="234"/>
      <c r="AC11" s="234"/>
    </row>
    <row r="12" spans="1:35" s="219" customFormat="1">
      <c r="C12" s="183"/>
      <c r="U12" s="234"/>
      <c r="V12" s="234"/>
      <c r="W12" s="234"/>
      <c r="X12" s="234"/>
      <c r="Y12" s="261"/>
      <c r="Z12" s="261"/>
      <c r="AA12" s="234"/>
      <c r="AB12" s="234"/>
      <c r="AC12" s="234"/>
      <c r="AE12" s="332" t="s">
        <v>200</v>
      </c>
    </row>
    <row r="13" spans="1:35" s="220" customFormat="1" ht="15" customHeight="1">
      <c r="A13" s="615"/>
      <c r="B13" s="618" t="s">
        <v>62</v>
      </c>
      <c r="C13" s="618" t="s">
        <v>63</v>
      </c>
      <c r="D13" s="621" t="s">
        <v>64</v>
      </c>
      <c r="E13" s="622"/>
      <c r="F13" s="622"/>
      <c r="G13" s="622"/>
      <c r="H13" s="622"/>
      <c r="I13" s="622"/>
      <c r="J13" s="622"/>
      <c r="K13" s="622"/>
      <c r="L13" s="622"/>
      <c r="M13" s="622"/>
      <c r="N13" s="622"/>
      <c r="O13" s="622"/>
      <c r="P13" s="622"/>
      <c r="Q13" s="622"/>
      <c r="R13" s="622"/>
      <c r="S13" s="1404"/>
      <c r="T13" s="623" t="s">
        <v>65</v>
      </c>
      <c r="U13" s="626" t="s">
        <v>66</v>
      </c>
      <c r="V13" s="629" t="s">
        <v>67</v>
      </c>
      <c r="W13" s="235" t="s">
        <v>55</v>
      </c>
      <c r="X13" s="236" t="s">
        <v>68</v>
      </c>
      <c r="Y13" s="235" t="s">
        <v>17</v>
      </c>
      <c r="Z13" s="235" t="s">
        <v>22</v>
      </c>
      <c r="AA13" s="635" t="s">
        <v>69</v>
      </c>
      <c r="AB13" s="236" t="s">
        <v>70</v>
      </c>
      <c r="AC13" s="236" t="s">
        <v>199</v>
      </c>
      <c r="AE13" s="330" t="s">
        <v>55</v>
      </c>
    </row>
    <row r="14" spans="1:35" s="220" customFormat="1" ht="15" customHeight="1">
      <c r="A14" s="616"/>
      <c r="B14" s="619"/>
      <c r="C14" s="619"/>
      <c r="D14" s="324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237"/>
      <c r="T14" s="624"/>
      <c r="U14" s="627"/>
      <c r="V14" s="630"/>
      <c r="W14" s="320"/>
      <c r="X14" s="238" t="s">
        <v>71</v>
      </c>
      <c r="Y14" s="319" t="s">
        <v>75</v>
      </c>
      <c r="Z14" s="262" t="s">
        <v>72</v>
      </c>
      <c r="AA14" s="636"/>
      <c r="AB14" s="238" t="s">
        <v>54</v>
      </c>
      <c r="AC14" s="238" t="s">
        <v>73</v>
      </c>
      <c r="AE14" s="330"/>
    </row>
    <row r="15" spans="1:35" s="220" customFormat="1" ht="15" customHeight="1">
      <c r="A15" s="617"/>
      <c r="B15" s="620"/>
      <c r="C15" s="620"/>
      <c r="D15" s="326">
        <v>16</v>
      </c>
      <c r="E15" s="239">
        <v>17</v>
      </c>
      <c r="F15" s="239">
        <v>18</v>
      </c>
      <c r="G15" s="239">
        <v>19</v>
      </c>
      <c r="H15" s="239">
        <v>20</v>
      </c>
      <c r="I15" s="239">
        <v>21</v>
      </c>
      <c r="J15" s="239">
        <v>22</v>
      </c>
      <c r="K15" s="239">
        <v>23</v>
      </c>
      <c r="L15" s="239">
        <v>24</v>
      </c>
      <c r="M15" s="239">
        <v>25</v>
      </c>
      <c r="N15" s="239">
        <v>26</v>
      </c>
      <c r="O15" s="239">
        <v>27</v>
      </c>
      <c r="P15" s="239">
        <v>28</v>
      </c>
      <c r="Q15" s="239">
        <v>29</v>
      </c>
      <c r="R15" s="239">
        <v>30</v>
      </c>
      <c r="S15" s="239">
        <v>31</v>
      </c>
      <c r="T15" s="625"/>
      <c r="U15" s="628"/>
      <c r="V15" s="631"/>
      <c r="W15" s="240" t="s">
        <v>52</v>
      </c>
      <c r="X15" s="241" t="s">
        <v>74</v>
      </c>
      <c r="Y15" s="263" t="s">
        <v>76</v>
      </c>
      <c r="Z15" s="264"/>
      <c r="AA15" s="637"/>
      <c r="AB15" s="241" t="s">
        <v>77</v>
      </c>
      <c r="AC15" s="241"/>
      <c r="AE15" s="331" t="s">
        <v>52</v>
      </c>
      <c r="AF15" s="604"/>
      <c r="AI15" s="590"/>
    </row>
    <row r="16" spans="1:35" s="220" customFormat="1" ht="15" customHeight="1">
      <c r="A16" s="1370">
        <v>1</v>
      </c>
      <c r="B16" s="1362" t="s">
        <v>1087</v>
      </c>
      <c r="C16" s="1386" t="s">
        <v>1088</v>
      </c>
      <c r="D16" s="349" t="s">
        <v>78</v>
      </c>
      <c r="E16" s="349" t="s">
        <v>78</v>
      </c>
      <c r="F16" s="349" t="s">
        <v>78</v>
      </c>
      <c r="G16" s="349" t="s">
        <v>78</v>
      </c>
      <c r="H16" s="350" t="s">
        <v>78</v>
      </c>
      <c r="I16" s="349" t="s">
        <v>79</v>
      </c>
      <c r="J16" s="349" t="s">
        <v>79</v>
      </c>
      <c r="K16" s="349" t="s">
        <v>78</v>
      </c>
      <c r="L16" s="349" t="s">
        <v>78</v>
      </c>
      <c r="M16" s="349" t="s">
        <v>78</v>
      </c>
      <c r="N16" s="349" t="s">
        <v>78</v>
      </c>
      <c r="O16" s="349" t="s">
        <v>78</v>
      </c>
      <c r="P16" s="349" t="s">
        <v>79</v>
      </c>
      <c r="Q16" s="349" t="s">
        <v>79</v>
      </c>
      <c r="R16" s="349" t="s">
        <v>78</v>
      </c>
      <c r="S16" s="349"/>
      <c r="T16" s="1359">
        <f>COUNTIF(D16:S16,"X")+(COUNTIF(D16:S16,"/")/2)+COUNTIF(D16:S16,"OB")+COUNTIF(D16:S16,"SPH")</f>
        <v>11</v>
      </c>
      <c r="U16" s="1405">
        <v>704.77</v>
      </c>
      <c r="V16" s="1405">
        <f>U16*T16</f>
        <v>7752.4699999999993</v>
      </c>
      <c r="W16" s="242">
        <f>ROUND((ROUND((U16/8/60),2)*AE16),2)</f>
        <v>0</v>
      </c>
      <c r="X16" s="1405">
        <f>V16+W16-W18</f>
        <v>7551.3168958333326</v>
      </c>
      <c r="Y16" s="245">
        <f>ROUND((X16*0.03),2)</f>
        <v>226.54</v>
      </c>
      <c r="Z16" s="245">
        <v>0</v>
      </c>
      <c r="AA16" s="1408">
        <f>Y16+Y17+Y18+Z16+Z17+Z18</f>
        <v>226.54</v>
      </c>
      <c r="AB16" s="1411">
        <f>X16-AA16</f>
        <v>7324.7768958333327</v>
      </c>
      <c r="AC16" s="1414" t="s">
        <v>1092</v>
      </c>
      <c r="AE16" s="330">
        <v>0</v>
      </c>
      <c r="AF16" s="604"/>
      <c r="AI16" s="590"/>
    </row>
    <row r="17" spans="1:35" s="220" customFormat="1" ht="15" customHeight="1">
      <c r="A17" s="1371"/>
      <c r="B17" s="1363"/>
      <c r="C17" s="1366"/>
      <c r="D17" s="1373"/>
      <c r="E17" s="1375"/>
      <c r="F17" s="1377"/>
      <c r="G17" s="1377"/>
      <c r="H17" s="1377"/>
      <c r="I17" s="1377"/>
      <c r="J17" s="1377"/>
      <c r="K17" s="1375"/>
      <c r="L17" s="1375"/>
      <c r="M17" s="1375"/>
      <c r="N17" s="1377"/>
      <c r="O17" s="1377"/>
      <c r="P17" s="1379"/>
      <c r="Q17" s="1379"/>
      <c r="R17" s="1379"/>
      <c r="S17" s="1379"/>
      <c r="T17" s="1360"/>
      <c r="U17" s="1406"/>
      <c r="V17" s="1406"/>
      <c r="W17" s="243"/>
      <c r="X17" s="1406"/>
      <c r="Y17" s="246"/>
      <c r="Z17" s="266"/>
      <c r="AA17" s="1409"/>
      <c r="AB17" s="1412"/>
      <c r="AC17" s="1415"/>
      <c r="AE17" s="330"/>
      <c r="AF17" s="604"/>
      <c r="AI17" s="590"/>
    </row>
    <row r="18" spans="1:35" s="220" customFormat="1" ht="15" customHeight="1">
      <c r="A18" s="1372"/>
      <c r="B18" s="1364"/>
      <c r="C18" s="1367"/>
      <c r="D18" s="1374"/>
      <c r="E18" s="1376"/>
      <c r="F18" s="1378"/>
      <c r="G18" s="1378"/>
      <c r="H18" s="1378"/>
      <c r="I18" s="1378"/>
      <c r="J18" s="1378"/>
      <c r="K18" s="1376"/>
      <c r="L18" s="1376"/>
      <c r="M18" s="1376"/>
      <c r="N18" s="1378"/>
      <c r="O18" s="1378"/>
      <c r="P18" s="1380"/>
      <c r="Q18" s="1380"/>
      <c r="R18" s="1380"/>
      <c r="S18" s="1380"/>
      <c r="T18" s="1361"/>
      <c r="U18" s="1407"/>
      <c r="V18" s="1407"/>
      <c r="W18" s="244">
        <f>U16/8/60*AE18</f>
        <v>201.15310416666665</v>
      </c>
      <c r="X18" s="1407"/>
      <c r="Y18" s="267">
        <v>0</v>
      </c>
      <c r="Z18" s="268">
        <v>0</v>
      </c>
      <c r="AA18" s="1410"/>
      <c r="AB18" s="1413"/>
      <c r="AC18" s="1416"/>
      <c r="AE18" s="331">
        <v>137</v>
      </c>
      <c r="AF18" s="604"/>
      <c r="AI18" s="590"/>
    </row>
    <row r="19" spans="1:35" s="220" customFormat="1" ht="12" customHeight="1">
      <c r="A19" s="225"/>
      <c r="B19" s="1420"/>
      <c r="C19" s="1421"/>
      <c r="D19" s="226"/>
      <c r="E19" s="227"/>
      <c r="F19" s="227"/>
      <c r="G19" s="227"/>
      <c r="H19" s="228"/>
      <c r="I19" s="228"/>
      <c r="J19" s="232"/>
      <c r="K19" s="227"/>
      <c r="L19" s="227"/>
      <c r="M19" s="227"/>
      <c r="N19" s="232"/>
      <c r="O19" s="228"/>
      <c r="P19" s="228"/>
      <c r="Q19" s="227"/>
      <c r="R19" s="227"/>
      <c r="S19" s="250"/>
      <c r="T19" s="251"/>
      <c r="U19" s="252"/>
      <c r="V19" s="253"/>
      <c r="W19" s="249"/>
      <c r="X19" s="247"/>
      <c r="Y19" s="245"/>
      <c r="Z19" s="269"/>
      <c r="AA19" s="270"/>
      <c r="AB19" s="271"/>
      <c r="AC19" s="345"/>
      <c r="AD19" s="265"/>
      <c r="AE19" s="327"/>
    </row>
    <row r="20" spans="1:35" s="220" customFormat="1" ht="17.100000000000001" customHeight="1">
      <c r="A20" s="229"/>
      <c r="B20" s="1418" t="s">
        <v>1089</v>
      </c>
      <c r="C20" s="1419"/>
      <c r="D20" s="230"/>
      <c r="E20" s="224"/>
      <c r="F20" s="224"/>
      <c r="G20" s="224"/>
      <c r="H20" s="231"/>
      <c r="I20" s="231"/>
      <c r="J20" s="233"/>
      <c r="K20" s="224"/>
      <c r="L20" s="224"/>
      <c r="M20" s="224"/>
      <c r="N20" s="233"/>
      <c r="O20" s="231"/>
      <c r="P20" s="231"/>
      <c r="Q20" s="224"/>
      <c r="R20" s="224"/>
      <c r="S20" s="254"/>
      <c r="T20" s="255"/>
      <c r="U20" s="256"/>
      <c r="V20" s="248"/>
      <c r="W20" s="257">
        <f>ROUND((W16),2)</f>
        <v>0</v>
      </c>
      <c r="X20" s="257"/>
      <c r="Y20" s="257">
        <f>Y16</f>
        <v>226.54</v>
      </c>
      <c r="Z20" s="257">
        <f>ROUND((Z16),2)</f>
        <v>0</v>
      </c>
      <c r="AA20" s="272"/>
      <c r="AB20" s="272"/>
      <c r="AC20" s="273"/>
      <c r="AD20" s="265"/>
      <c r="AE20" s="327"/>
    </row>
    <row r="21" spans="1:35" s="220" customFormat="1" ht="17.100000000000001" customHeight="1">
      <c r="A21" s="229"/>
      <c r="B21" s="664"/>
      <c r="C21" s="665"/>
      <c r="D21" s="230"/>
      <c r="E21" s="224"/>
      <c r="F21" s="224"/>
      <c r="G21" s="224"/>
      <c r="H21" s="231"/>
      <c r="I21" s="231"/>
      <c r="J21" s="233"/>
      <c r="K21" s="224"/>
      <c r="L21" s="224"/>
      <c r="M21" s="224"/>
      <c r="N21" s="233"/>
      <c r="O21" s="231"/>
      <c r="P21" s="231"/>
      <c r="Q21" s="224"/>
      <c r="R21" s="224"/>
      <c r="S21" s="254"/>
      <c r="T21" s="255"/>
      <c r="U21" s="256"/>
      <c r="V21" s="248"/>
      <c r="W21" s="257">
        <f>ROUND((W17),2)</f>
        <v>0</v>
      </c>
      <c r="X21" s="257"/>
      <c r="Y21" s="257">
        <f>ROUND((Y17),2)</f>
        <v>0</v>
      </c>
      <c r="Z21" s="257"/>
      <c r="AA21" s="272"/>
      <c r="AB21" s="272"/>
      <c r="AC21" s="273"/>
      <c r="AD21" s="265"/>
      <c r="AE21" s="327"/>
    </row>
    <row r="22" spans="1:35" s="220" customFormat="1" ht="17.100000000000001" customHeight="1">
      <c r="A22" s="229"/>
      <c r="B22" s="666"/>
      <c r="C22" s="667"/>
      <c r="D22" s="230"/>
      <c r="E22" s="224"/>
      <c r="F22" s="224"/>
      <c r="G22" s="224"/>
      <c r="H22" s="231"/>
      <c r="I22" s="231"/>
      <c r="J22" s="233"/>
      <c r="K22" s="224"/>
      <c r="L22" s="224"/>
      <c r="M22" s="224"/>
      <c r="N22" s="233"/>
      <c r="O22" s="231"/>
      <c r="P22" s="231"/>
      <c r="Q22" s="224"/>
      <c r="R22" s="224"/>
      <c r="S22" s="254"/>
      <c r="T22" s="255"/>
      <c r="U22" s="256"/>
      <c r="V22" s="248"/>
      <c r="W22" s="257">
        <f>W18</f>
        <v>201.15310416666665</v>
      </c>
      <c r="X22" s="257"/>
      <c r="Y22" s="257">
        <f>ROUND((Y18),2)</f>
        <v>0</v>
      </c>
      <c r="Z22" s="257">
        <f>ROUND((Z18),2)</f>
        <v>0</v>
      </c>
      <c r="AA22" s="272"/>
      <c r="AB22" s="272"/>
      <c r="AC22" s="273"/>
      <c r="AD22" s="265"/>
      <c r="AE22" s="327"/>
    </row>
    <row r="23" spans="1:35" ht="12" customHeight="1">
      <c r="A23" s="274"/>
      <c r="B23" s="1395"/>
      <c r="C23" s="1396"/>
      <c r="D23" s="275"/>
      <c r="E23" s="276"/>
      <c r="F23" s="276"/>
      <c r="G23" s="276"/>
      <c r="H23" s="276"/>
      <c r="I23" s="276"/>
      <c r="J23" s="276"/>
      <c r="K23" s="279"/>
      <c r="L23" s="276"/>
      <c r="M23" s="276"/>
      <c r="N23" s="276"/>
      <c r="O23" s="276"/>
      <c r="P23" s="276"/>
      <c r="Q23" s="276"/>
      <c r="R23" s="279"/>
      <c r="S23" s="280"/>
      <c r="T23" s="281"/>
      <c r="U23" s="343"/>
      <c r="V23" s="282"/>
      <c r="W23" s="257"/>
      <c r="X23" s="283"/>
      <c r="Y23" s="285"/>
      <c r="Z23" s="286"/>
      <c r="AA23" s="344"/>
      <c r="AB23" s="287"/>
      <c r="AC23" s="288"/>
      <c r="AE23" s="328"/>
    </row>
    <row r="24" spans="1:35" s="181" customFormat="1" ht="30" customHeight="1">
      <c r="A24" s="668" t="s">
        <v>80</v>
      </c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69"/>
      <c r="P24" s="669"/>
      <c r="Q24" s="669"/>
      <c r="R24" s="669"/>
      <c r="S24" s="669"/>
      <c r="T24" s="669"/>
      <c r="U24" s="670"/>
      <c r="V24" s="333">
        <f>ROUND(SUM(V16:V18),2)</f>
        <v>7752.47</v>
      </c>
      <c r="W24" s="289">
        <f>ROUND(SUM(W20:W22),2)</f>
        <v>201.15</v>
      </c>
      <c r="X24" s="333">
        <f>ROUND(SUM(X16:X18),2)</f>
        <v>7551.32</v>
      </c>
      <c r="Y24" s="289">
        <f>ROUND(SUM(Y20:Y22),2)</f>
        <v>226.54</v>
      </c>
      <c r="Z24" s="289">
        <f>ROUND(SUM(Z20:Z22),2)</f>
        <v>0</v>
      </c>
      <c r="AA24" s="333">
        <f>ROUND((Y24+Z24),2)</f>
        <v>226.54</v>
      </c>
      <c r="AB24" s="333">
        <f>ROUND(SUM(AB16:AB18),2)</f>
        <v>7324.78</v>
      </c>
      <c r="AC24" s="290"/>
      <c r="AE24" s="329"/>
    </row>
    <row r="25" spans="1:35" s="181" customFormat="1" ht="24" customHeight="1">
      <c r="A25" s="277"/>
      <c r="B25" s="322"/>
      <c r="C25" s="323"/>
      <c r="D25" s="323"/>
      <c r="E25" s="323"/>
      <c r="F25" s="323"/>
      <c r="G25" s="323"/>
      <c r="H25" s="323"/>
      <c r="I25" s="323"/>
      <c r="J25" s="323"/>
      <c r="K25" s="323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84"/>
      <c r="W25" s="284"/>
      <c r="X25" s="284"/>
      <c r="Y25" s="291"/>
      <c r="Z25" s="291"/>
      <c r="AA25" s="284"/>
      <c r="AB25" s="284"/>
      <c r="AC25" s="348"/>
    </row>
    <row r="26" spans="1:35" s="181" customFormat="1" ht="9.9499999999999993" customHeight="1">
      <c r="A26" s="277"/>
      <c r="B26" s="278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84"/>
      <c r="W26" s="284"/>
      <c r="X26" s="284"/>
      <c r="Y26" s="291"/>
      <c r="Z26" s="291"/>
      <c r="AA26" s="284"/>
      <c r="AB26" s="284"/>
      <c r="AC26" s="348"/>
      <c r="AE26" s="292"/>
    </row>
    <row r="27" spans="1:35" s="221" customFormat="1" ht="60" customHeight="1">
      <c r="B27" s="671" t="s">
        <v>81</v>
      </c>
      <c r="C27" s="671"/>
      <c r="D27" s="671"/>
      <c r="J27" s="671" t="s">
        <v>82</v>
      </c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X27" s="671" t="s">
        <v>83</v>
      </c>
      <c r="Y27" s="671"/>
      <c r="Z27" s="671"/>
      <c r="AA27" s="671"/>
      <c r="AB27" s="671"/>
      <c r="AC27" s="671"/>
    </row>
    <row r="28" spans="1:35">
      <c r="W28" s="184"/>
      <c r="X28" s="184"/>
      <c r="Y28" s="259"/>
      <c r="Z28" s="259"/>
      <c r="AA28" s="184"/>
      <c r="AB28" s="184"/>
      <c r="AC28" s="181"/>
    </row>
    <row r="29" spans="1:35">
      <c r="W29" s="184"/>
      <c r="X29" s="184"/>
      <c r="Y29" s="259"/>
      <c r="Z29" s="259"/>
      <c r="AA29" s="184"/>
      <c r="AB29" s="184"/>
      <c r="AC29" s="181"/>
    </row>
    <row r="30" spans="1:35">
      <c r="W30" s="184"/>
      <c r="X30" s="184"/>
      <c r="Y30" s="259"/>
      <c r="Z30" s="259"/>
      <c r="AA30" s="184"/>
      <c r="AB30" s="184"/>
      <c r="AC30" s="181"/>
    </row>
    <row r="31" spans="1:35" s="221" customFormat="1" ht="15" customHeight="1">
      <c r="B31" s="660" t="s">
        <v>1080</v>
      </c>
      <c r="C31" s="1422"/>
      <c r="J31" s="660" t="s">
        <v>1082</v>
      </c>
      <c r="K31" s="660"/>
      <c r="L31" s="660"/>
      <c r="M31" s="660"/>
      <c r="N31" s="660"/>
      <c r="O31" s="660"/>
      <c r="P31" s="660"/>
      <c r="Q31" s="660"/>
      <c r="R31" s="660"/>
      <c r="S31" s="660"/>
      <c r="T31" s="660"/>
      <c r="U31" s="660"/>
      <c r="V31" s="660"/>
      <c r="X31" s="660" t="s">
        <v>205</v>
      </c>
      <c r="Y31" s="660"/>
      <c r="Z31" s="660"/>
      <c r="AA31" s="660"/>
      <c r="AB31" s="660"/>
      <c r="AC31" s="660"/>
    </row>
    <row r="32" spans="1:35" s="221" customFormat="1" ht="15" customHeight="1">
      <c r="B32" s="661" t="s">
        <v>1081</v>
      </c>
      <c r="C32" s="1417"/>
      <c r="J32" s="661" t="s">
        <v>1083</v>
      </c>
      <c r="K32" s="661"/>
      <c r="L32" s="661"/>
      <c r="M32" s="661"/>
      <c r="N32" s="661"/>
      <c r="O32" s="661"/>
      <c r="P32" s="661"/>
      <c r="Q32" s="661"/>
      <c r="R32" s="661"/>
      <c r="S32" s="661"/>
      <c r="T32" s="661"/>
      <c r="U32" s="661"/>
      <c r="V32" s="661"/>
      <c r="X32" s="661" t="s">
        <v>206</v>
      </c>
      <c r="Y32" s="661"/>
      <c r="Z32" s="661"/>
      <c r="AA32" s="661"/>
      <c r="AB32" s="661"/>
      <c r="AC32" s="661"/>
    </row>
  </sheetData>
  <mergeCells count="58">
    <mergeCell ref="B32:C32"/>
    <mergeCell ref="J32:V32"/>
    <mergeCell ref="X32:AC32"/>
    <mergeCell ref="B20:C20"/>
    <mergeCell ref="B19:C19"/>
    <mergeCell ref="B21:C21"/>
    <mergeCell ref="B22:C22"/>
    <mergeCell ref="B23:C23"/>
    <mergeCell ref="A24:U24"/>
    <mergeCell ref="B27:D27"/>
    <mergeCell ref="J27:V27"/>
    <mergeCell ref="X27:AC27"/>
    <mergeCell ref="B31:C31"/>
    <mergeCell ref="J31:V31"/>
    <mergeCell ref="X31:AC31"/>
    <mergeCell ref="S17:S18"/>
    <mergeCell ref="L17:L18"/>
    <mergeCell ref="M17:M18"/>
    <mergeCell ref="N17:N18"/>
    <mergeCell ref="O17:O18"/>
    <mergeCell ref="P17:P18"/>
    <mergeCell ref="Q17:Q18"/>
    <mergeCell ref="H17:H18"/>
    <mergeCell ref="I17:I18"/>
    <mergeCell ref="J17:J18"/>
    <mergeCell ref="K17:K18"/>
    <mergeCell ref="R17:R18"/>
    <mergeCell ref="AF15:AF18"/>
    <mergeCell ref="AI15:AI18"/>
    <mergeCell ref="A16:A18"/>
    <mergeCell ref="B16:B18"/>
    <mergeCell ref="C16:C18"/>
    <mergeCell ref="T16:T18"/>
    <mergeCell ref="U16:U18"/>
    <mergeCell ref="V16:V18"/>
    <mergeCell ref="X16:X18"/>
    <mergeCell ref="AA16:AA18"/>
    <mergeCell ref="AB16:AB18"/>
    <mergeCell ref="AC16:AC18"/>
    <mergeCell ref="D17:D18"/>
    <mergeCell ref="E17:E18"/>
    <mergeCell ref="F17:F18"/>
    <mergeCell ref="G17:G18"/>
    <mergeCell ref="AB10:AC10"/>
    <mergeCell ref="A13:A15"/>
    <mergeCell ref="B13:B15"/>
    <mergeCell ref="C13:C15"/>
    <mergeCell ref="D13:S13"/>
    <mergeCell ref="T13:T15"/>
    <mergeCell ref="U13:U15"/>
    <mergeCell ref="V13:V15"/>
    <mergeCell ref="AA13:AA15"/>
    <mergeCell ref="AB8:AC8"/>
    <mergeCell ref="B2:AC2"/>
    <mergeCell ref="B3:AC3"/>
    <mergeCell ref="B4:AC4"/>
    <mergeCell ref="B5:AC5"/>
    <mergeCell ref="A7:AC7"/>
  </mergeCells>
  <pageMargins left="0.48958333333333331" right="0.43263888888888902" top="0.23611111111111099" bottom="0.25" header="0.31458333333333299" footer="6.4583333000000007E-2"/>
  <pageSetup paperSize="14" scale="55" fitToWidth="0" fitToHeight="0" orientation="landscape" verticalDpi="360" r:id="rId1"/>
  <headerFooter>
    <oddFooter>&amp;L&amp;"Tahoma,Italic"&amp;8NIA-AlCat RV-AFD-FIN-INT-Form39Rev00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J60"/>
  <sheetViews>
    <sheetView topLeftCell="A7" zoomScaleNormal="100" workbookViewId="0">
      <selection activeCell="F15" sqref="F15"/>
    </sheetView>
  </sheetViews>
  <sheetFormatPr defaultColWidth="9" defaultRowHeight="12.75"/>
  <cols>
    <col min="1" max="1" width="14.5703125" style="184" customWidth="1"/>
    <col min="2" max="2" width="14" style="184" customWidth="1"/>
    <col min="3" max="4" width="17.85546875" style="184" customWidth="1"/>
    <col min="5" max="5" width="32.140625" style="184" customWidth="1"/>
    <col min="6" max="6" width="22.140625" style="184" customWidth="1"/>
    <col min="7" max="7" width="12.42578125" style="184" customWidth="1"/>
    <col min="8" max="8" width="15" style="185" customWidth="1"/>
    <col min="9" max="9" width="12.140625" style="184" customWidth="1"/>
    <col min="10" max="10" width="12.7109375" style="184" customWidth="1"/>
    <col min="11" max="256" width="9" style="184"/>
    <col min="257" max="257" width="14.5703125" style="184" customWidth="1"/>
    <col min="258" max="258" width="14" style="184" customWidth="1"/>
    <col min="259" max="260" width="17.85546875" style="184" customWidth="1"/>
    <col min="261" max="261" width="30.5703125" style="184" customWidth="1"/>
    <col min="262" max="262" width="22.140625" style="184" customWidth="1"/>
    <col min="263" max="263" width="12.42578125" style="184" customWidth="1"/>
    <col min="264" max="264" width="15" style="184" customWidth="1"/>
    <col min="265" max="265" width="12.140625" style="184" customWidth="1"/>
    <col min="266" max="266" width="12.7109375" style="184" customWidth="1"/>
    <col min="267" max="512" width="9" style="184"/>
    <col min="513" max="513" width="14.5703125" style="184" customWidth="1"/>
    <col min="514" max="514" width="14" style="184" customWidth="1"/>
    <col min="515" max="516" width="17.85546875" style="184" customWidth="1"/>
    <col min="517" max="517" width="30.5703125" style="184" customWidth="1"/>
    <col min="518" max="518" width="22.140625" style="184" customWidth="1"/>
    <col min="519" max="519" width="12.42578125" style="184" customWidth="1"/>
    <col min="520" max="520" width="15" style="184" customWidth="1"/>
    <col min="521" max="521" width="12.140625" style="184" customWidth="1"/>
    <col min="522" max="522" width="12.7109375" style="184" customWidth="1"/>
    <col min="523" max="768" width="9" style="184"/>
    <col min="769" max="769" width="14.5703125" style="184" customWidth="1"/>
    <col min="770" max="770" width="14" style="184" customWidth="1"/>
    <col min="771" max="772" width="17.85546875" style="184" customWidth="1"/>
    <col min="773" max="773" width="30.5703125" style="184" customWidth="1"/>
    <col min="774" max="774" width="22.140625" style="184" customWidth="1"/>
    <col min="775" max="775" width="12.42578125" style="184" customWidth="1"/>
    <col min="776" max="776" width="15" style="184" customWidth="1"/>
    <col min="777" max="777" width="12.140625" style="184" customWidth="1"/>
    <col min="778" max="778" width="12.7109375" style="184" customWidth="1"/>
    <col min="779" max="1024" width="9" style="184"/>
    <col min="1025" max="1025" width="14.5703125" style="184" customWidth="1"/>
    <col min="1026" max="1026" width="14" style="184" customWidth="1"/>
    <col min="1027" max="1028" width="17.85546875" style="184" customWidth="1"/>
    <col min="1029" max="1029" width="30.5703125" style="184" customWidth="1"/>
    <col min="1030" max="1030" width="22.140625" style="184" customWidth="1"/>
    <col min="1031" max="1031" width="12.42578125" style="184" customWidth="1"/>
    <col min="1032" max="1032" width="15" style="184" customWidth="1"/>
    <col min="1033" max="1033" width="12.140625" style="184" customWidth="1"/>
    <col min="1034" max="1034" width="12.7109375" style="184" customWidth="1"/>
    <col min="1035" max="1280" width="9" style="184"/>
    <col min="1281" max="1281" width="14.5703125" style="184" customWidth="1"/>
    <col min="1282" max="1282" width="14" style="184" customWidth="1"/>
    <col min="1283" max="1284" width="17.85546875" style="184" customWidth="1"/>
    <col min="1285" max="1285" width="30.5703125" style="184" customWidth="1"/>
    <col min="1286" max="1286" width="22.140625" style="184" customWidth="1"/>
    <col min="1287" max="1287" width="12.42578125" style="184" customWidth="1"/>
    <col min="1288" max="1288" width="15" style="184" customWidth="1"/>
    <col min="1289" max="1289" width="12.140625" style="184" customWidth="1"/>
    <col min="1290" max="1290" width="12.7109375" style="184" customWidth="1"/>
    <col min="1291" max="1536" width="9" style="184"/>
    <col min="1537" max="1537" width="14.5703125" style="184" customWidth="1"/>
    <col min="1538" max="1538" width="14" style="184" customWidth="1"/>
    <col min="1539" max="1540" width="17.85546875" style="184" customWidth="1"/>
    <col min="1541" max="1541" width="30.5703125" style="184" customWidth="1"/>
    <col min="1542" max="1542" width="22.140625" style="184" customWidth="1"/>
    <col min="1543" max="1543" width="12.42578125" style="184" customWidth="1"/>
    <col min="1544" max="1544" width="15" style="184" customWidth="1"/>
    <col min="1545" max="1545" width="12.140625" style="184" customWidth="1"/>
    <col min="1546" max="1546" width="12.7109375" style="184" customWidth="1"/>
    <col min="1547" max="1792" width="9" style="184"/>
    <col min="1793" max="1793" width="14.5703125" style="184" customWidth="1"/>
    <col min="1794" max="1794" width="14" style="184" customWidth="1"/>
    <col min="1795" max="1796" width="17.85546875" style="184" customWidth="1"/>
    <col min="1797" max="1797" width="30.5703125" style="184" customWidth="1"/>
    <col min="1798" max="1798" width="22.140625" style="184" customWidth="1"/>
    <col min="1799" max="1799" width="12.42578125" style="184" customWidth="1"/>
    <col min="1800" max="1800" width="15" style="184" customWidth="1"/>
    <col min="1801" max="1801" width="12.140625" style="184" customWidth="1"/>
    <col min="1802" max="1802" width="12.7109375" style="184" customWidth="1"/>
    <col min="1803" max="2048" width="9" style="184"/>
    <col min="2049" max="2049" width="14.5703125" style="184" customWidth="1"/>
    <col min="2050" max="2050" width="14" style="184" customWidth="1"/>
    <col min="2051" max="2052" width="17.85546875" style="184" customWidth="1"/>
    <col min="2053" max="2053" width="30.5703125" style="184" customWidth="1"/>
    <col min="2054" max="2054" width="22.140625" style="184" customWidth="1"/>
    <col min="2055" max="2055" width="12.42578125" style="184" customWidth="1"/>
    <col min="2056" max="2056" width="15" style="184" customWidth="1"/>
    <col min="2057" max="2057" width="12.140625" style="184" customWidth="1"/>
    <col min="2058" max="2058" width="12.7109375" style="184" customWidth="1"/>
    <col min="2059" max="2304" width="9" style="184"/>
    <col min="2305" max="2305" width="14.5703125" style="184" customWidth="1"/>
    <col min="2306" max="2306" width="14" style="184" customWidth="1"/>
    <col min="2307" max="2308" width="17.85546875" style="184" customWidth="1"/>
    <col min="2309" max="2309" width="30.5703125" style="184" customWidth="1"/>
    <col min="2310" max="2310" width="22.140625" style="184" customWidth="1"/>
    <col min="2311" max="2311" width="12.42578125" style="184" customWidth="1"/>
    <col min="2312" max="2312" width="15" style="184" customWidth="1"/>
    <col min="2313" max="2313" width="12.140625" style="184" customWidth="1"/>
    <col min="2314" max="2314" width="12.7109375" style="184" customWidth="1"/>
    <col min="2315" max="2560" width="9" style="184"/>
    <col min="2561" max="2561" width="14.5703125" style="184" customWidth="1"/>
    <col min="2562" max="2562" width="14" style="184" customWidth="1"/>
    <col min="2563" max="2564" width="17.85546875" style="184" customWidth="1"/>
    <col min="2565" max="2565" width="30.5703125" style="184" customWidth="1"/>
    <col min="2566" max="2566" width="22.140625" style="184" customWidth="1"/>
    <col min="2567" max="2567" width="12.42578125" style="184" customWidth="1"/>
    <col min="2568" max="2568" width="15" style="184" customWidth="1"/>
    <col min="2569" max="2569" width="12.140625" style="184" customWidth="1"/>
    <col min="2570" max="2570" width="12.7109375" style="184" customWidth="1"/>
    <col min="2571" max="2816" width="9" style="184"/>
    <col min="2817" max="2817" width="14.5703125" style="184" customWidth="1"/>
    <col min="2818" max="2818" width="14" style="184" customWidth="1"/>
    <col min="2819" max="2820" width="17.85546875" style="184" customWidth="1"/>
    <col min="2821" max="2821" width="30.5703125" style="184" customWidth="1"/>
    <col min="2822" max="2822" width="22.140625" style="184" customWidth="1"/>
    <col min="2823" max="2823" width="12.42578125" style="184" customWidth="1"/>
    <col min="2824" max="2824" width="15" style="184" customWidth="1"/>
    <col min="2825" max="2825" width="12.140625" style="184" customWidth="1"/>
    <col min="2826" max="2826" width="12.7109375" style="184" customWidth="1"/>
    <col min="2827" max="3072" width="9" style="184"/>
    <col min="3073" max="3073" width="14.5703125" style="184" customWidth="1"/>
    <col min="3074" max="3074" width="14" style="184" customWidth="1"/>
    <col min="3075" max="3076" width="17.85546875" style="184" customWidth="1"/>
    <col min="3077" max="3077" width="30.5703125" style="184" customWidth="1"/>
    <col min="3078" max="3078" width="22.140625" style="184" customWidth="1"/>
    <col min="3079" max="3079" width="12.42578125" style="184" customWidth="1"/>
    <col min="3080" max="3080" width="15" style="184" customWidth="1"/>
    <col min="3081" max="3081" width="12.140625" style="184" customWidth="1"/>
    <col min="3082" max="3082" width="12.7109375" style="184" customWidth="1"/>
    <col min="3083" max="3328" width="9" style="184"/>
    <col min="3329" max="3329" width="14.5703125" style="184" customWidth="1"/>
    <col min="3330" max="3330" width="14" style="184" customWidth="1"/>
    <col min="3331" max="3332" width="17.85546875" style="184" customWidth="1"/>
    <col min="3333" max="3333" width="30.5703125" style="184" customWidth="1"/>
    <col min="3334" max="3334" width="22.140625" style="184" customWidth="1"/>
    <col min="3335" max="3335" width="12.42578125" style="184" customWidth="1"/>
    <col min="3336" max="3336" width="15" style="184" customWidth="1"/>
    <col min="3337" max="3337" width="12.140625" style="184" customWidth="1"/>
    <col min="3338" max="3338" width="12.7109375" style="184" customWidth="1"/>
    <col min="3339" max="3584" width="9" style="184"/>
    <col min="3585" max="3585" width="14.5703125" style="184" customWidth="1"/>
    <col min="3586" max="3586" width="14" style="184" customWidth="1"/>
    <col min="3587" max="3588" width="17.85546875" style="184" customWidth="1"/>
    <col min="3589" max="3589" width="30.5703125" style="184" customWidth="1"/>
    <col min="3590" max="3590" width="22.140625" style="184" customWidth="1"/>
    <col min="3591" max="3591" width="12.42578125" style="184" customWidth="1"/>
    <col min="3592" max="3592" width="15" style="184" customWidth="1"/>
    <col min="3593" max="3593" width="12.140625" style="184" customWidth="1"/>
    <col min="3594" max="3594" width="12.7109375" style="184" customWidth="1"/>
    <col min="3595" max="3840" width="9" style="184"/>
    <col min="3841" max="3841" width="14.5703125" style="184" customWidth="1"/>
    <col min="3842" max="3842" width="14" style="184" customWidth="1"/>
    <col min="3843" max="3844" width="17.85546875" style="184" customWidth="1"/>
    <col min="3845" max="3845" width="30.5703125" style="184" customWidth="1"/>
    <col min="3846" max="3846" width="22.140625" style="184" customWidth="1"/>
    <col min="3847" max="3847" width="12.42578125" style="184" customWidth="1"/>
    <col min="3848" max="3848" width="15" style="184" customWidth="1"/>
    <col min="3849" max="3849" width="12.140625" style="184" customWidth="1"/>
    <col min="3850" max="3850" width="12.7109375" style="184" customWidth="1"/>
    <col min="3851" max="4096" width="9" style="184"/>
    <col min="4097" max="4097" width="14.5703125" style="184" customWidth="1"/>
    <col min="4098" max="4098" width="14" style="184" customWidth="1"/>
    <col min="4099" max="4100" width="17.85546875" style="184" customWidth="1"/>
    <col min="4101" max="4101" width="30.5703125" style="184" customWidth="1"/>
    <col min="4102" max="4102" width="22.140625" style="184" customWidth="1"/>
    <col min="4103" max="4103" width="12.42578125" style="184" customWidth="1"/>
    <col min="4104" max="4104" width="15" style="184" customWidth="1"/>
    <col min="4105" max="4105" width="12.140625" style="184" customWidth="1"/>
    <col min="4106" max="4106" width="12.7109375" style="184" customWidth="1"/>
    <col min="4107" max="4352" width="9" style="184"/>
    <col min="4353" max="4353" width="14.5703125" style="184" customWidth="1"/>
    <col min="4354" max="4354" width="14" style="184" customWidth="1"/>
    <col min="4355" max="4356" width="17.85546875" style="184" customWidth="1"/>
    <col min="4357" max="4357" width="30.5703125" style="184" customWidth="1"/>
    <col min="4358" max="4358" width="22.140625" style="184" customWidth="1"/>
    <col min="4359" max="4359" width="12.42578125" style="184" customWidth="1"/>
    <col min="4360" max="4360" width="15" style="184" customWidth="1"/>
    <col min="4361" max="4361" width="12.140625" style="184" customWidth="1"/>
    <col min="4362" max="4362" width="12.7109375" style="184" customWidth="1"/>
    <col min="4363" max="4608" width="9" style="184"/>
    <col min="4609" max="4609" width="14.5703125" style="184" customWidth="1"/>
    <col min="4610" max="4610" width="14" style="184" customWidth="1"/>
    <col min="4611" max="4612" width="17.85546875" style="184" customWidth="1"/>
    <col min="4613" max="4613" width="30.5703125" style="184" customWidth="1"/>
    <col min="4614" max="4614" width="22.140625" style="184" customWidth="1"/>
    <col min="4615" max="4615" width="12.42578125" style="184" customWidth="1"/>
    <col min="4616" max="4616" width="15" style="184" customWidth="1"/>
    <col min="4617" max="4617" width="12.140625" style="184" customWidth="1"/>
    <col min="4618" max="4618" width="12.7109375" style="184" customWidth="1"/>
    <col min="4619" max="4864" width="9" style="184"/>
    <col min="4865" max="4865" width="14.5703125" style="184" customWidth="1"/>
    <col min="4866" max="4866" width="14" style="184" customWidth="1"/>
    <col min="4867" max="4868" width="17.85546875" style="184" customWidth="1"/>
    <col min="4869" max="4869" width="30.5703125" style="184" customWidth="1"/>
    <col min="4870" max="4870" width="22.140625" style="184" customWidth="1"/>
    <col min="4871" max="4871" width="12.42578125" style="184" customWidth="1"/>
    <col min="4872" max="4872" width="15" style="184" customWidth="1"/>
    <col min="4873" max="4873" width="12.140625" style="184" customWidth="1"/>
    <col min="4874" max="4874" width="12.7109375" style="184" customWidth="1"/>
    <col min="4875" max="5120" width="9" style="184"/>
    <col min="5121" max="5121" width="14.5703125" style="184" customWidth="1"/>
    <col min="5122" max="5122" width="14" style="184" customWidth="1"/>
    <col min="5123" max="5124" width="17.85546875" style="184" customWidth="1"/>
    <col min="5125" max="5125" width="30.5703125" style="184" customWidth="1"/>
    <col min="5126" max="5126" width="22.140625" style="184" customWidth="1"/>
    <col min="5127" max="5127" width="12.42578125" style="184" customWidth="1"/>
    <col min="5128" max="5128" width="15" style="184" customWidth="1"/>
    <col min="5129" max="5129" width="12.140625" style="184" customWidth="1"/>
    <col min="5130" max="5130" width="12.7109375" style="184" customWidth="1"/>
    <col min="5131" max="5376" width="9" style="184"/>
    <col min="5377" max="5377" width="14.5703125" style="184" customWidth="1"/>
    <col min="5378" max="5378" width="14" style="184" customWidth="1"/>
    <col min="5379" max="5380" width="17.85546875" style="184" customWidth="1"/>
    <col min="5381" max="5381" width="30.5703125" style="184" customWidth="1"/>
    <col min="5382" max="5382" width="22.140625" style="184" customWidth="1"/>
    <col min="5383" max="5383" width="12.42578125" style="184" customWidth="1"/>
    <col min="5384" max="5384" width="15" style="184" customWidth="1"/>
    <col min="5385" max="5385" width="12.140625" style="184" customWidth="1"/>
    <col min="5386" max="5386" width="12.7109375" style="184" customWidth="1"/>
    <col min="5387" max="5632" width="9" style="184"/>
    <col min="5633" max="5633" width="14.5703125" style="184" customWidth="1"/>
    <col min="5634" max="5634" width="14" style="184" customWidth="1"/>
    <col min="5635" max="5636" width="17.85546875" style="184" customWidth="1"/>
    <col min="5637" max="5637" width="30.5703125" style="184" customWidth="1"/>
    <col min="5638" max="5638" width="22.140625" style="184" customWidth="1"/>
    <col min="5639" max="5639" width="12.42578125" style="184" customWidth="1"/>
    <col min="5640" max="5640" width="15" style="184" customWidth="1"/>
    <col min="5641" max="5641" width="12.140625" style="184" customWidth="1"/>
    <col min="5642" max="5642" width="12.7109375" style="184" customWidth="1"/>
    <col min="5643" max="5888" width="9" style="184"/>
    <col min="5889" max="5889" width="14.5703125" style="184" customWidth="1"/>
    <col min="5890" max="5890" width="14" style="184" customWidth="1"/>
    <col min="5891" max="5892" width="17.85546875" style="184" customWidth="1"/>
    <col min="5893" max="5893" width="30.5703125" style="184" customWidth="1"/>
    <col min="5894" max="5894" width="22.140625" style="184" customWidth="1"/>
    <col min="5895" max="5895" width="12.42578125" style="184" customWidth="1"/>
    <col min="5896" max="5896" width="15" style="184" customWidth="1"/>
    <col min="5897" max="5897" width="12.140625" style="184" customWidth="1"/>
    <col min="5898" max="5898" width="12.7109375" style="184" customWidth="1"/>
    <col min="5899" max="6144" width="9" style="184"/>
    <col min="6145" max="6145" width="14.5703125" style="184" customWidth="1"/>
    <col min="6146" max="6146" width="14" style="184" customWidth="1"/>
    <col min="6147" max="6148" width="17.85546875" style="184" customWidth="1"/>
    <col min="6149" max="6149" width="30.5703125" style="184" customWidth="1"/>
    <col min="6150" max="6150" width="22.140625" style="184" customWidth="1"/>
    <col min="6151" max="6151" width="12.42578125" style="184" customWidth="1"/>
    <col min="6152" max="6152" width="15" style="184" customWidth="1"/>
    <col min="6153" max="6153" width="12.140625" style="184" customWidth="1"/>
    <col min="6154" max="6154" width="12.7109375" style="184" customWidth="1"/>
    <col min="6155" max="6400" width="9" style="184"/>
    <col min="6401" max="6401" width="14.5703125" style="184" customWidth="1"/>
    <col min="6402" max="6402" width="14" style="184" customWidth="1"/>
    <col min="6403" max="6404" width="17.85546875" style="184" customWidth="1"/>
    <col min="6405" max="6405" width="30.5703125" style="184" customWidth="1"/>
    <col min="6406" max="6406" width="22.140625" style="184" customWidth="1"/>
    <col min="6407" max="6407" width="12.42578125" style="184" customWidth="1"/>
    <col min="6408" max="6408" width="15" style="184" customWidth="1"/>
    <col min="6409" max="6409" width="12.140625" style="184" customWidth="1"/>
    <col min="6410" max="6410" width="12.7109375" style="184" customWidth="1"/>
    <col min="6411" max="6656" width="9" style="184"/>
    <col min="6657" max="6657" width="14.5703125" style="184" customWidth="1"/>
    <col min="6658" max="6658" width="14" style="184" customWidth="1"/>
    <col min="6659" max="6660" width="17.85546875" style="184" customWidth="1"/>
    <col min="6661" max="6661" width="30.5703125" style="184" customWidth="1"/>
    <col min="6662" max="6662" width="22.140625" style="184" customWidth="1"/>
    <col min="6663" max="6663" width="12.42578125" style="184" customWidth="1"/>
    <col min="6664" max="6664" width="15" style="184" customWidth="1"/>
    <col min="6665" max="6665" width="12.140625" style="184" customWidth="1"/>
    <col min="6666" max="6666" width="12.7109375" style="184" customWidth="1"/>
    <col min="6667" max="6912" width="9" style="184"/>
    <col min="6913" max="6913" width="14.5703125" style="184" customWidth="1"/>
    <col min="6914" max="6914" width="14" style="184" customWidth="1"/>
    <col min="6915" max="6916" width="17.85546875" style="184" customWidth="1"/>
    <col min="6917" max="6917" width="30.5703125" style="184" customWidth="1"/>
    <col min="6918" max="6918" width="22.140625" style="184" customWidth="1"/>
    <col min="6919" max="6919" width="12.42578125" style="184" customWidth="1"/>
    <col min="6920" max="6920" width="15" style="184" customWidth="1"/>
    <col min="6921" max="6921" width="12.140625" style="184" customWidth="1"/>
    <col min="6922" max="6922" width="12.7109375" style="184" customWidth="1"/>
    <col min="6923" max="7168" width="9" style="184"/>
    <col min="7169" max="7169" width="14.5703125" style="184" customWidth="1"/>
    <col min="7170" max="7170" width="14" style="184" customWidth="1"/>
    <col min="7171" max="7172" width="17.85546875" style="184" customWidth="1"/>
    <col min="7173" max="7173" width="30.5703125" style="184" customWidth="1"/>
    <col min="7174" max="7174" width="22.140625" style="184" customWidth="1"/>
    <col min="7175" max="7175" width="12.42578125" style="184" customWidth="1"/>
    <col min="7176" max="7176" width="15" style="184" customWidth="1"/>
    <col min="7177" max="7177" width="12.140625" style="184" customWidth="1"/>
    <col min="7178" max="7178" width="12.7109375" style="184" customWidth="1"/>
    <col min="7179" max="7424" width="9" style="184"/>
    <col min="7425" max="7425" width="14.5703125" style="184" customWidth="1"/>
    <col min="7426" max="7426" width="14" style="184" customWidth="1"/>
    <col min="7427" max="7428" width="17.85546875" style="184" customWidth="1"/>
    <col min="7429" max="7429" width="30.5703125" style="184" customWidth="1"/>
    <col min="7430" max="7430" width="22.140625" style="184" customWidth="1"/>
    <col min="7431" max="7431" width="12.42578125" style="184" customWidth="1"/>
    <col min="7432" max="7432" width="15" style="184" customWidth="1"/>
    <col min="7433" max="7433" width="12.140625" style="184" customWidth="1"/>
    <col min="7434" max="7434" width="12.7109375" style="184" customWidth="1"/>
    <col min="7435" max="7680" width="9" style="184"/>
    <col min="7681" max="7681" width="14.5703125" style="184" customWidth="1"/>
    <col min="7682" max="7682" width="14" style="184" customWidth="1"/>
    <col min="7683" max="7684" width="17.85546875" style="184" customWidth="1"/>
    <col min="7685" max="7685" width="30.5703125" style="184" customWidth="1"/>
    <col min="7686" max="7686" width="22.140625" style="184" customWidth="1"/>
    <col min="7687" max="7687" width="12.42578125" style="184" customWidth="1"/>
    <col min="7688" max="7688" width="15" style="184" customWidth="1"/>
    <col min="7689" max="7689" width="12.140625" style="184" customWidth="1"/>
    <col min="7690" max="7690" width="12.7109375" style="184" customWidth="1"/>
    <col min="7691" max="7936" width="9" style="184"/>
    <col min="7937" max="7937" width="14.5703125" style="184" customWidth="1"/>
    <col min="7938" max="7938" width="14" style="184" customWidth="1"/>
    <col min="7939" max="7940" width="17.85546875" style="184" customWidth="1"/>
    <col min="7941" max="7941" width="30.5703125" style="184" customWidth="1"/>
    <col min="7942" max="7942" width="22.140625" style="184" customWidth="1"/>
    <col min="7943" max="7943" width="12.42578125" style="184" customWidth="1"/>
    <col min="7944" max="7944" width="15" style="184" customWidth="1"/>
    <col min="7945" max="7945" width="12.140625" style="184" customWidth="1"/>
    <col min="7946" max="7946" width="12.7109375" style="184" customWidth="1"/>
    <col min="7947" max="8192" width="9" style="184"/>
    <col min="8193" max="8193" width="14.5703125" style="184" customWidth="1"/>
    <col min="8194" max="8194" width="14" style="184" customWidth="1"/>
    <col min="8195" max="8196" width="17.85546875" style="184" customWidth="1"/>
    <col min="8197" max="8197" width="30.5703125" style="184" customWidth="1"/>
    <col min="8198" max="8198" width="22.140625" style="184" customWidth="1"/>
    <col min="8199" max="8199" width="12.42578125" style="184" customWidth="1"/>
    <col min="8200" max="8200" width="15" style="184" customWidth="1"/>
    <col min="8201" max="8201" width="12.140625" style="184" customWidth="1"/>
    <col min="8202" max="8202" width="12.7109375" style="184" customWidth="1"/>
    <col min="8203" max="8448" width="9" style="184"/>
    <col min="8449" max="8449" width="14.5703125" style="184" customWidth="1"/>
    <col min="8450" max="8450" width="14" style="184" customWidth="1"/>
    <col min="8451" max="8452" width="17.85546875" style="184" customWidth="1"/>
    <col min="8453" max="8453" width="30.5703125" style="184" customWidth="1"/>
    <col min="8454" max="8454" width="22.140625" style="184" customWidth="1"/>
    <col min="8455" max="8455" width="12.42578125" style="184" customWidth="1"/>
    <col min="8456" max="8456" width="15" style="184" customWidth="1"/>
    <col min="8457" max="8457" width="12.140625" style="184" customWidth="1"/>
    <col min="8458" max="8458" width="12.7109375" style="184" customWidth="1"/>
    <col min="8459" max="8704" width="9" style="184"/>
    <col min="8705" max="8705" width="14.5703125" style="184" customWidth="1"/>
    <col min="8706" max="8706" width="14" style="184" customWidth="1"/>
    <col min="8707" max="8708" width="17.85546875" style="184" customWidth="1"/>
    <col min="8709" max="8709" width="30.5703125" style="184" customWidth="1"/>
    <col min="8710" max="8710" width="22.140625" style="184" customWidth="1"/>
    <col min="8711" max="8711" width="12.42578125" style="184" customWidth="1"/>
    <col min="8712" max="8712" width="15" style="184" customWidth="1"/>
    <col min="8713" max="8713" width="12.140625" style="184" customWidth="1"/>
    <col min="8714" max="8714" width="12.7109375" style="184" customWidth="1"/>
    <col min="8715" max="8960" width="9" style="184"/>
    <col min="8961" max="8961" width="14.5703125" style="184" customWidth="1"/>
    <col min="8962" max="8962" width="14" style="184" customWidth="1"/>
    <col min="8963" max="8964" width="17.85546875" style="184" customWidth="1"/>
    <col min="8965" max="8965" width="30.5703125" style="184" customWidth="1"/>
    <col min="8966" max="8966" width="22.140625" style="184" customWidth="1"/>
    <col min="8967" max="8967" width="12.42578125" style="184" customWidth="1"/>
    <col min="8968" max="8968" width="15" style="184" customWidth="1"/>
    <col min="8969" max="8969" width="12.140625" style="184" customWidth="1"/>
    <col min="8970" max="8970" width="12.7109375" style="184" customWidth="1"/>
    <col min="8971" max="9216" width="9" style="184"/>
    <col min="9217" max="9217" width="14.5703125" style="184" customWidth="1"/>
    <col min="9218" max="9218" width="14" style="184" customWidth="1"/>
    <col min="9219" max="9220" width="17.85546875" style="184" customWidth="1"/>
    <col min="9221" max="9221" width="30.5703125" style="184" customWidth="1"/>
    <col min="9222" max="9222" width="22.140625" style="184" customWidth="1"/>
    <col min="9223" max="9223" width="12.42578125" style="184" customWidth="1"/>
    <col min="9224" max="9224" width="15" style="184" customWidth="1"/>
    <col min="9225" max="9225" width="12.140625" style="184" customWidth="1"/>
    <col min="9226" max="9226" width="12.7109375" style="184" customWidth="1"/>
    <col min="9227" max="9472" width="9" style="184"/>
    <col min="9473" max="9473" width="14.5703125" style="184" customWidth="1"/>
    <col min="9474" max="9474" width="14" style="184" customWidth="1"/>
    <col min="9475" max="9476" width="17.85546875" style="184" customWidth="1"/>
    <col min="9477" max="9477" width="30.5703125" style="184" customWidth="1"/>
    <col min="9478" max="9478" width="22.140625" style="184" customWidth="1"/>
    <col min="9479" max="9479" width="12.42578125" style="184" customWidth="1"/>
    <col min="9480" max="9480" width="15" style="184" customWidth="1"/>
    <col min="9481" max="9481" width="12.140625" style="184" customWidth="1"/>
    <col min="9482" max="9482" width="12.7109375" style="184" customWidth="1"/>
    <col min="9483" max="9728" width="9" style="184"/>
    <col min="9729" max="9729" width="14.5703125" style="184" customWidth="1"/>
    <col min="9730" max="9730" width="14" style="184" customWidth="1"/>
    <col min="9731" max="9732" width="17.85546875" style="184" customWidth="1"/>
    <col min="9733" max="9733" width="30.5703125" style="184" customWidth="1"/>
    <col min="9734" max="9734" width="22.140625" style="184" customWidth="1"/>
    <col min="9735" max="9735" width="12.42578125" style="184" customWidth="1"/>
    <col min="9736" max="9736" width="15" style="184" customWidth="1"/>
    <col min="9737" max="9737" width="12.140625" style="184" customWidth="1"/>
    <col min="9738" max="9738" width="12.7109375" style="184" customWidth="1"/>
    <col min="9739" max="9984" width="9" style="184"/>
    <col min="9985" max="9985" width="14.5703125" style="184" customWidth="1"/>
    <col min="9986" max="9986" width="14" style="184" customWidth="1"/>
    <col min="9987" max="9988" width="17.85546875" style="184" customWidth="1"/>
    <col min="9989" max="9989" width="30.5703125" style="184" customWidth="1"/>
    <col min="9990" max="9990" width="22.140625" style="184" customWidth="1"/>
    <col min="9991" max="9991" width="12.42578125" style="184" customWidth="1"/>
    <col min="9992" max="9992" width="15" style="184" customWidth="1"/>
    <col min="9993" max="9993" width="12.140625" style="184" customWidth="1"/>
    <col min="9994" max="9994" width="12.7109375" style="184" customWidth="1"/>
    <col min="9995" max="10240" width="9" style="184"/>
    <col min="10241" max="10241" width="14.5703125" style="184" customWidth="1"/>
    <col min="10242" max="10242" width="14" style="184" customWidth="1"/>
    <col min="10243" max="10244" width="17.85546875" style="184" customWidth="1"/>
    <col min="10245" max="10245" width="30.5703125" style="184" customWidth="1"/>
    <col min="10246" max="10246" width="22.140625" style="184" customWidth="1"/>
    <col min="10247" max="10247" width="12.42578125" style="184" customWidth="1"/>
    <col min="10248" max="10248" width="15" style="184" customWidth="1"/>
    <col min="10249" max="10249" width="12.140625" style="184" customWidth="1"/>
    <col min="10250" max="10250" width="12.7109375" style="184" customWidth="1"/>
    <col min="10251" max="10496" width="9" style="184"/>
    <col min="10497" max="10497" width="14.5703125" style="184" customWidth="1"/>
    <col min="10498" max="10498" width="14" style="184" customWidth="1"/>
    <col min="10499" max="10500" width="17.85546875" style="184" customWidth="1"/>
    <col min="10501" max="10501" width="30.5703125" style="184" customWidth="1"/>
    <col min="10502" max="10502" width="22.140625" style="184" customWidth="1"/>
    <col min="10503" max="10503" width="12.42578125" style="184" customWidth="1"/>
    <col min="10504" max="10504" width="15" style="184" customWidth="1"/>
    <col min="10505" max="10505" width="12.140625" style="184" customWidth="1"/>
    <col min="10506" max="10506" width="12.7109375" style="184" customWidth="1"/>
    <col min="10507" max="10752" width="9" style="184"/>
    <col min="10753" max="10753" width="14.5703125" style="184" customWidth="1"/>
    <col min="10754" max="10754" width="14" style="184" customWidth="1"/>
    <col min="10755" max="10756" width="17.85546875" style="184" customWidth="1"/>
    <col min="10757" max="10757" width="30.5703125" style="184" customWidth="1"/>
    <col min="10758" max="10758" width="22.140625" style="184" customWidth="1"/>
    <col min="10759" max="10759" width="12.42578125" style="184" customWidth="1"/>
    <col min="10760" max="10760" width="15" style="184" customWidth="1"/>
    <col min="10761" max="10761" width="12.140625" style="184" customWidth="1"/>
    <col min="10762" max="10762" width="12.7109375" style="184" customWidth="1"/>
    <col min="10763" max="11008" width="9" style="184"/>
    <col min="11009" max="11009" width="14.5703125" style="184" customWidth="1"/>
    <col min="11010" max="11010" width="14" style="184" customWidth="1"/>
    <col min="11011" max="11012" width="17.85546875" style="184" customWidth="1"/>
    <col min="11013" max="11013" width="30.5703125" style="184" customWidth="1"/>
    <col min="11014" max="11014" width="22.140625" style="184" customWidth="1"/>
    <col min="11015" max="11015" width="12.42578125" style="184" customWidth="1"/>
    <col min="11016" max="11016" width="15" style="184" customWidth="1"/>
    <col min="11017" max="11017" width="12.140625" style="184" customWidth="1"/>
    <col min="11018" max="11018" width="12.7109375" style="184" customWidth="1"/>
    <col min="11019" max="11264" width="9" style="184"/>
    <col min="11265" max="11265" width="14.5703125" style="184" customWidth="1"/>
    <col min="11266" max="11266" width="14" style="184" customWidth="1"/>
    <col min="11267" max="11268" width="17.85546875" style="184" customWidth="1"/>
    <col min="11269" max="11269" width="30.5703125" style="184" customWidth="1"/>
    <col min="11270" max="11270" width="22.140625" style="184" customWidth="1"/>
    <col min="11271" max="11271" width="12.42578125" style="184" customWidth="1"/>
    <col min="11272" max="11272" width="15" style="184" customWidth="1"/>
    <col min="11273" max="11273" width="12.140625" style="184" customWidth="1"/>
    <col min="11274" max="11274" width="12.7109375" style="184" customWidth="1"/>
    <col min="11275" max="11520" width="9" style="184"/>
    <col min="11521" max="11521" width="14.5703125" style="184" customWidth="1"/>
    <col min="11522" max="11522" width="14" style="184" customWidth="1"/>
    <col min="11523" max="11524" width="17.85546875" style="184" customWidth="1"/>
    <col min="11525" max="11525" width="30.5703125" style="184" customWidth="1"/>
    <col min="11526" max="11526" width="22.140625" style="184" customWidth="1"/>
    <col min="11527" max="11527" width="12.42578125" style="184" customWidth="1"/>
    <col min="11528" max="11528" width="15" style="184" customWidth="1"/>
    <col min="11529" max="11529" width="12.140625" style="184" customWidth="1"/>
    <col min="11530" max="11530" width="12.7109375" style="184" customWidth="1"/>
    <col min="11531" max="11776" width="9" style="184"/>
    <col min="11777" max="11777" width="14.5703125" style="184" customWidth="1"/>
    <col min="11778" max="11778" width="14" style="184" customWidth="1"/>
    <col min="11779" max="11780" width="17.85546875" style="184" customWidth="1"/>
    <col min="11781" max="11781" width="30.5703125" style="184" customWidth="1"/>
    <col min="11782" max="11782" width="22.140625" style="184" customWidth="1"/>
    <col min="11783" max="11783" width="12.42578125" style="184" customWidth="1"/>
    <col min="11784" max="11784" width="15" style="184" customWidth="1"/>
    <col min="11785" max="11785" width="12.140625" style="184" customWidth="1"/>
    <col min="11786" max="11786" width="12.7109375" style="184" customWidth="1"/>
    <col min="11787" max="12032" width="9" style="184"/>
    <col min="12033" max="12033" width="14.5703125" style="184" customWidth="1"/>
    <col min="12034" max="12034" width="14" style="184" customWidth="1"/>
    <col min="12035" max="12036" width="17.85546875" style="184" customWidth="1"/>
    <col min="12037" max="12037" width="30.5703125" style="184" customWidth="1"/>
    <col min="12038" max="12038" width="22.140625" style="184" customWidth="1"/>
    <col min="12039" max="12039" width="12.42578125" style="184" customWidth="1"/>
    <col min="12040" max="12040" width="15" style="184" customWidth="1"/>
    <col min="12041" max="12041" width="12.140625" style="184" customWidth="1"/>
    <col min="12042" max="12042" width="12.7109375" style="184" customWidth="1"/>
    <col min="12043" max="12288" width="9" style="184"/>
    <col min="12289" max="12289" width="14.5703125" style="184" customWidth="1"/>
    <col min="12290" max="12290" width="14" style="184" customWidth="1"/>
    <col min="12291" max="12292" width="17.85546875" style="184" customWidth="1"/>
    <col min="12293" max="12293" width="30.5703125" style="184" customWidth="1"/>
    <col min="12294" max="12294" width="22.140625" style="184" customWidth="1"/>
    <col min="12295" max="12295" width="12.42578125" style="184" customWidth="1"/>
    <col min="12296" max="12296" width="15" style="184" customWidth="1"/>
    <col min="12297" max="12297" width="12.140625" style="184" customWidth="1"/>
    <col min="12298" max="12298" width="12.7109375" style="184" customWidth="1"/>
    <col min="12299" max="12544" width="9" style="184"/>
    <col min="12545" max="12545" width="14.5703125" style="184" customWidth="1"/>
    <col min="12546" max="12546" width="14" style="184" customWidth="1"/>
    <col min="12547" max="12548" width="17.85546875" style="184" customWidth="1"/>
    <col min="12549" max="12549" width="30.5703125" style="184" customWidth="1"/>
    <col min="12550" max="12550" width="22.140625" style="184" customWidth="1"/>
    <col min="12551" max="12551" width="12.42578125" style="184" customWidth="1"/>
    <col min="12552" max="12552" width="15" style="184" customWidth="1"/>
    <col min="12553" max="12553" width="12.140625" style="184" customWidth="1"/>
    <col min="12554" max="12554" width="12.7109375" style="184" customWidth="1"/>
    <col min="12555" max="12800" width="9" style="184"/>
    <col min="12801" max="12801" width="14.5703125" style="184" customWidth="1"/>
    <col min="12802" max="12802" width="14" style="184" customWidth="1"/>
    <col min="12803" max="12804" width="17.85546875" style="184" customWidth="1"/>
    <col min="12805" max="12805" width="30.5703125" style="184" customWidth="1"/>
    <col min="12806" max="12806" width="22.140625" style="184" customWidth="1"/>
    <col min="12807" max="12807" width="12.42578125" style="184" customWidth="1"/>
    <col min="12808" max="12808" width="15" style="184" customWidth="1"/>
    <col min="12809" max="12809" width="12.140625" style="184" customWidth="1"/>
    <col min="12810" max="12810" width="12.7109375" style="184" customWidth="1"/>
    <col min="12811" max="13056" width="9" style="184"/>
    <col min="13057" max="13057" width="14.5703125" style="184" customWidth="1"/>
    <col min="13058" max="13058" width="14" style="184" customWidth="1"/>
    <col min="13059" max="13060" width="17.85546875" style="184" customWidth="1"/>
    <col min="13061" max="13061" width="30.5703125" style="184" customWidth="1"/>
    <col min="13062" max="13062" width="22.140625" style="184" customWidth="1"/>
    <col min="13063" max="13063" width="12.42578125" style="184" customWidth="1"/>
    <col min="13064" max="13064" width="15" style="184" customWidth="1"/>
    <col min="13065" max="13065" width="12.140625" style="184" customWidth="1"/>
    <col min="13066" max="13066" width="12.7109375" style="184" customWidth="1"/>
    <col min="13067" max="13312" width="9" style="184"/>
    <col min="13313" max="13313" width="14.5703125" style="184" customWidth="1"/>
    <col min="13314" max="13314" width="14" style="184" customWidth="1"/>
    <col min="13315" max="13316" width="17.85546875" style="184" customWidth="1"/>
    <col min="13317" max="13317" width="30.5703125" style="184" customWidth="1"/>
    <col min="13318" max="13318" width="22.140625" style="184" customWidth="1"/>
    <col min="13319" max="13319" width="12.42578125" style="184" customWidth="1"/>
    <col min="13320" max="13320" width="15" style="184" customWidth="1"/>
    <col min="13321" max="13321" width="12.140625" style="184" customWidth="1"/>
    <col min="13322" max="13322" width="12.7109375" style="184" customWidth="1"/>
    <col min="13323" max="13568" width="9" style="184"/>
    <col min="13569" max="13569" width="14.5703125" style="184" customWidth="1"/>
    <col min="13570" max="13570" width="14" style="184" customWidth="1"/>
    <col min="13571" max="13572" width="17.85546875" style="184" customWidth="1"/>
    <col min="13573" max="13573" width="30.5703125" style="184" customWidth="1"/>
    <col min="13574" max="13574" width="22.140625" style="184" customWidth="1"/>
    <col min="13575" max="13575" width="12.42578125" style="184" customWidth="1"/>
    <col min="13576" max="13576" width="15" style="184" customWidth="1"/>
    <col min="13577" max="13577" width="12.140625" style="184" customWidth="1"/>
    <col min="13578" max="13578" width="12.7109375" style="184" customWidth="1"/>
    <col min="13579" max="13824" width="9" style="184"/>
    <col min="13825" max="13825" width="14.5703125" style="184" customWidth="1"/>
    <col min="13826" max="13826" width="14" style="184" customWidth="1"/>
    <col min="13827" max="13828" width="17.85546875" style="184" customWidth="1"/>
    <col min="13829" max="13829" width="30.5703125" style="184" customWidth="1"/>
    <col min="13830" max="13830" width="22.140625" style="184" customWidth="1"/>
    <col min="13831" max="13831" width="12.42578125" style="184" customWidth="1"/>
    <col min="13832" max="13832" width="15" style="184" customWidth="1"/>
    <col min="13833" max="13833" width="12.140625" style="184" customWidth="1"/>
    <col min="13834" max="13834" width="12.7109375" style="184" customWidth="1"/>
    <col min="13835" max="14080" width="9" style="184"/>
    <col min="14081" max="14081" width="14.5703125" style="184" customWidth="1"/>
    <col min="14082" max="14082" width="14" style="184" customWidth="1"/>
    <col min="14083" max="14084" width="17.85546875" style="184" customWidth="1"/>
    <col min="14085" max="14085" width="30.5703125" style="184" customWidth="1"/>
    <col min="14086" max="14086" width="22.140625" style="184" customWidth="1"/>
    <col min="14087" max="14087" width="12.42578125" style="184" customWidth="1"/>
    <col min="14088" max="14088" width="15" style="184" customWidth="1"/>
    <col min="14089" max="14089" width="12.140625" style="184" customWidth="1"/>
    <col min="14090" max="14090" width="12.7109375" style="184" customWidth="1"/>
    <col min="14091" max="14336" width="9" style="184"/>
    <col min="14337" max="14337" width="14.5703125" style="184" customWidth="1"/>
    <col min="14338" max="14338" width="14" style="184" customWidth="1"/>
    <col min="14339" max="14340" width="17.85546875" style="184" customWidth="1"/>
    <col min="14341" max="14341" width="30.5703125" style="184" customWidth="1"/>
    <col min="14342" max="14342" width="22.140625" style="184" customWidth="1"/>
    <col min="14343" max="14343" width="12.42578125" style="184" customWidth="1"/>
    <col min="14344" max="14344" width="15" style="184" customWidth="1"/>
    <col min="14345" max="14345" width="12.140625" style="184" customWidth="1"/>
    <col min="14346" max="14346" width="12.7109375" style="184" customWidth="1"/>
    <col min="14347" max="14592" width="9" style="184"/>
    <col min="14593" max="14593" width="14.5703125" style="184" customWidth="1"/>
    <col min="14594" max="14594" width="14" style="184" customWidth="1"/>
    <col min="14595" max="14596" width="17.85546875" style="184" customWidth="1"/>
    <col min="14597" max="14597" width="30.5703125" style="184" customWidth="1"/>
    <col min="14598" max="14598" width="22.140625" style="184" customWidth="1"/>
    <col min="14599" max="14599" width="12.42578125" style="184" customWidth="1"/>
    <col min="14600" max="14600" width="15" style="184" customWidth="1"/>
    <col min="14601" max="14601" width="12.140625" style="184" customWidth="1"/>
    <col min="14602" max="14602" width="12.7109375" style="184" customWidth="1"/>
    <col min="14603" max="14848" width="9" style="184"/>
    <col min="14849" max="14849" width="14.5703125" style="184" customWidth="1"/>
    <col min="14850" max="14850" width="14" style="184" customWidth="1"/>
    <col min="14851" max="14852" width="17.85546875" style="184" customWidth="1"/>
    <col min="14853" max="14853" width="30.5703125" style="184" customWidth="1"/>
    <col min="14854" max="14854" width="22.140625" style="184" customWidth="1"/>
    <col min="14855" max="14855" width="12.42578125" style="184" customWidth="1"/>
    <col min="14856" max="14856" width="15" style="184" customWidth="1"/>
    <col min="14857" max="14857" width="12.140625" style="184" customWidth="1"/>
    <col min="14858" max="14858" width="12.7109375" style="184" customWidth="1"/>
    <col min="14859" max="15104" width="9" style="184"/>
    <col min="15105" max="15105" width="14.5703125" style="184" customWidth="1"/>
    <col min="15106" max="15106" width="14" style="184" customWidth="1"/>
    <col min="15107" max="15108" width="17.85546875" style="184" customWidth="1"/>
    <col min="15109" max="15109" width="30.5703125" style="184" customWidth="1"/>
    <col min="15110" max="15110" width="22.140625" style="184" customWidth="1"/>
    <col min="15111" max="15111" width="12.42578125" style="184" customWidth="1"/>
    <col min="15112" max="15112" width="15" style="184" customWidth="1"/>
    <col min="15113" max="15113" width="12.140625" style="184" customWidth="1"/>
    <col min="15114" max="15114" width="12.7109375" style="184" customWidth="1"/>
    <col min="15115" max="15360" width="9" style="184"/>
    <col min="15361" max="15361" width="14.5703125" style="184" customWidth="1"/>
    <col min="15362" max="15362" width="14" style="184" customWidth="1"/>
    <col min="15363" max="15364" width="17.85546875" style="184" customWidth="1"/>
    <col min="15365" max="15365" width="30.5703125" style="184" customWidth="1"/>
    <col min="15366" max="15366" width="22.140625" style="184" customWidth="1"/>
    <col min="15367" max="15367" width="12.42578125" style="184" customWidth="1"/>
    <col min="15368" max="15368" width="15" style="184" customWidth="1"/>
    <col min="15369" max="15369" width="12.140625" style="184" customWidth="1"/>
    <col min="15370" max="15370" width="12.7109375" style="184" customWidth="1"/>
    <col min="15371" max="15616" width="9" style="184"/>
    <col min="15617" max="15617" width="14.5703125" style="184" customWidth="1"/>
    <col min="15618" max="15618" width="14" style="184" customWidth="1"/>
    <col min="15619" max="15620" width="17.85546875" style="184" customWidth="1"/>
    <col min="15621" max="15621" width="30.5703125" style="184" customWidth="1"/>
    <col min="15622" max="15622" width="22.140625" style="184" customWidth="1"/>
    <col min="15623" max="15623" width="12.42578125" style="184" customWidth="1"/>
    <col min="15624" max="15624" width="15" style="184" customWidth="1"/>
    <col min="15625" max="15625" width="12.140625" style="184" customWidth="1"/>
    <col min="15626" max="15626" width="12.7109375" style="184" customWidth="1"/>
    <col min="15627" max="15872" width="9" style="184"/>
    <col min="15873" max="15873" width="14.5703125" style="184" customWidth="1"/>
    <col min="15874" max="15874" width="14" style="184" customWidth="1"/>
    <col min="15875" max="15876" width="17.85546875" style="184" customWidth="1"/>
    <col min="15877" max="15877" width="30.5703125" style="184" customWidth="1"/>
    <col min="15878" max="15878" width="22.140625" style="184" customWidth="1"/>
    <col min="15879" max="15879" width="12.42578125" style="184" customWidth="1"/>
    <col min="15880" max="15880" width="15" style="184" customWidth="1"/>
    <col min="15881" max="15881" width="12.140625" style="184" customWidth="1"/>
    <col min="15882" max="15882" width="12.7109375" style="184" customWidth="1"/>
    <col min="15883" max="16128" width="9" style="184"/>
    <col min="16129" max="16129" width="14.5703125" style="184" customWidth="1"/>
    <col min="16130" max="16130" width="14" style="184" customWidth="1"/>
    <col min="16131" max="16132" width="17.85546875" style="184" customWidth="1"/>
    <col min="16133" max="16133" width="30.5703125" style="184" customWidth="1"/>
    <col min="16134" max="16134" width="22.140625" style="184" customWidth="1"/>
    <col min="16135" max="16135" width="12.42578125" style="184" customWidth="1"/>
    <col min="16136" max="16136" width="15" style="184" customWidth="1"/>
    <col min="16137" max="16137" width="12.140625" style="184" customWidth="1"/>
    <col min="16138" max="16138" width="12.7109375" style="184" customWidth="1"/>
    <col min="16139" max="16384" width="9" style="184"/>
  </cols>
  <sheetData>
    <row r="1" spans="1:8" s="179" customFormat="1" ht="18">
      <c r="A1" s="688" t="s">
        <v>84</v>
      </c>
      <c r="B1" s="688"/>
      <c r="C1" s="688"/>
      <c r="D1" s="688"/>
      <c r="E1" s="688"/>
      <c r="F1" s="688"/>
      <c r="H1" s="186"/>
    </row>
    <row r="3" spans="1:8" ht="15">
      <c r="C3" s="1397" t="s">
        <v>1093</v>
      </c>
      <c r="D3" s="1397"/>
      <c r="E3" s="1397"/>
    </row>
    <row r="4" spans="1:8">
      <c r="A4" s="184" t="s">
        <v>85</v>
      </c>
      <c r="C4" s="682" t="s">
        <v>1085</v>
      </c>
      <c r="D4" s="682"/>
      <c r="E4" s="682"/>
    </row>
    <row r="5" spans="1:8">
      <c r="A5" s="184" t="s">
        <v>86</v>
      </c>
      <c r="C5" s="1398" t="e">
        <f>#REF!</f>
        <v>#REF!</v>
      </c>
      <c r="D5" s="681"/>
      <c r="E5" s="681"/>
    </row>
    <row r="6" spans="1:8">
      <c r="A6" s="184" t="s">
        <v>87</v>
      </c>
      <c r="C6" s="682"/>
      <c r="D6" s="682"/>
      <c r="E6" s="682"/>
    </row>
    <row r="8" spans="1:8" s="180" customFormat="1" ht="16.5" customHeight="1">
      <c r="A8" s="187" t="s">
        <v>88</v>
      </c>
      <c r="B8" s="187" t="s">
        <v>89</v>
      </c>
      <c r="C8" s="187" t="s">
        <v>90</v>
      </c>
      <c r="D8" s="188" t="s">
        <v>91</v>
      </c>
      <c r="E8" s="686" t="s">
        <v>92</v>
      </c>
      <c r="F8" s="687"/>
      <c r="H8" s="189"/>
    </row>
    <row r="9" spans="1:8" s="180" customFormat="1" ht="16.5" customHeight="1">
      <c r="A9" s="190" t="s">
        <v>93</v>
      </c>
      <c r="B9" s="190" t="s">
        <v>94</v>
      </c>
      <c r="C9" s="190" t="s">
        <v>94</v>
      </c>
      <c r="D9" s="191" t="s">
        <v>94</v>
      </c>
      <c r="E9" s="686"/>
      <c r="F9" s="687"/>
      <c r="H9" s="189"/>
    </row>
    <row r="10" spans="1:8" ht="16.5" customHeight="1">
      <c r="A10" s="192">
        <v>1</v>
      </c>
      <c r="B10" s="192"/>
      <c r="C10" s="193">
        <f>'TIMEBOOK (1-15)-E'!X24</f>
        <v>7551.32</v>
      </c>
      <c r="D10" s="193">
        <f>'TIMEBOOK (1-15)-E'!AB24</f>
        <v>7324.78</v>
      </c>
      <c r="E10" s="193" t="e">
        <f>#REF!</f>
        <v>#REF!</v>
      </c>
      <c r="F10" s="194">
        <f>'TIMEBOOK (1-15)-E'!Y16</f>
        <v>226.54</v>
      </c>
    </row>
    <row r="11" spans="1:8" ht="16.5" customHeight="1">
      <c r="A11" s="192"/>
      <c r="B11" s="192"/>
      <c r="C11" s="193"/>
      <c r="D11" s="193"/>
      <c r="E11" s="193" t="e">
        <f>#REF!</f>
        <v>#REF!</v>
      </c>
      <c r="F11" s="195">
        <f>'TIMEBOOK (1-15)-E'!Z16</f>
        <v>0</v>
      </c>
    </row>
    <row r="12" spans="1:8" ht="16.5" customHeight="1">
      <c r="A12" s="196"/>
      <c r="B12" s="196"/>
      <c r="C12" s="197"/>
      <c r="D12" s="196"/>
      <c r="E12" s="193" t="e">
        <f>#REF!</f>
        <v>#REF!</v>
      </c>
      <c r="F12" s="194">
        <f>'TIMEBOOK (1-15)-E'!Y17</f>
        <v>0</v>
      </c>
    </row>
    <row r="13" spans="1:8" ht="16.5" customHeight="1">
      <c r="A13" s="196"/>
      <c r="B13" s="196"/>
      <c r="C13" s="197"/>
      <c r="D13" s="196"/>
      <c r="E13" s="193" t="e">
        <f>#REF!</f>
        <v>#REF!</v>
      </c>
      <c r="F13" s="194">
        <f>'TIMEBOOK (1-15)-E'!Z18</f>
        <v>0</v>
      </c>
    </row>
    <row r="14" spans="1:8" ht="16.5" customHeight="1">
      <c r="A14" s="196"/>
      <c r="B14" s="196"/>
      <c r="C14" s="196"/>
      <c r="D14" s="196"/>
      <c r="E14" s="193" t="e">
        <f>#REF!</f>
        <v>#REF!</v>
      </c>
      <c r="F14" s="194">
        <f>'TIMEBOOK (1-15)-E'!Y18</f>
        <v>0</v>
      </c>
    </row>
    <row r="15" spans="1:8" ht="16.5" customHeight="1">
      <c r="A15" s="196"/>
      <c r="B15" s="196"/>
      <c r="C15" s="196"/>
      <c r="D15" s="196"/>
      <c r="E15" s="193" t="e">
        <f>#REF!</f>
        <v>#REF!</v>
      </c>
      <c r="F15" s="194" t="e">
        <f>#REF!</f>
        <v>#REF!</v>
      </c>
      <c r="G15" s="199"/>
    </row>
    <row r="16" spans="1:8" ht="16.5" customHeight="1">
      <c r="A16" s="196"/>
      <c r="B16" s="196"/>
      <c r="C16" s="196"/>
      <c r="D16" s="196"/>
      <c r="E16" s="198"/>
      <c r="F16" s="198"/>
    </row>
    <row r="17" spans="1:10" ht="16.5" customHeight="1">
      <c r="A17" s="196"/>
      <c r="B17" s="196"/>
      <c r="C17" s="196"/>
      <c r="D17" s="196"/>
      <c r="E17" s="198"/>
      <c r="F17" s="198"/>
      <c r="G17" s="200"/>
    </row>
    <row r="18" spans="1:10" ht="16.5" customHeight="1">
      <c r="A18" s="196"/>
      <c r="B18" s="196"/>
      <c r="C18" s="196"/>
      <c r="D18" s="196"/>
      <c r="E18" s="198"/>
      <c r="F18" s="201"/>
    </row>
    <row r="19" spans="1:10" ht="16.5" customHeight="1">
      <c r="A19" s="196"/>
      <c r="B19" s="196"/>
      <c r="C19" s="196"/>
      <c r="D19" s="196"/>
      <c r="E19" s="198"/>
      <c r="F19" s="198"/>
    </row>
    <row r="20" spans="1:10" ht="16.5" customHeight="1">
      <c r="A20" s="196"/>
      <c r="B20" s="196"/>
      <c r="C20" s="196"/>
      <c r="D20" s="196"/>
      <c r="E20" s="198"/>
      <c r="F20" s="201"/>
    </row>
    <row r="21" spans="1:10" s="181" customFormat="1" ht="28.5" customHeight="1">
      <c r="A21" s="202"/>
      <c r="B21" s="202"/>
      <c r="C21" s="203">
        <f>C10</f>
        <v>7551.32</v>
      </c>
      <c r="D21" s="204">
        <f>SUM(D10:D20)</f>
        <v>7324.78</v>
      </c>
      <c r="E21" s="204"/>
      <c r="F21" s="203" t="e">
        <f>SUM(F10:F20)</f>
        <v>#REF!</v>
      </c>
      <c r="G21" s="205"/>
      <c r="H21" s="206"/>
    </row>
    <row r="22" spans="1:10" s="181" customFormat="1" ht="16.5" customHeight="1">
      <c r="C22" s="205"/>
      <c r="D22" s="207"/>
      <c r="E22" s="205"/>
      <c r="F22" s="199"/>
      <c r="G22" s="205"/>
      <c r="H22" s="208"/>
    </row>
    <row r="23" spans="1:10" s="182" customFormat="1">
      <c r="A23" s="209" t="s">
        <v>95</v>
      </c>
      <c r="E23" s="209" t="s">
        <v>96</v>
      </c>
      <c r="H23" s="210"/>
    </row>
    <row r="24" spans="1:10" s="182" customFormat="1">
      <c r="A24" s="209" t="s">
        <v>97</v>
      </c>
      <c r="D24" s="211"/>
      <c r="E24" s="209" t="s">
        <v>98</v>
      </c>
      <c r="H24" s="210"/>
    </row>
    <row r="25" spans="1:10" s="182" customFormat="1">
      <c r="A25" s="209" t="s">
        <v>99</v>
      </c>
      <c r="D25" s="211"/>
      <c r="E25" s="209" t="s">
        <v>100</v>
      </c>
      <c r="H25" s="210"/>
    </row>
    <row r="26" spans="1:10" s="182" customFormat="1">
      <c r="A26" s="209" t="s">
        <v>101</v>
      </c>
      <c r="E26" s="209" t="s">
        <v>102</v>
      </c>
      <c r="H26" s="210"/>
    </row>
    <row r="27" spans="1:10" s="182" customFormat="1">
      <c r="A27" s="209" t="s">
        <v>103</v>
      </c>
      <c r="E27" s="209" t="s">
        <v>104</v>
      </c>
      <c r="H27" s="210"/>
      <c r="J27" s="210"/>
    </row>
    <row r="28" spans="1:10" s="182" customFormat="1">
      <c r="A28" s="209" t="s">
        <v>105</v>
      </c>
      <c r="E28" s="209" t="s">
        <v>106</v>
      </c>
      <c r="H28" s="210"/>
    </row>
    <row r="29" spans="1:10" s="182" customFormat="1">
      <c r="E29" s="209" t="s">
        <v>107</v>
      </c>
      <c r="H29" s="210"/>
    </row>
    <row r="30" spans="1:10" s="182" customFormat="1">
      <c r="E30" s="209" t="s">
        <v>203</v>
      </c>
      <c r="F30" s="334">
        <f>D21</f>
        <v>7324.78</v>
      </c>
      <c r="H30" s="210"/>
    </row>
    <row r="31" spans="1:10" s="182" customFormat="1">
      <c r="E31" s="683" t="str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 xml:space="preserve"> Seven Thousand Three Hundred Twenty Four Pesos &amp; 78/100 Only</v>
      </c>
      <c r="F31" s="683"/>
      <c r="H31" s="210"/>
    </row>
    <row r="32" spans="1:10" s="182" customFormat="1">
      <c r="E32" s="683"/>
      <c r="F32" s="683"/>
      <c r="H32" s="210"/>
    </row>
    <row r="33" spans="1:8" s="182" customFormat="1">
      <c r="A33" s="209" t="s">
        <v>108</v>
      </c>
      <c r="H33" s="210"/>
    </row>
    <row r="34" spans="1:8" s="182" customFormat="1">
      <c r="A34" s="209"/>
      <c r="H34" s="210"/>
    </row>
    <row r="35" spans="1:8" s="182" customFormat="1">
      <c r="H35" s="210"/>
    </row>
    <row r="36" spans="1:8" s="182" customFormat="1">
      <c r="B36" s="212"/>
      <c r="H36" s="210"/>
    </row>
    <row r="37" spans="1:8" s="182" customFormat="1">
      <c r="A37" s="684" t="s">
        <v>208</v>
      </c>
      <c r="B37" s="684"/>
      <c r="C37" s="684"/>
      <c r="E37" s="681" t="e">
        <f>#REF!</f>
        <v>#REF!</v>
      </c>
      <c r="F37" s="681"/>
      <c r="G37" s="212"/>
      <c r="H37" s="210"/>
    </row>
    <row r="38" spans="1:8" s="183" customFormat="1">
      <c r="A38" s="685" t="s">
        <v>209</v>
      </c>
      <c r="B38" s="685"/>
      <c r="C38" s="685"/>
      <c r="D38" s="182"/>
      <c r="E38" s="682" t="e">
        <f>#REF!</f>
        <v>#REF!</v>
      </c>
      <c r="F38" s="682"/>
      <c r="G38" s="213"/>
      <c r="H38" s="214"/>
    </row>
    <row r="39" spans="1:8" s="183" customFormat="1" ht="14.25">
      <c r="A39" s="215"/>
      <c r="B39" s="215"/>
      <c r="C39" s="215"/>
      <c r="D39" s="182"/>
      <c r="E39" s="216"/>
      <c r="F39" s="216"/>
      <c r="G39" s="213"/>
      <c r="H39" s="214"/>
    </row>
    <row r="40" spans="1:8" s="182" customFormat="1">
      <c r="G40" s="209"/>
      <c r="H40" s="210"/>
    </row>
    <row r="41" spans="1:8" s="182" customFormat="1">
      <c r="A41" s="209" t="s">
        <v>109</v>
      </c>
      <c r="E41" s="209" t="s">
        <v>110</v>
      </c>
      <c r="H41" s="210"/>
    </row>
    <row r="42" spans="1:8" s="182" customFormat="1">
      <c r="A42" s="209" t="s">
        <v>111</v>
      </c>
      <c r="E42" s="209" t="s">
        <v>112</v>
      </c>
      <c r="H42" s="210"/>
    </row>
    <row r="43" spans="1:8" s="182" customFormat="1">
      <c r="A43" s="209" t="s">
        <v>202</v>
      </c>
      <c r="E43" s="209" t="s">
        <v>113</v>
      </c>
      <c r="H43" s="210"/>
    </row>
    <row r="44" spans="1:8" s="182" customFormat="1">
      <c r="A44" s="683" t="str">
        <f>PROPER(CHOOSE(LEFT(TEXT(D21,"000000000.00"))+1,,"One","Two","Three","Four","Five","Six","Seven","Eight","Nine")&amp;IF(--LEFT(TEXT(D21,"000000000.00"))=0,,IF(AND(--MID(TEXT(D21,"000000000.00"),2,1)=0,--MID(TEXT(D21,"000000000.00"),3,1)=0)," Hundred"," Hundred "))&amp;CHOOSE(MID(TEXT(D21,"000000000.00"),2,1)+1,,,"Twenty ","Thirty ","Forty ","Fifty ","Sixty ","Seventy ","Eighty ","Ninety ")&amp;IF(--MID(TEXT(D21,"000000000.00"),2,1)&lt;&gt;1,CHOOSE(MID(TEXT(D21,"000000000.00"),3,1)+1,,"One","Two","Three","Four","Five","Six","Seven","Eight","Nine"),CHOOSE(MID(TEXT(D21,"000000000.00"),3,1)+1,"Ten","Eleven","Twelve","Thirteen","Fourteen","Fifteen","Sixteen","Seventeen","Eighteen","Nineteen"))&amp;IF((--LEFT(TEXT(D21,"000000000.00"))+MID(TEXT(D21,"000000000.00"),2,1)+MID(TEXT(D21,"000000000.00"),3,1))=0,,IF(AND((--MID(TEXT(D21,"000000000.00"),4,1)+MID(TEXT(D21,"000000000.00"),5,1)+MID(TEXT(D21,"000000000.00"),6,1)+MID(TEXT(D21,"000000000.00"),7,1))=0,(--MID(TEXT(D21,"000000000.00"),8,1)+RIGHT(TEXT(D21,"000000000.00")))&gt;0)," Million"," Million "))&amp;CHOOSE(MID(TEXT(D21,"000000000.00"),4,1)+1,,"One","Two","Three","Four","Five","Six","Seven","Eight","Nine")&amp;IF(--MID(TEXT(D21,"000000000.00"),4,1)=0,,IF(AND(--MID(TEXT(D21,"000000000.00"),5,1)=0,--MID(TEXT(D21,"000000000.00"),6,1)=0)," Hundred"," Hundred "))&amp;CHOOSE(MID(TEXT(D21,"000000000.00"),5,1)+1,,," Twenty"," Thirty"," Forty"," Fifty"," Sixty"," Seventy"," Eighty"," Ninety")&amp;IF(--MID(TEXT(D21,"000000000.00"),5,1)&lt;&gt;1,CHOOSE(MID(TEXT(D21,"000000000.00"),6,1)+1,," One"," Two"," Three"," Four"," Five"," Six"," Seven"," Eight"," Nine"),CHOOSE(MID(TEXT(D21,"000000000.00"),6,1)+1," Ten"," Eleven"," Twelve"," Thirteen"," Fourteen"," Fifteen"," Sixteen"," Seventeen"," Eighteen"," Nineteen"))&amp;IF((--MID(TEXT(D21,"000000000.00"),4,1)+MID(TEXT(D21,"000000000.00"),5,1)+MID(TEXT(D21,"000000000.00"),6,1))=0,,IF(OR((--MID(TEXT(D21,"000000000.00"),7,1)+MID(TEXT(D21,"000000000.00"),8,1)+MID(TEXT(D21,"000000000.00"),9,1))=0,--MID(TEXT(D21,"000000000.00"),7,1)&lt;&gt;0)," Thousand "," Thousand "))&amp;CHOOSE(MID(TEXT(D21,"000000000.00"),7,1)+1,,"One","Two","Three","Four","Five","Six","Seven","Eight","Nine")&amp;IF(--MID(TEXT(D21,"000000000.00"),7,1)=0,,IF(AND(--MID(TEXT(D21,"000000000.00"),8,1)=0,--MID(TEXT(D21,"000000000.00"),9,1)=0)," Hundred "," Hundred "))&amp;CHOOSE(MID(TEXT(D21,"000000000.00"),8,1)+1,,,"Twenty ","Thirty ","Forty ","Fifty ","Sixty ","Seventy ","Eighty ","Ninety ")&amp;IF(--MID(TEXT(D21,"000000000.00"),8,1)&lt;&gt;1,CHOOSE(MID(TEXT(D21,"000000000.00"),9,1)+1,,"One","Two","Three","Four","Five","Six","Seven","Eight","Nine"),CHOOSE(MID(TEXT(D21,"000000000.00"),9,1)+1,"Ten","Eleven","Twelve","Thirteen","Fourteen","Fifteen","Sixteen","Seventeen","Eighteen","Nineteen"))&amp;" Pesos &amp; "&amp;RIGHT(TEXT(D21,"000000000.00"),2)&amp;"/100 only")</f>
        <v xml:space="preserve"> Seven Thousand Three Hundred Twenty Four Pesos &amp; 78/100 Only</v>
      </c>
      <c r="B44" s="683"/>
      <c r="C44" s="683"/>
      <c r="E44" s="217" t="s">
        <v>114</v>
      </c>
      <c r="H44" s="210"/>
    </row>
    <row r="45" spans="1:8" s="182" customFormat="1">
      <c r="A45" s="683"/>
      <c r="B45" s="683"/>
      <c r="C45" s="683"/>
      <c r="E45" s="209" t="s">
        <v>115</v>
      </c>
      <c r="H45" s="210"/>
    </row>
    <row r="46" spans="1:8" s="182" customFormat="1">
      <c r="E46" s="209" t="s">
        <v>116</v>
      </c>
      <c r="H46" s="210"/>
    </row>
    <row r="47" spans="1:8" s="182" customFormat="1">
      <c r="E47" s="209"/>
      <c r="F47" s="209"/>
      <c r="H47" s="210"/>
    </row>
    <row r="48" spans="1:8" s="182" customFormat="1">
      <c r="H48" s="210"/>
    </row>
    <row r="49" spans="1:8" s="182" customFormat="1">
      <c r="A49" s="681" t="s">
        <v>210</v>
      </c>
      <c r="B49" s="681"/>
      <c r="C49" s="681"/>
      <c r="H49" s="210"/>
    </row>
    <row r="50" spans="1:8" s="182" customFormat="1">
      <c r="A50" s="682" t="s">
        <v>211</v>
      </c>
      <c r="B50" s="682"/>
      <c r="C50" s="682"/>
      <c r="H50" s="210"/>
    </row>
    <row r="51" spans="1:8" s="182" customFormat="1">
      <c r="E51" s="681" t="s">
        <v>213</v>
      </c>
      <c r="F51" s="681"/>
      <c r="H51" s="210"/>
    </row>
    <row r="52" spans="1:8">
      <c r="E52" s="682" t="s">
        <v>212</v>
      </c>
      <c r="F52" s="682"/>
    </row>
    <row r="57" spans="1:8">
      <c r="D57" s="342"/>
    </row>
    <row r="58" spans="1:8">
      <c r="A58" s="218"/>
    </row>
    <row r="60" spans="1:8">
      <c r="A60" s="218"/>
    </row>
  </sheetData>
  <mergeCells count="16">
    <mergeCell ref="A49:C49"/>
    <mergeCell ref="A50:C50"/>
    <mergeCell ref="E51:F51"/>
    <mergeCell ref="E52:F52"/>
    <mergeCell ref="E31:F32"/>
    <mergeCell ref="A37:C37"/>
    <mergeCell ref="E37:F37"/>
    <mergeCell ref="A38:C38"/>
    <mergeCell ref="E38:F38"/>
    <mergeCell ref="A44:C45"/>
    <mergeCell ref="E8:F9"/>
    <mergeCell ref="A1:F1"/>
    <mergeCell ref="C3:E3"/>
    <mergeCell ref="C4:E4"/>
    <mergeCell ref="C5:E5"/>
    <mergeCell ref="C6:E6"/>
  </mergeCells>
  <printOptions horizontalCentered="1"/>
  <pageMargins left="0.23622047244094499" right="0.15748031496063" top="0.78740157480314998" bottom="0.74803149606299202" header="0.511811023622047" footer="0.511811023622047"/>
  <pageSetup paperSize="14" scale="87" fitToHeight="0" orientation="portrait" horizontalDpi="240" verticalDpi="144" r:id="rId1"/>
  <headerFooter>
    <oddFooter>&amp;L&amp;"Tahoma,Italic"&amp;8NIA-AlCat-AFS-FIN-INT-Form37Rev00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M51"/>
  <sheetViews>
    <sheetView zoomScale="85" zoomScaleNormal="100" zoomScalePageLayoutView="85" workbookViewId="0">
      <selection activeCell="L16" sqref="L16:M18"/>
    </sheetView>
  </sheetViews>
  <sheetFormatPr defaultColWidth="9.140625" defaultRowHeight="12.75"/>
  <cols>
    <col min="1" max="1" width="8.7109375" style="101" customWidth="1"/>
    <col min="2" max="2" width="6.7109375" style="101" customWidth="1"/>
    <col min="3" max="3" width="3.85546875" style="101" customWidth="1"/>
    <col min="4" max="4" width="6.7109375" style="101" customWidth="1"/>
    <col min="5" max="5" width="6.5703125" style="101" customWidth="1"/>
    <col min="6" max="6" width="10" style="101" customWidth="1"/>
    <col min="7" max="7" width="2" style="101" customWidth="1"/>
    <col min="8" max="8" width="13" style="101" customWidth="1"/>
    <col min="9" max="9" width="6.7109375" style="101" customWidth="1"/>
    <col min="10" max="10" width="6.85546875" style="101" customWidth="1"/>
    <col min="11" max="11" width="13.28515625" style="101" customWidth="1"/>
    <col min="12" max="12" width="11.140625" style="101" customWidth="1"/>
    <col min="13" max="13" width="15.7109375" style="101" customWidth="1"/>
    <col min="14" max="16384" width="9.140625" style="101"/>
  </cols>
  <sheetData>
    <row r="1" spans="1:13" ht="13.5" thickBot="1"/>
    <row r="2" spans="1:13" ht="18" customHeight="1">
      <c r="A2" s="1010"/>
      <c r="B2" s="1011"/>
      <c r="C2" s="1011"/>
      <c r="D2" s="1011"/>
      <c r="E2" s="1011"/>
      <c r="F2" s="1011"/>
      <c r="G2" s="1011"/>
      <c r="H2" s="1011"/>
      <c r="I2" s="1011"/>
      <c r="J2" s="1012"/>
      <c r="K2" s="1013"/>
      <c r="L2" s="1014"/>
      <c r="M2" s="1015"/>
    </row>
    <row r="3" spans="1:13" ht="24.75" customHeight="1">
      <c r="A3" s="102"/>
      <c r="B3" s="1016" t="s">
        <v>117</v>
      </c>
      <c r="C3" s="1016"/>
      <c r="D3" s="1016"/>
      <c r="E3" s="1016"/>
      <c r="F3" s="1016"/>
      <c r="G3" s="1016"/>
      <c r="H3" s="1016"/>
      <c r="I3" s="1016"/>
      <c r="J3" s="1017"/>
      <c r="K3" s="1018" t="s">
        <v>118</v>
      </c>
      <c r="L3" s="1019"/>
      <c r="M3" s="1020"/>
    </row>
    <row r="4" spans="1:13" ht="17.25" customHeight="1">
      <c r="A4" s="1021" t="s">
        <v>207</v>
      </c>
      <c r="B4" s="1022"/>
      <c r="C4" s="1022"/>
      <c r="D4" s="1022"/>
      <c r="E4" s="1022"/>
      <c r="F4" s="1022"/>
      <c r="G4" s="1022"/>
      <c r="H4" s="1022"/>
      <c r="I4" s="1022"/>
      <c r="J4" s="1023"/>
      <c r="K4" s="1018" t="s">
        <v>119</v>
      </c>
      <c r="L4" s="1019"/>
      <c r="M4" s="1020"/>
    </row>
    <row r="5" spans="1:13" ht="17.25" customHeight="1">
      <c r="A5" s="103"/>
      <c r="B5" s="1124" t="s">
        <v>120</v>
      </c>
      <c r="C5" s="1124"/>
      <c r="D5" s="1124"/>
      <c r="E5" s="1124"/>
      <c r="F5" s="1124"/>
      <c r="G5" s="1124"/>
      <c r="H5" s="1124"/>
      <c r="I5" s="1124"/>
      <c r="J5" s="1125"/>
      <c r="K5" s="1018" t="s">
        <v>121</v>
      </c>
      <c r="L5" s="1019"/>
      <c r="M5" s="1020"/>
    </row>
    <row r="6" spans="1:13" ht="20.25" customHeight="1" thickBot="1">
      <c r="A6" s="104"/>
      <c r="B6" s="1126"/>
      <c r="C6" s="1126"/>
      <c r="D6" s="1126"/>
      <c r="E6" s="1126"/>
      <c r="F6" s="1126"/>
      <c r="G6" s="1126"/>
      <c r="H6" s="1126"/>
      <c r="I6" s="1126"/>
      <c r="J6" s="1127"/>
      <c r="K6" s="1135"/>
      <c r="L6" s="1136"/>
      <c r="M6" s="1137"/>
    </row>
    <row r="7" spans="1:13" ht="12.75" customHeight="1">
      <c r="A7" s="1128" t="s">
        <v>122</v>
      </c>
      <c r="B7" s="1066"/>
      <c r="C7" s="1067"/>
      <c r="D7" s="1129" t="str">
        <f>'SUMMARY (1-15)-E'!C3</f>
        <v>E.R. BEO</v>
      </c>
      <c r="E7" s="1130"/>
      <c r="F7" s="1130"/>
      <c r="G7" s="1130"/>
      <c r="H7" s="1130"/>
      <c r="I7" s="1130"/>
      <c r="J7" s="1130"/>
      <c r="K7" s="1130"/>
      <c r="L7" s="1130"/>
      <c r="M7" s="1131"/>
    </row>
    <row r="8" spans="1:13" ht="12.75" customHeight="1">
      <c r="A8" s="1086"/>
      <c r="B8" s="1069"/>
      <c r="C8" s="1070"/>
      <c r="D8" s="1132"/>
      <c r="E8" s="1133"/>
      <c r="F8" s="1133"/>
      <c r="G8" s="1133"/>
      <c r="H8" s="1133"/>
      <c r="I8" s="1133"/>
      <c r="J8" s="1133"/>
      <c r="K8" s="1133"/>
      <c r="L8" s="1133"/>
      <c r="M8" s="1134"/>
    </row>
    <row r="9" spans="1:13" ht="12.75" customHeight="1">
      <c r="A9" s="1109" t="s">
        <v>123</v>
      </c>
      <c r="B9" s="1110"/>
      <c r="C9" s="1111"/>
      <c r="D9" s="1115" t="s">
        <v>1086</v>
      </c>
      <c r="E9" s="1116"/>
      <c r="F9" s="1116"/>
      <c r="G9" s="1116"/>
      <c r="H9" s="1116"/>
      <c r="I9" s="1116"/>
      <c r="J9" s="1116"/>
      <c r="K9" s="1116"/>
      <c r="L9" s="1116"/>
      <c r="M9" s="1117"/>
    </row>
    <row r="10" spans="1:13" ht="12.75" customHeight="1">
      <c r="A10" s="1086"/>
      <c r="B10" s="1069"/>
      <c r="C10" s="1070"/>
      <c r="D10" s="1121"/>
      <c r="E10" s="1122"/>
      <c r="F10" s="1122"/>
      <c r="G10" s="1122"/>
      <c r="H10" s="1122"/>
      <c r="I10" s="1122"/>
      <c r="J10" s="1122"/>
      <c r="K10" s="1122"/>
      <c r="L10" s="1122"/>
      <c r="M10" s="1123"/>
    </row>
    <row r="11" spans="1:13" ht="12.75" customHeight="1">
      <c r="A11" s="1109" t="s">
        <v>124</v>
      </c>
      <c r="B11" s="1110"/>
      <c r="C11" s="1111"/>
      <c r="D11" s="1115" t="s">
        <v>1079</v>
      </c>
      <c r="E11" s="1116"/>
      <c r="F11" s="1116"/>
      <c r="G11" s="1116"/>
      <c r="H11" s="1116"/>
      <c r="I11" s="1116"/>
      <c r="J11" s="1116"/>
      <c r="K11" s="1116"/>
      <c r="L11" s="1116"/>
      <c r="M11" s="1117"/>
    </row>
    <row r="12" spans="1:13" ht="13.5" customHeight="1" thickBot="1">
      <c r="A12" s="1112"/>
      <c r="B12" s="1113"/>
      <c r="C12" s="1114"/>
      <c r="D12" s="1118"/>
      <c r="E12" s="1119"/>
      <c r="F12" s="1119"/>
      <c r="G12" s="1119"/>
      <c r="H12" s="1119"/>
      <c r="I12" s="1119"/>
      <c r="J12" s="1119"/>
      <c r="K12" s="1119"/>
      <c r="L12" s="1119"/>
      <c r="M12" s="1120"/>
    </row>
    <row r="13" spans="1:13" ht="12.75" customHeight="1">
      <c r="A13" s="1083" t="s">
        <v>125</v>
      </c>
      <c r="B13" s="1084"/>
      <c r="C13" s="1085"/>
      <c r="D13" s="1087" t="s">
        <v>41</v>
      </c>
      <c r="E13" s="1088"/>
      <c r="F13" s="1088"/>
      <c r="G13" s="1088"/>
      <c r="H13" s="1089"/>
      <c r="I13" s="1093" t="s">
        <v>126</v>
      </c>
      <c r="J13" s="1094"/>
      <c r="K13" s="1107" t="s">
        <v>127</v>
      </c>
      <c r="L13" s="1087" t="s">
        <v>37</v>
      </c>
      <c r="M13" s="1097"/>
    </row>
    <row r="14" spans="1:13" ht="37.15" customHeight="1">
      <c r="A14" s="1086"/>
      <c r="B14" s="1069"/>
      <c r="C14" s="1070"/>
      <c r="D14" s="1090"/>
      <c r="E14" s="1091"/>
      <c r="F14" s="1091"/>
      <c r="G14" s="1091"/>
      <c r="H14" s="1092"/>
      <c r="I14" s="1095"/>
      <c r="J14" s="1096"/>
      <c r="K14" s="1108"/>
      <c r="L14" s="1068"/>
      <c r="M14" s="1098"/>
    </row>
    <row r="15" spans="1:13" ht="15" customHeight="1">
      <c r="A15" s="108"/>
      <c r="B15" s="109"/>
      <c r="C15" s="110"/>
      <c r="D15" s="111"/>
      <c r="E15" s="109"/>
      <c r="F15" s="109"/>
      <c r="G15" s="109"/>
      <c r="H15" s="109"/>
      <c r="I15" s="111"/>
      <c r="J15" s="110"/>
      <c r="K15" s="158"/>
      <c r="L15" s="1071"/>
      <c r="M15" s="1101"/>
    </row>
    <row r="16" spans="1:13" ht="15" customHeight="1">
      <c r="A16" s="112"/>
      <c r="B16" s="113"/>
      <c r="C16" s="114"/>
      <c r="I16" s="115"/>
      <c r="J16" s="118"/>
      <c r="K16" s="143"/>
      <c r="L16" s="1099">
        <f>'SUMMARY (1-15)-E'!C21</f>
        <v>7551.32</v>
      </c>
      <c r="M16" s="1100"/>
    </row>
    <row r="17" spans="1:13" ht="15" customHeight="1">
      <c r="A17" s="112"/>
      <c r="B17" s="113"/>
      <c r="C17" s="114"/>
      <c r="D17" s="1102" t="s">
        <v>128</v>
      </c>
      <c r="E17" s="1103"/>
      <c r="F17" s="1104" t="e">
        <f>'SUMMARY (1-15)-D&amp;6'!C5</f>
        <v>#REF!</v>
      </c>
      <c r="G17" s="1105"/>
      <c r="H17" s="1106"/>
      <c r="I17" s="115"/>
      <c r="J17" s="118"/>
      <c r="K17" s="143"/>
      <c r="L17" s="1099"/>
      <c r="M17" s="1100"/>
    </row>
    <row r="18" spans="1:13" ht="15" customHeight="1">
      <c r="A18" s="112"/>
      <c r="B18" s="113"/>
      <c r="C18" s="114"/>
      <c r="D18" s="115"/>
      <c r="E18" s="116"/>
      <c r="F18" s="116"/>
      <c r="G18" s="116"/>
      <c r="H18" s="116"/>
      <c r="I18" s="115"/>
      <c r="J18" s="118"/>
      <c r="K18" s="143"/>
      <c r="L18" s="1099"/>
      <c r="M18" s="1100"/>
    </row>
    <row r="19" spans="1:13" ht="15" customHeight="1">
      <c r="A19" s="117"/>
      <c r="B19" s="116"/>
      <c r="C19" s="118"/>
      <c r="D19" s="115"/>
      <c r="E19" s="116"/>
      <c r="F19" s="116"/>
      <c r="G19" s="116"/>
      <c r="H19" s="116"/>
      <c r="I19" s="115"/>
      <c r="J19" s="118"/>
      <c r="K19" s="143"/>
      <c r="L19" s="1024"/>
      <c r="M19" s="1025"/>
    </row>
    <row r="20" spans="1:13" ht="15" customHeight="1">
      <c r="A20" s="117"/>
      <c r="B20" s="116"/>
      <c r="C20" s="118"/>
      <c r="D20" s="115"/>
      <c r="E20" s="116"/>
      <c r="F20" s="116"/>
      <c r="G20" s="116"/>
      <c r="H20" s="116"/>
      <c r="I20" s="115"/>
      <c r="J20" s="118"/>
      <c r="K20" s="143"/>
      <c r="L20" s="1024"/>
      <c r="M20" s="1025"/>
    </row>
    <row r="21" spans="1:13" ht="15" customHeight="1">
      <c r="A21" s="117"/>
      <c r="B21" s="116"/>
      <c r="C21" s="118"/>
      <c r="D21" s="119"/>
      <c r="E21" s="120"/>
      <c r="F21" s="120"/>
      <c r="G21" s="120"/>
      <c r="H21" s="121"/>
      <c r="I21" s="115"/>
      <c r="J21" s="118"/>
      <c r="K21" s="159"/>
      <c r="L21" s="1024"/>
      <c r="M21" s="1025"/>
    </row>
    <row r="22" spans="1:13" ht="15" customHeight="1">
      <c r="A22" s="117"/>
      <c r="B22" s="116"/>
      <c r="C22" s="118"/>
      <c r="D22" s="119"/>
      <c r="E22" s="120"/>
      <c r="F22" s="120"/>
      <c r="G22" s="120"/>
      <c r="H22" s="121"/>
      <c r="I22" s="115"/>
      <c r="J22" s="118"/>
      <c r="K22" s="159"/>
      <c r="L22" s="1024"/>
      <c r="M22" s="1025"/>
    </row>
    <row r="23" spans="1:13" ht="15" customHeight="1">
      <c r="A23" s="117"/>
      <c r="B23" s="116"/>
      <c r="C23" s="118"/>
      <c r="D23" s="122"/>
      <c r="E23" s="116"/>
      <c r="F23" s="116" t="s">
        <v>129</v>
      </c>
      <c r="G23" s="116"/>
      <c r="H23" s="118"/>
      <c r="I23" s="115"/>
      <c r="J23" s="118"/>
      <c r="K23" s="159"/>
      <c r="L23" s="1024"/>
      <c r="M23" s="1025"/>
    </row>
    <row r="24" spans="1:13" ht="20.100000000000001" customHeight="1" thickBot="1">
      <c r="A24" s="123"/>
      <c r="B24" s="124"/>
      <c r="C24" s="125"/>
      <c r="D24" s="1026" t="s">
        <v>130</v>
      </c>
      <c r="E24" s="1027"/>
      <c r="F24" s="1027"/>
      <c r="G24" s="1027"/>
      <c r="H24" s="1028"/>
      <c r="I24" s="105"/>
      <c r="J24" s="160"/>
      <c r="K24" s="160"/>
      <c r="L24" s="1029">
        <f>L16</f>
        <v>7551.32</v>
      </c>
      <c r="M24" s="1030"/>
    </row>
    <row r="25" spans="1:13" ht="9" customHeight="1">
      <c r="A25" s="1040" t="s">
        <v>131</v>
      </c>
      <c r="B25" s="126"/>
      <c r="C25" s="127"/>
      <c r="D25" s="107"/>
      <c r="E25" s="128"/>
      <c r="F25" s="128"/>
      <c r="G25" s="128"/>
      <c r="H25" s="129"/>
      <c r="I25" s="1040" t="s">
        <v>132</v>
      </c>
      <c r="J25" s="161"/>
      <c r="K25" s="127"/>
      <c r="L25" s="116"/>
      <c r="M25" s="131"/>
    </row>
    <row r="26" spans="1:13" ht="14.25" customHeight="1">
      <c r="A26" s="1041"/>
      <c r="B26" s="1031" t="s">
        <v>133</v>
      </c>
      <c r="C26" s="1032"/>
      <c r="D26" s="1033" t="s">
        <v>134</v>
      </c>
      <c r="E26" s="1033"/>
      <c r="F26" s="1033"/>
      <c r="G26" s="1033"/>
      <c r="H26" s="1025"/>
      <c r="I26" s="1041"/>
      <c r="J26" s="162" t="s">
        <v>135</v>
      </c>
      <c r="K26" s="116"/>
      <c r="L26" s="116"/>
      <c r="M26" s="131"/>
    </row>
    <row r="27" spans="1:13" ht="15">
      <c r="A27" s="130"/>
      <c r="B27" s="116" t="s">
        <v>136</v>
      </c>
      <c r="C27" s="116"/>
      <c r="D27" s="116"/>
      <c r="E27" s="116"/>
      <c r="F27" s="116"/>
      <c r="G27" s="116"/>
      <c r="H27" s="131"/>
      <c r="I27" s="117"/>
      <c r="J27" s="116" t="s">
        <v>137</v>
      </c>
      <c r="K27" s="116"/>
      <c r="L27" s="116"/>
      <c r="M27" s="131"/>
    </row>
    <row r="28" spans="1:13" ht="15">
      <c r="A28" s="1058"/>
      <c r="B28" s="116" t="s">
        <v>138</v>
      </c>
      <c r="C28" s="116"/>
      <c r="D28" s="116"/>
      <c r="E28" s="116"/>
      <c r="F28" s="116"/>
      <c r="G28" s="116"/>
      <c r="H28" s="131"/>
      <c r="I28" s="116"/>
      <c r="J28" s="116"/>
      <c r="K28" s="116"/>
      <c r="M28" s="131"/>
    </row>
    <row r="29" spans="1:13" ht="12.75" customHeight="1">
      <c r="A29" s="1058"/>
      <c r="B29" s="116"/>
      <c r="C29" s="116"/>
      <c r="D29" s="116"/>
      <c r="E29" s="116"/>
      <c r="F29" s="116"/>
      <c r="G29" s="116"/>
      <c r="H29" s="131"/>
      <c r="I29" s="116"/>
      <c r="J29" s="116"/>
      <c r="K29" s="116"/>
      <c r="L29" s="116"/>
      <c r="M29" s="131"/>
    </row>
    <row r="30" spans="1:13" ht="12.75" customHeight="1">
      <c r="A30" s="132"/>
      <c r="B30" s="133"/>
      <c r="C30" s="133"/>
      <c r="D30" s="133"/>
      <c r="E30" s="133"/>
      <c r="F30" s="133"/>
      <c r="G30" s="116"/>
      <c r="H30" s="131"/>
      <c r="I30" s="116"/>
      <c r="J30" s="116"/>
      <c r="K30" s="116"/>
      <c r="L30" s="116"/>
      <c r="M30" s="131"/>
    </row>
    <row r="31" spans="1:13" ht="12.75" customHeight="1">
      <c r="A31" s="132"/>
      <c r="B31" s="116"/>
      <c r="C31" s="116"/>
      <c r="D31" s="116"/>
      <c r="E31" s="116"/>
      <c r="F31" s="116"/>
      <c r="G31" s="116"/>
      <c r="H31" s="131"/>
      <c r="I31" s="116"/>
      <c r="J31" s="116"/>
      <c r="K31" s="116"/>
      <c r="L31" s="116"/>
      <c r="M31" s="131"/>
    </row>
    <row r="32" spans="1:13" ht="12.75" customHeight="1">
      <c r="A32" s="1034" t="s">
        <v>139</v>
      </c>
      <c r="B32" s="1035"/>
      <c r="C32" s="1036"/>
      <c r="D32" s="1036"/>
      <c r="E32" s="1036"/>
      <c r="F32" s="1036"/>
      <c r="G32" s="1036"/>
      <c r="H32" s="1037"/>
      <c r="I32" s="1034" t="s">
        <v>139</v>
      </c>
      <c r="J32" s="1035"/>
      <c r="K32" s="1038"/>
      <c r="L32" s="1038"/>
      <c r="M32" s="1039"/>
    </row>
    <row r="33" spans="1:13" ht="18" customHeight="1">
      <c r="A33" s="1034" t="s">
        <v>140</v>
      </c>
      <c r="B33" s="1035"/>
      <c r="C33" s="1042" t="e">
        <f>#REF!</f>
        <v>#REF!</v>
      </c>
      <c r="D33" s="1042"/>
      <c r="E33" s="1042"/>
      <c r="F33" s="1042"/>
      <c r="G33" s="1042"/>
      <c r="H33" s="1043"/>
      <c r="I33" s="1034" t="s">
        <v>140</v>
      </c>
      <c r="J33" s="1035"/>
      <c r="K33" s="1032" t="s">
        <v>210</v>
      </c>
      <c r="L33" s="1033"/>
      <c r="M33" s="1025"/>
    </row>
    <row r="34" spans="1:13" ht="15" customHeight="1">
      <c r="A34" s="1034" t="s">
        <v>141</v>
      </c>
      <c r="B34" s="1035"/>
      <c r="C34" s="1044" t="e">
        <f>#REF!</f>
        <v>#REF!</v>
      </c>
      <c r="D34" s="1044"/>
      <c r="E34" s="1044"/>
      <c r="F34" s="1044"/>
      <c r="G34" s="1044"/>
      <c r="H34" s="1045"/>
      <c r="I34" s="1034" t="s">
        <v>141</v>
      </c>
      <c r="J34" s="1035"/>
      <c r="K34" s="1033" t="s">
        <v>211</v>
      </c>
      <c r="L34" s="1033"/>
      <c r="M34" s="1025"/>
    </row>
    <row r="35" spans="1:13" s="100" customFormat="1" ht="15" customHeight="1">
      <c r="A35" s="134"/>
      <c r="B35" s="135"/>
      <c r="C35" s="1048" t="s">
        <v>142</v>
      </c>
      <c r="D35" s="1048"/>
      <c r="E35" s="1048"/>
      <c r="F35" s="1048"/>
      <c r="G35" s="1048"/>
      <c r="H35" s="1049"/>
      <c r="I35" s="134"/>
      <c r="J35" s="135"/>
      <c r="K35" s="1048" t="s">
        <v>143</v>
      </c>
      <c r="L35" s="1048"/>
      <c r="M35" s="1049"/>
    </row>
    <row r="36" spans="1:13" ht="12.75" customHeight="1">
      <c r="A36" s="1034" t="s">
        <v>144</v>
      </c>
      <c r="B36" s="1035"/>
      <c r="C36" s="1019"/>
      <c r="D36" s="1019"/>
      <c r="E36" s="1019"/>
      <c r="F36" s="1019"/>
      <c r="G36" s="1019"/>
      <c r="H36" s="1020"/>
      <c r="I36" s="1034" t="s">
        <v>144</v>
      </c>
      <c r="J36" s="1035"/>
      <c r="K36" s="116"/>
      <c r="L36" s="116"/>
      <c r="M36" s="131"/>
    </row>
    <row r="37" spans="1:13" ht="9.75" customHeight="1" thickBot="1">
      <c r="A37" s="136"/>
      <c r="B37" s="106"/>
      <c r="C37" s="106"/>
      <c r="D37" s="106"/>
      <c r="E37" s="106"/>
      <c r="F37" s="106"/>
      <c r="G37" s="106"/>
      <c r="H37" s="137"/>
      <c r="I37" s="124"/>
      <c r="J37" s="124"/>
      <c r="K37" s="124"/>
      <c r="L37" s="124"/>
      <c r="M37" s="163"/>
    </row>
    <row r="38" spans="1:13" ht="15" thickBot="1">
      <c r="A38" s="138" t="s">
        <v>145</v>
      </c>
      <c r="B38" s="1075" t="s">
        <v>146</v>
      </c>
      <c r="C38" s="1076"/>
      <c r="D38" s="1076"/>
      <c r="E38" s="1076"/>
      <c r="F38" s="1076"/>
      <c r="G38" s="1076"/>
      <c r="H38" s="1076"/>
      <c r="I38" s="1076"/>
      <c r="J38" s="1076"/>
      <c r="K38" s="1076"/>
      <c r="L38" s="1076"/>
      <c r="M38" s="1077"/>
    </row>
    <row r="39" spans="1:13" ht="13.5" customHeight="1" thickBot="1">
      <c r="A39" s="1078" t="s">
        <v>147</v>
      </c>
      <c r="B39" s="1076"/>
      <c r="C39" s="1076"/>
      <c r="D39" s="1076"/>
      <c r="E39" s="1076"/>
      <c r="F39" s="1076"/>
      <c r="G39" s="1077"/>
      <c r="H39" s="1078" t="s">
        <v>37</v>
      </c>
      <c r="I39" s="1076"/>
      <c r="J39" s="1076"/>
      <c r="K39" s="1076"/>
      <c r="L39" s="1076"/>
      <c r="M39" s="1077"/>
    </row>
    <row r="40" spans="1:13" ht="13.5" customHeight="1">
      <c r="A40" s="1059" t="s">
        <v>53</v>
      </c>
      <c r="B40" s="1061" t="s">
        <v>41</v>
      </c>
      <c r="C40" s="1062"/>
      <c r="D40" s="1062"/>
      <c r="E40" s="1065" t="s">
        <v>148</v>
      </c>
      <c r="F40" s="1066"/>
      <c r="G40" s="1067"/>
      <c r="H40" s="1082" t="s">
        <v>43</v>
      </c>
      <c r="I40" s="1046" t="s">
        <v>149</v>
      </c>
      <c r="J40" s="1047"/>
      <c r="K40" s="1082" t="s">
        <v>150</v>
      </c>
      <c r="L40" s="1079" t="s">
        <v>151</v>
      </c>
      <c r="M40" s="1039"/>
    </row>
    <row r="41" spans="1:13" ht="26.25" customHeight="1">
      <c r="A41" s="1059"/>
      <c r="B41" s="1061"/>
      <c r="C41" s="1062"/>
      <c r="D41" s="1062"/>
      <c r="E41" s="1065"/>
      <c r="F41" s="1066"/>
      <c r="G41" s="1067"/>
      <c r="H41" s="1082"/>
      <c r="I41" s="1046"/>
      <c r="J41" s="1047"/>
      <c r="K41" s="1082"/>
      <c r="L41" s="139" t="s">
        <v>43</v>
      </c>
      <c r="M41" s="164" t="s">
        <v>149</v>
      </c>
    </row>
    <row r="42" spans="1:13" ht="15.6" customHeight="1">
      <c r="A42" s="1060"/>
      <c r="B42" s="1063"/>
      <c r="C42" s="1064"/>
      <c r="D42" s="1064"/>
      <c r="E42" s="1068"/>
      <c r="F42" s="1069"/>
      <c r="G42" s="1070"/>
      <c r="H42" s="140" t="s">
        <v>152</v>
      </c>
      <c r="I42" s="1080" t="s">
        <v>153</v>
      </c>
      <c r="J42" s="1081"/>
      <c r="K42" s="140" t="s">
        <v>154</v>
      </c>
      <c r="L42" s="140" t="s">
        <v>155</v>
      </c>
      <c r="M42" s="165" t="s">
        <v>156</v>
      </c>
    </row>
    <row r="43" spans="1:13" ht="15" customHeight="1">
      <c r="A43" s="141"/>
      <c r="B43" s="1050" t="str">
        <f>D17</f>
        <v>WAGES -</v>
      </c>
      <c r="C43" s="1051"/>
      <c r="D43" s="1052"/>
      <c r="E43" s="1071"/>
      <c r="F43" s="1072"/>
      <c r="G43" s="1073"/>
      <c r="H43" s="142">
        <f>L24</f>
        <v>7551.32</v>
      </c>
      <c r="I43" s="1008"/>
      <c r="J43" s="1009"/>
      <c r="K43" s="166"/>
      <c r="L43" s="167"/>
      <c r="M43" s="168"/>
    </row>
    <row r="44" spans="1:13" ht="13.5" customHeight="1">
      <c r="A44" s="141"/>
      <c r="B44" s="1053" t="e">
        <f>F17</f>
        <v>#REF!</v>
      </c>
      <c r="C44" s="1054"/>
      <c r="D44" s="1055"/>
      <c r="E44" s="1024"/>
      <c r="F44" s="1033"/>
      <c r="G44" s="1074"/>
      <c r="H44" s="143"/>
      <c r="I44" s="169"/>
      <c r="J44" s="170"/>
      <c r="K44" s="171"/>
      <c r="L44" s="171"/>
      <c r="M44" s="172"/>
    </row>
    <row r="45" spans="1:13" ht="13.5" customHeight="1">
      <c r="A45" s="141"/>
      <c r="B45" s="144"/>
      <c r="C45" s="145"/>
      <c r="D45" s="146"/>
      <c r="E45" s="147"/>
      <c r="F45" s="148"/>
      <c r="G45" s="149"/>
      <c r="H45" s="150"/>
      <c r="I45" s="173"/>
      <c r="J45" s="170"/>
      <c r="K45" s="171"/>
      <c r="L45" s="171"/>
      <c r="M45" s="172"/>
    </row>
    <row r="46" spans="1:13" ht="13.5" customHeight="1">
      <c r="A46" s="141"/>
      <c r="B46" s="151"/>
      <c r="C46" s="116"/>
      <c r="D46" s="118"/>
      <c r="E46" s="1056"/>
      <c r="F46" s="1019"/>
      <c r="G46" s="1057"/>
      <c r="H46" s="143"/>
      <c r="I46" s="169"/>
      <c r="J46" s="174"/>
      <c r="K46" s="175"/>
      <c r="L46" s="175"/>
      <c r="M46" s="176"/>
    </row>
    <row r="47" spans="1:13" ht="13.5" customHeight="1">
      <c r="A47" s="141"/>
      <c r="B47" s="151"/>
      <c r="C47" s="116"/>
      <c r="D47" s="118"/>
      <c r="E47" s="115"/>
      <c r="F47" s="116"/>
      <c r="G47" s="118"/>
      <c r="H47" s="143"/>
      <c r="I47" s="169"/>
      <c r="J47" s="174"/>
      <c r="K47" s="175"/>
      <c r="L47" s="177"/>
      <c r="M47" s="176"/>
    </row>
    <row r="48" spans="1:13" ht="13.5" customHeight="1">
      <c r="A48" s="141"/>
      <c r="B48" s="151"/>
      <c r="C48" s="116"/>
      <c r="D48" s="118"/>
      <c r="E48" s="115"/>
      <c r="F48" s="116"/>
      <c r="G48" s="118"/>
      <c r="H48" s="143"/>
      <c r="I48" s="115"/>
      <c r="J48" s="118"/>
      <c r="K48" s="143"/>
      <c r="L48" s="143"/>
      <c r="M48" s="131"/>
    </row>
    <row r="49" spans="1:13" ht="13.5" customHeight="1">
      <c r="A49" s="141"/>
      <c r="B49" s="151"/>
      <c r="C49" s="116"/>
      <c r="D49" s="118"/>
      <c r="E49" s="115"/>
      <c r="F49" s="116"/>
      <c r="G49" s="118"/>
      <c r="H49" s="143"/>
      <c r="I49" s="115"/>
      <c r="J49" s="118"/>
      <c r="K49" s="143"/>
      <c r="L49" s="143"/>
      <c r="M49" s="131"/>
    </row>
    <row r="50" spans="1:13" ht="13.5" customHeight="1" thickBot="1">
      <c r="A50" s="152"/>
      <c r="B50" s="153"/>
      <c r="C50" s="154"/>
      <c r="D50" s="155"/>
      <c r="E50" s="156"/>
      <c r="F50" s="154"/>
      <c r="G50" s="155"/>
      <c r="H50" s="157"/>
      <c r="I50" s="156"/>
      <c r="J50" s="155"/>
      <c r="K50" s="157"/>
      <c r="L50" s="157"/>
      <c r="M50" s="178"/>
    </row>
    <row r="51" spans="1:13" ht="1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</row>
  </sheetData>
  <mergeCells count="69">
    <mergeCell ref="E46:G46"/>
    <mergeCell ref="L40:M40"/>
    <mergeCell ref="I42:J42"/>
    <mergeCell ref="B43:D43"/>
    <mergeCell ref="E43:G44"/>
    <mergeCell ref="I43:J43"/>
    <mergeCell ref="B44:D44"/>
    <mergeCell ref="K40:K41"/>
    <mergeCell ref="B38:M38"/>
    <mergeCell ref="A39:G39"/>
    <mergeCell ref="H39:M39"/>
    <mergeCell ref="A40:A42"/>
    <mergeCell ref="B40:D42"/>
    <mergeCell ref="E40:G42"/>
    <mergeCell ref="H40:H41"/>
    <mergeCell ref="I40:J41"/>
    <mergeCell ref="C35:H35"/>
    <mergeCell ref="K35:M35"/>
    <mergeCell ref="A36:B36"/>
    <mergeCell ref="C36:H36"/>
    <mergeCell ref="I36:J36"/>
    <mergeCell ref="I32:J32"/>
    <mergeCell ref="K32:M32"/>
    <mergeCell ref="A34:B34"/>
    <mergeCell ref="C34:H34"/>
    <mergeCell ref="I34:J34"/>
    <mergeCell ref="K34:M34"/>
    <mergeCell ref="A33:B33"/>
    <mergeCell ref="C33:H33"/>
    <mergeCell ref="I33:J33"/>
    <mergeCell ref="K33:M33"/>
    <mergeCell ref="A32:B32"/>
    <mergeCell ref="C32:H32"/>
    <mergeCell ref="L21:M21"/>
    <mergeCell ref="L22:M22"/>
    <mergeCell ref="L23:M23"/>
    <mergeCell ref="D24:H24"/>
    <mergeCell ref="L24:M24"/>
    <mergeCell ref="A25:A26"/>
    <mergeCell ref="I25:I26"/>
    <mergeCell ref="B26:C26"/>
    <mergeCell ref="D26:H26"/>
    <mergeCell ref="A28:A29"/>
    <mergeCell ref="L20:M20"/>
    <mergeCell ref="A11:C12"/>
    <mergeCell ref="D11:M12"/>
    <mergeCell ref="A13:C14"/>
    <mergeCell ref="D13:H14"/>
    <mergeCell ref="I13:J14"/>
    <mergeCell ref="K13:K14"/>
    <mergeCell ref="L13:M14"/>
    <mergeCell ref="L15:M15"/>
    <mergeCell ref="L16:M18"/>
    <mergeCell ref="D17:E17"/>
    <mergeCell ref="F17:H17"/>
    <mergeCell ref="L19:M19"/>
    <mergeCell ref="A9:C10"/>
    <mergeCell ref="D9:M10"/>
    <mergeCell ref="A2:J2"/>
    <mergeCell ref="K2:M2"/>
    <mergeCell ref="B3:J3"/>
    <mergeCell ref="K3:M3"/>
    <mergeCell ref="A4:J4"/>
    <mergeCell ref="K4:M4"/>
    <mergeCell ref="B5:J6"/>
    <mergeCell ref="K5:M5"/>
    <mergeCell ref="K6:M6"/>
    <mergeCell ref="A7:C8"/>
    <mergeCell ref="D7:M8"/>
  </mergeCells>
  <printOptions horizontalCentered="1"/>
  <pageMargins left="0.25" right="0.25" top="0.75" bottom="0.75" header="0.3" footer="0.3"/>
  <pageSetup paperSize="14" scale="92" fitToHeight="0" orientation="portrait" r:id="rId1"/>
  <headerFooter>
    <oddFooter>&amp;L&amp;"Tahoma,Italic"&amp;8NIA-AlCat RV-AFS-FIN-INT-Form06Rev01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AL73"/>
  <sheetViews>
    <sheetView topLeftCell="A10" zoomScaleNormal="100" workbookViewId="0">
      <selection activeCell="D25" sqref="D25:I25"/>
    </sheetView>
  </sheetViews>
  <sheetFormatPr defaultColWidth="8.85546875" defaultRowHeight="12.75"/>
  <cols>
    <col min="1" max="2" width="2.7109375" style="4" customWidth="1"/>
    <col min="3" max="5" width="8.7109375" style="4" customWidth="1"/>
    <col min="6" max="13" width="3.7109375" style="4" customWidth="1"/>
    <col min="14" max="19" width="1.7109375" style="4" customWidth="1"/>
    <col min="20" max="28" width="3.28515625" style="4" customWidth="1"/>
    <col min="29" max="29" width="5.7109375" style="4" customWidth="1"/>
    <col min="30" max="33" width="2.85546875" style="4" customWidth="1"/>
    <col min="34" max="34" width="8.7109375" style="4" customWidth="1"/>
    <col min="35" max="35" width="0.140625" style="4" hidden="1" customWidth="1"/>
    <col min="36" max="16384" width="8.85546875" style="4"/>
  </cols>
  <sheetData>
    <row r="1" spans="1:35" ht="9.9499999999999993" customHeight="1" thickBot="1">
      <c r="AC1" s="1138"/>
      <c r="AD1" s="1138"/>
      <c r="AE1" s="1138"/>
      <c r="AF1" s="1138"/>
      <c r="AG1" s="1138"/>
      <c r="AH1" s="1138"/>
    </row>
    <row r="2" spans="1:35" ht="21" customHeight="1">
      <c r="A2" s="1139" t="s">
        <v>117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140"/>
      <c r="S2" s="1140"/>
      <c r="T2" s="1140"/>
      <c r="U2" s="1140"/>
      <c r="V2" s="1140"/>
      <c r="W2" s="1140"/>
      <c r="X2" s="1140"/>
      <c r="Y2" s="1140"/>
      <c r="Z2" s="1140"/>
      <c r="AA2" s="1140"/>
      <c r="AB2" s="1141"/>
      <c r="AC2" s="1142" t="s">
        <v>157</v>
      </c>
      <c r="AD2" s="1143"/>
      <c r="AE2" s="1143"/>
      <c r="AF2" s="1143"/>
      <c r="AG2" s="1143"/>
      <c r="AH2" s="1144"/>
    </row>
    <row r="3" spans="1:35" ht="15.75" customHeight="1">
      <c r="A3" s="1145" t="s">
        <v>207</v>
      </c>
      <c r="B3" s="1146"/>
      <c r="C3" s="1146"/>
      <c r="D3" s="1146"/>
      <c r="E3" s="1146"/>
      <c r="F3" s="1146"/>
      <c r="G3" s="1146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7"/>
      <c r="AC3" s="1148"/>
      <c r="AD3" s="1149"/>
      <c r="AE3" s="1149"/>
      <c r="AF3" s="1149"/>
      <c r="AG3" s="1149"/>
      <c r="AH3" s="1150"/>
    </row>
    <row r="4" spans="1:35" ht="15" customHeight="1">
      <c r="A4" s="1162" t="s">
        <v>158</v>
      </c>
      <c r="B4" s="1163"/>
      <c r="C4" s="1164"/>
      <c r="D4" s="1164"/>
      <c r="E4" s="1164"/>
      <c r="F4" s="1164"/>
      <c r="G4" s="1164"/>
      <c r="H4" s="1164"/>
      <c r="I4" s="1164"/>
      <c r="J4" s="1164"/>
      <c r="K4" s="1164"/>
      <c r="L4" s="1164"/>
      <c r="M4" s="1164"/>
      <c r="N4" s="1164"/>
      <c r="O4" s="1164"/>
      <c r="P4" s="1164"/>
      <c r="Q4" s="1164"/>
      <c r="R4" s="1164"/>
      <c r="S4" s="1164"/>
      <c r="T4" s="1164"/>
      <c r="U4" s="1164"/>
      <c r="V4" s="1164"/>
      <c r="W4" s="1164"/>
      <c r="X4" s="1164"/>
      <c r="Y4" s="1164"/>
      <c r="Z4" s="1164"/>
      <c r="AA4" s="1164"/>
      <c r="AB4" s="1165"/>
      <c r="AC4" s="1151" t="s">
        <v>159</v>
      </c>
      <c r="AD4" s="1152"/>
      <c r="AE4" s="1152"/>
      <c r="AF4" s="1152"/>
      <c r="AG4" s="1152"/>
      <c r="AH4" s="1153"/>
    </row>
    <row r="5" spans="1:35" ht="15" customHeight="1">
      <c r="A5" s="1162"/>
      <c r="B5" s="1163"/>
      <c r="C5" s="1164"/>
      <c r="D5" s="1164"/>
      <c r="E5" s="1164"/>
      <c r="F5" s="1164"/>
      <c r="G5" s="1164"/>
      <c r="H5" s="1164"/>
      <c r="I5" s="1164"/>
      <c r="J5" s="1164"/>
      <c r="K5" s="1164"/>
      <c r="L5" s="1164"/>
      <c r="M5" s="1164"/>
      <c r="N5" s="1164"/>
      <c r="O5" s="1164"/>
      <c r="P5" s="1164"/>
      <c r="Q5" s="1164"/>
      <c r="R5" s="1164"/>
      <c r="S5" s="1164"/>
      <c r="T5" s="1164"/>
      <c r="U5" s="1164"/>
      <c r="V5" s="1164"/>
      <c r="W5" s="1164"/>
      <c r="X5" s="1164"/>
      <c r="Y5" s="1164"/>
      <c r="Z5" s="1164"/>
      <c r="AA5" s="1164"/>
      <c r="AB5" s="1165"/>
      <c r="AC5" s="1154" t="s">
        <v>160</v>
      </c>
      <c r="AD5" s="1155"/>
      <c r="AE5" s="1155"/>
      <c r="AF5" s="1155"/>
      <c r="AG5" s="1155"/>
      <c r="AH5" s="1156"/>
    </row>
    <row r="6" spans="1:35" ht="15" customHeight="1" thickBot="1">
      <c r="A6" s="1166"/>
      <c r="B6" s="1167"/>
      <c r="C6" s="1167"/>
      <c r="D6" s="1167"/>
      <c r="E6" s="1167"/>
      <c r="F6" s="1167"/>
      <c r="G6" s="1167"/>
      <c r="H6" s="1167"/>
      <c r="I6" s="1167"/>
      <c r="J6" s="1167"/>
      <c r="K6" s="1167"/>
      <c r="L6" s="1167"/>
      <c r="M6" s="1167"/>
      <c r="N6" s="1167"/>
      <c r="O6" s="1167"/>
      <c r="P6" s="1167"/>
      <c r="Q6" s="1167"/>
      <c r="R6" s="1167"/>
      <c r="S6" s="1167"/>
      <c r="T6" s="1167"/>
      <c r="U6" s="1167"/>
      <c r="V6" s="1167"/>
      <c r="W6" s="1167"/>
      <c r="X6" s="1167"/>
      <c r="Y6" s="1167"/>
      <c r="Z6" s="1167"/>
      <c r="AA6" s="1167"/>
      <c r="AB6" s="1168"/>
      <c r="AC6" s="1157"/>
      <c r="AD6" s="1157"/>
      <c r="AE6" s="1157"/>
      <c r="AF6" s="1157"/>
      <c r="AG6" s="1157"/>
      <c r="AH6" s="1158"/>
    </row>
    <row r="7" spans="1:35" s="1" customFormat="1" ht="9.75" customHeight="1">
      <c r="A7" s="1188" t="s">
        <v>161</v>
      </c>
      <c r="B7" s="1189"/>
      <c r="C7" s="1189"/>
      <c r="D7" s="1190"/>
      <c r="E7" s="1159"/>
      <c r="F7" s="1160"/>
      <c r="G7" s="1160"/>
      <c r="H7" s="1160"/>
      <c r="I7" s="1160"/>
      <c r="J7" s="1160"/>
      <c r="K7" s="1160"/>
      <c r="L7" s="1160"/>
      <c r="M7" s="1160"/>
      <c r="N7" s="1160"/>
      <c r="O7" s="1160"/>
      <c r="P7" s="1160"/>
      <c r="Q7" s="1160"/>
      <c r="R7" s="1160"/>
      <c r="S7" s="1160"/>
      <c r="T7" s="1160"/>
      <c r="U7" s="1160"/>
      <c r="V7" s="1160"/>
      <c r="W7" s="1160"/>
      <c r="X7" s="1160"/>
      <c r="Y7" s="1160"/>
      <c r="Z7" s="1160"/>
      <c r="AA7" s="1160"/>
      <c r="AB7" s="1160"/>
      <c r="AC7" s="1160"/>
      <c r="AD7" s="1160"/>
      <c r="AE7" s="1160"/>
      <c r="AF7" s="1160"/>
      <c r="AG7" s="1160"/>
      <c r="AH7" s="1161"/>
      <c r="AI7" s="72"/>
    </row>
    <row r="8" spans="1:35" s="1" customFormat="1" ht="15">
      <c r="A8" s="1191"/>
      <c r="B8" s="1192"/>
      <c r="C8" s="1192"/>
      <c r="D8" s="1193"/>
      <c r="E8" s="5"/>
      <c r="F8" s="6"/>
      <c r="G8" s="7"/>
      <c r="H8" s="4" t="s">
        <v>162</v>
      </c>
      <c r="I8" s="4"/>
      <c r="J8" s="4"/>
      <c r="K8" s="4"/>
      <c r="L8" s="42"/>
      <c r="M8" s="43"/>
      <c r="N8" s="4" t="s">
        <v>163</v>
      </c>
      <c r="O8" s="6"/>
      <c r="P8" s="4"/>
      <c r="Q8" s="4"/>
      <c r="R8" s="4"/>
      <c r="S8" s="4"/>
      <c r="T8" s="7"/>
      <c r="U8" s="4" t="s">
        <v>164</v>
      </c>
      <c r="V8" s="6"/>
      <c r="W8" s="4"/>
      <c r="X8" s="7"/>
      <c r="Y8" s="4" t="s">
        <v>165</v>
      </c>
      <c r="Z8" s="4"/>
      <c r="AD8" s="4"/>
      <c r="AE8" s="4"/>
      <c r="AF8" s="6"/>
      <c r="AG8" s="6"/>
      <c r="AH8" s="62"/>
      <c r="AI8" s="72"/>
    </row>
    <row r="9" spans="1:35" s="1" customFormat="1" ht="14.25" customHeight="1" thickBot="1">
      <c r="A9" s="1194"/>
      <c r="B9" s="1195"/>
      <c r="C9" s="1195"/>
      <c r="D9" s="1196"/>
      <c r="E9" s="8"/>
      <c r="F9" s="9"/>
      <c r="G9" s="9"/>
      <c r="H9" s="9"/>
      <c r="I9" s="44"/>
      <c r="J9" s="1169"/>
      <c r="K9" s="1169"/>
      <c r="L9" s="1169"/>
      <c r="M9" s="1169"/>
      <c r="N9" s="1169"/>
      <c r="O9" s="9"/>
      <c r="P9" s="1169"/>
      <c r="Q9" s="1169"/>
      <c r="R9" s="1169"/>
      <c r="S9" s="1169"/>
      <c r="T9" s="1169"/>
      <c r="U9" s="1169"/>
      <c r="V9" s="9"/>
      <c r="W9" s="9"/>
      <c r="X9" s="9"/>
      <c r="Y9" s="9"/>
      <c r="Z9" s="9"/>
      <c r="AA9" s="9"/>
      <c r="AB9" s="63" t="s">
        <v>166</v>
      </c>
      <c r="AC9" s="9"/>
      <c r="AD9" s="9"/>
      <c r="AE9" s="9"/>
      <c r="AF9" s="9"/>
      <c r="AG9" s="9"/>
      <c r="AH9" s="73"/>
      <c r="AI9" s="72"/>
    </row>
    <row r="10" spans="1:35" s="1" customFormat="1" ht="15.75" customHeight="1">
      <c r="A10" s="1188" t="s">
        <v>122</v>
      </c>
      <c r="B10" s="1189"/>
      <c r="C10" s="1189"/>
      <c r="D10" s="1190"/>
      <c r="E10" s="1197" t="s">
        <v>17</v>
      </c>
      <c r="F10" s="1198"/>
      <c r="G10" s="1198"/>
      <c r="H10" s="1198"/>
      <c r="I10" s="1198"/>
      <c r="J10" s="1198"/>
      <c r="K10" s="1198"/>
      <c r="L10" s="1198"/>
      <c r="M10" s="1198"/>
      <c r="N10" s="1198"/>
      <c r="O10" s="1198"/>
      <c r="P10" s="1198"/>
      <c r="Q10" s="1198"/>
      <c r="R10" s="1198"/>
      <c r="S10" s="1199"/>
      <c r="T10" s="1170" t="s">
        <v>167</v>
      </c>
      <c r="U10" s="1160"/>
      <c r="V10" s="1160"/>
      <c r="W10" s="1160"/>
      <c r="X10" s="1160"/>
      <c r="Y10" s="1160"/>
      <c r="Z10" s="1160"/>
      <c r="AA10" s="1160"/>
      <c r="AB10" s="1171"/>
      <c r="AC10" s="1172" t="s">
        <v>168</v>
      </c>
      <c r="AD10" s="1173"/>
      <c r="AE10" s="1173"/>
      <c r="AF10" s="1173"/>
      <c r="AG10" s="1173"/>
      <c r="AH10" s="1174"/>
      <c r="AI10" s="74"/>
    </row>
    <row r="11" spans="1:35" s="1" customFormat="1" ht="15.75" customHeight="1">
      <c r="A11" s="1191"/>
      <c r="B11" s="1192"/>
      <c r="C11" s="1192"/>
      <c r="D11" s="1193"/>
      <c r="E11" s="1200"/>
      <c r="F11" s="1201"/>
      <c r="G11" s="1201"/>
      <c r="H11" s="1201"/>
      <c r="I11" s="1201"/>
      <c r="J11" s="1201"/>
      <c r="K11" s="1201"/>
      <c r="L11" s="1201"/>
      <c r="M11" s="1201"/>
      <c r="N11" s="1201"/>
      <c r="O11" s="1201"/>
      <c r="P11" s="1201"/>
      <c r="Q11" s="1201"/>
      <c r="R11" s="1201"/>
      <c r="S11" s="1202"/>
      <c r="T11" s="1175"/>
      <c r="U11" s="1176"/>
      <c r="V11" s="1176"/>
      <c r="W11" s="1176"/>
      <c r="X11" s="1176"/>
      <c r="Y11" s="1176"/>
      <c r="Z11" s="1176"/>
      <c r="AA11" s="1176"/>
      <c r="AB11" s="1177"/>
      <c r="AC11" s="1178"/>
      <c r="AD11" s="1179"/>
      <c r="AE11" s="1179"/>
      <c r="AF11" s="1179"/>
      <c r="AG11" s="1179"/>
      <c r="AH11" s="1180"/>
      <c r="AI11" s="72"/>
    </row>
    <row r="12" spans="1:35" s="1" customFormat="1" ht="15.75" customHeight="1">
      <c r="A12" s="1300" t="s">
        <v>124</v>
      </c>
      <c r="B12" s="1301"/>
      <c r="C12" s="1301"/>
      <c r="D12" s="1302"/>
      <c r="E12" s="1306"/>
      <c r="F12" s="1307"/>
      <c r="G12" s="1307"/>
      <c r="H12" s="1307"/>
      <c r="I12" s="1307"/>
      <c r="J12" s="1307"/>
      <c r="K12" s="1307"/>
      <c r="L12" s="1307"/>
      <c r="M12" s="1307"/>
      <c r="N12" s="1307"/>
      <c r="O12" s="1307"/>
      <c r="P12" s="1307"/>
      <c r="Q12" s="1307"/>
      <c r="R12" s="1307"/>
      <c r="S12" s="1307"/>
      <c r="T12" s="1307"/>
      <c r="U12" s="1307"/>
      <c r="V12" s="1307"/>
      <c r="W12" s="1307"/>
      <c r="X12" s="1307"/>
      <c r="Y12" s="1307"/>
      <c r="Z12" s="1307"/>
      <c r="AA12" s="1307"/>
      <c r="AB12" s="1307"/>
      <c r="AC12" s="1307"/>
      <c r="AD12" s="1307"/>
      <c r="AE12" s="1307"/>
      <c r="AF12" s="1307"/>
      <c r="AG12" s="1307"/>
      <c r="AH12" s="1308"/>
      <c r="AI12" s="72"/>
    </row>
    <row r="13" spans="1:35" s="1" customFormat="1" ht="15.75" customHeight="1" thickBot="1">
      <c r="A13" s="1303"/>
      <c r="B13" s="1304"/>
      <c r="C13" s="1304"/>
      <c r="D13" s="1305"/>
      <c r="E13" s="1309"/>
      <c r="F13" s="1310"/>
      <c r="G13" s="1310"/>
      <c r="H13" s="1310"/>
      <c r="I13" s="1310"/>
      <c r="J13" s="1310"/>
      <c r="K13" s="1310"/>
      <c r="L13" s="1310"/>
      <c r="M13" s="1310"/>
      <c r="N13" s="1310"/>
      <c r="O13" s="1310"/>
      <c r="P13" s="1310"/>
      <c r="Q13" s="1310"/>
      <c r="R13" s="1310"/>
      <c r="S13" s="1310"/>
      <c r="T13" s="1310"/>
      <c r="U13" s="1310"/>
      <c r="V13" s="1310"/>
      <c r="W13" s="1310"/>
      <c r="X13" s="1310"/>
      <c r="Y13" s="1310"/>
      <c r="Z13" s="1310"/>
      <c r="AA13" s="1310"/>
      <c r="AB13" s="1310"/>
      <c r="AC13" s="1310"/>
      <c r="AD13" s="1310"/>
      <c r="AE13" s="1310"/>
      <c r="AF13" s="1310"/>
      <c r="AG13" s="1310"/>
      <c r="AH13" s="1311"/>
      <c r="AI13" s="75"/>
    </row>
    <row r="14" spans="1:35" s="2" customFormat="1" ht="28.15" customHeight="1">
      <c r="A14" s="1181" t="s">
        <v>41</v>
      </c>
      <c r="B14" s="1182"/>
      <c r="C14" s="1182"/>
      <c r="D14" s="1182"/>
      <c r="E14" s="1182"/>
      <c r="F14" s="1182"/>
      <c r="G14" s="1182"/>
      <c r="H14" s="1182"/>
      <c r="I14" s="1182"/>
      <c r="J14" s="1182"/>
      <c r="K14" s="1182"/>
      <c r="L14" s="1182"/>
      <c r="M14" s="1182"/>
      <c r="N14" s="1182"/>
      <c r="O14" s="1182"/>
      <c r="P14" s="1182"/>
      <c r="Q14" s="1182"/>
      <c r="R14" s="1183"/>
      <c r="S14" s="1184" t="s">
        <v>125</v>
      </c>
      <c r="T14" s="1185"/>
      <c r="U14" s="1185"/>
      <c r="V14" s="1185"/>
      <c r="W14" s="1186"/>
      <c r="X14" s="1184" t="s">
        <v>169</v>
      </c>
      <c r="Y14" s="1182"/>
      <c r="Z14" s="1182"/>
      <c r="AA14" s="1182"/>
      <c r="AB14" s="1183"/>
      <c r="AC14" s="1184" t="s">
        <v>37</v>
      </c>
      <c r="AD14" s="1182"/>
      <c r="AE14" s="1182"/>
      <c r="AF14" s="1182"/>
      <c r="AG14" s="1182"/>
      <c r="AH14" s="1187"/>
      <c r="AI14" s="76"/>
    </row>
    <row r="15" spans="1:35" s="1" customFormat="1" ht="18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50"/>
      <c r="S15" s="1331"/>
      <c r="T15" s="1332"/>
      <c r="U15" s="1332"/>
      <c r="V15" s="1332"/>
      <c r="W15" s="1333"/>
      <c r="X15" s="1331"/>
      <c r="Y15" s="1332"/>
      <c r="Z15" s="1332"/>
      <c r="AA15" s="1332"/>
      <c r="AB15" s="1333"/>
      <c r="AC15" s="64"/>
      <c r="AD15" s="11"/>
      <c r="AE15" s="11"/>
      <c r="AF15" s="11"/>
      <c r="AG15" s="11"/>
      <c r="AH15" s="77"/>
      <c r="AI15" s="72"/>
    </row>
    <row r="16" spans="1:35" s="1" customFormat="1" ht="18" customHeight="1">
      <c r="A16" s="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1"/>
      <c r="S16" s="1334"/>
      <c r="T16" s="1233"/>
      <c r="U16" s="1233"/>
      <c r="V16" s="1233"/>
      <c r="W16" s="1335"/>
      <c r="X16" s="1334"/>
      <c r="Y16" s="1233"/>
      <c r="Z16" s="1233"/>
      <c r="AA16" s="1233"/>
      <c r="AB16" s="1335"/>
      <c r="AC16" s="5"/>
      <c r="AD16" s="6"/>
      <c r="AE16" s="6"/>
      <c r="AF16" s="6"/>
      <c r="AG16" s="6"/>
      <c r="AH16" s="62"/>
      <c r="AI16" s="72"/>
    </row>
    <row r="17" spans="1:35" s="1" customFormat="1" ht="20.100000000000001" customHeight="1">
      <c r="A17" s="1312" t="s">
        <v>198</v>
      </c>
      <c r="B17" s="1313"/>
      <c r="C17" s="1313"/>
      <c r="D17" s="1313"/>
      <c r="E17" s="1313"/>
      <c r="F17" s="1313"/>
      <c r="G17" s="1313"/>
      <c r="H17" s="1313"/>
      <c r="I17" s="1313"/>
      <c r="J17" s="1313"/>
      <c r="K17" s="1313"/>
      <c r="L17" s="1313"/>
      <c r="M17" s="1313"/>
      <c r="N17" s="1313"/>
      <c r="O17" s="1313"/>
      <c r="P17" s="1313"/>
      <c r="Q17" s="1313"/>
      <c r="R17" s="1314"/>
      <c r="S17" s="1334"/>
      <c r="T17" s="1233"/>
      <c r="U17" s="1233"/>
      <c r="V17" s="1233"/>
      <c r="W17" s="1335"/>
      <c r="X17" s="1334"/>
      <c r="Y17" s="1233"/>
      <c r="Z17" s="1233"/>
      <c r="AA17" s="1233"/>
      <c r="AB17" s="1335"/>
      <c r="AC17" s="1297">
        <f>K28</f>
        <v>226.54</v>
      </c>
      <c r="AD17" s="1204"/>
      <c r="AE17" s="1204"/>
      <c r="AF17" s="1204"/>
      <c r="AG17" s="1204"/>
      <c r="AH17" s="1298"/>
      <c r="AI17" s="72"/>
    </row>
    <row r="18" spans="1:35" s="1" customFormat="1" ht="20.100000000000001" customHeight="1">
      <c r="A18" s="1312"/>
      <c r="B18" s="1313"/>
      <c r="C18" s="1313"/>
      <c r="D18" s="1313"/>
      <c r="E18" s="1313"/>
      <c r="F18" s="1313"/>
      <c r="G18" s="1313"/>
      <c r="H18" s="1313"/>
      <c r="I18" s="1313"/>
      <c r="J18" s="1313"/>
      <c r="K18" s="1313"/>
      <c r="L18" s="1313"/>
      <c r="M18" s="1313"/>
      <c r="N18" s="1313"/>
      <c r="O18" s="1313"/>
      <c r="P18" s="1313"/>
      <c r="Q18" s="1313"/>
      <c r="R18" s="1314"/>
      <c r="S18" s="1334"/>
      <c r="T18" s="1233"/>
      <c r="U18" s="1233"/>
      <c r="V18" s="1233"/>
      <c r="W18" s="1335"/>
      <c r="X18" s="1334"/>
      <c r="Y18" s="1233"/>
      <c r="Z18" s="1233"/>
      <c r="AA18" s="1233"/>
      <c r="AB18" s="1335"/>
      <c r="AC18" s="1299"/>
      <c r="AD18" s="1204"/>
      <c r="AE18" s="1204"/>
      <c r="AF18" s="1204"/>
      <c r="AG18" s="1204"/>
      <c r="AH18" s="1298"/>
      <c r="AI18" s="72"/>
    </row>
    <row r="19" spans="1:35" s="1" customFormat="1" ht="18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52"/>
      <c r="S19" s="1334"/>
      <c r="T19" s="1233"/>
      <c r="U19" s="1233"/>
      <c r="V19" s="1233"/>
      <c r="W19" s="1335"/>
      <c r="X19" s="1334"/>
      <c r="Y19" s="1233"/>
      <c r="Z19" s="1233"/>
      <c r="AA19" s="1233"/>
      <c r="AB19" s="1335"/>
      <c r="AC19" s="65"/>
      <c r="AD19" s="14"/>
      <c r="AE19" s="14"/>
      <c r="AF19" s="14"/>
      <c r="AG19" s="14"/>
      <c r="AH19" s="78"/>
      <c r="AI19" s="72"/>
    </row>
    <row r="20" spans="1:35" s="1" customFormat="1" ht="18" customHeight="1">
      <c r="A20" s="13"/>
      <c r="B20" s="14"/>
      <c r="C20" s="14"/>
      <c r="D20" s="14"/>
      <c r="E20" s="14"/>
      <c r="F20" s="1203"/>
      <c r="G20" s="1203"/>
      <c r="H20" s="1203"/>
      <c r="K20" s="1204" t="s">
        <v>37</v>
      </c>
      <c r="L20" s="1204"/>
      <c r="M20" s="1204"/>
      <c r="N20" s="45"/>
      <c r="O20" s="1205"/>
      <c r="P20" s="1205"/>
      <c r="Q20" s="1205"/>
      <c r="R20" s="52"/>
      <c r="S20" s="1334"/>
      <c r="T20" s="1233"/>
      <c r="U20" s="1233"/>
      <c r="V20" s="1233"/>
      <c r="W20" s="1335"/>
      <c r="X20" s="1334"/>
      <c r="Y20" s="1233"/>
      <c r="Z20" s="1233"/>
      <c r="AA20" s="1233"/>
      <c r="AB20" s="1335"/>
      <c r="AC20" s="65"/>
      <c r="AD20" s="14"/>
      <c r="AE20" s="14"/>
      <c r="AF20" s="14"/>
      <c r="AG20" s="14"/>
      <c r="AH20" s="78"/>
      <c r="AI20" s="72"/>
    </row>
    <row r="21" spans="1:35" s="1" customFormat="1" ht="18" customHeight="1">
      <c r="A21" s="13"/>
      <c r="B21" s="14"/>
      <c r="C21" s="16">
        <v>1</v>
      </c>
      <c r="D21" s="1206" t="str">
        <f>'TIMEBOOK (1-15)-E'!B16</f>
        <v>BEO, EDILBERTO R.</v>
      </c>
      <c r="E21" s="1206"/>
      <c r="F21" s="1206"/>
      <c r="G21" s="1206"/>
      <c r="H21" s="1206"/>
      <c r="I21" s="1206"/>
      <c r="K21" s="1212">
        <f>'TIMEBOOK (1-15)-E'!Y16</f>
        <v>226.54</v>
      </c>
      <c r="L21" s="1212"/>
      <c r="M21" s="1212"/>
      <c r="N21" s="45"/>
      <c r="O21" s="321"/>
      <c r="P21" s="321"/>
      <c r="Q21" s="321"/>
      <c r="R21" s="52"/>
      <c r="S21" s="1334"/>
      <c r="T21" s="1233"/>
      <c r="U21" s="1233"/>
      <c r="V21" s="1233"/>
      <c r="W21" s="1335"/>
      <c r="X21" s="1334"/>
      <c r="Y21" s="1233"/>
      <c r="Z21" s="1233"/>
      <c r="AA21" s="1233"/>
      <c r="AB21" s="1335"/>
      <c r="AC21" s="65"/>
      <c r="AD21" s="14"/>
      <c r="AE21" s="14"/>
      <c r="AF21" s="14"/>
      <c r="AG21" s="14"/>
      <c r="AH21" s="78"/>
      <c r="AI21" s="72"/>
    </row>
    <row r="22" spans="1:35" s="3" customFormat="1" ht="20.100000000000001" customHeight="1">
      <c r="A22" s="15"/>
      <c r="C22" s="16"/>
      <c r="D22" s="1206"/>
      <c r="E22" s="1206"/>
      <c r="F22" s="1206"/>
      <c r="G22" s="1206"/>
      <c r="H22" s="1207"/>
      <c r="I22" s="1207"/>
      <c r="K22" s="1208"/>
      <c r="L22" s="1209"/>
      <c r="M22" s="1209"/>
      <c r="N22" s="46"/>
      <c r="O22" s="1210"/>
      <c r="P22" s="1211"/>
      <c r="Q22" s="1211"/>
      <c r="R22" s="53"/>
      <c r="S22" s="1334"/>
      <c r="T22" s="1233"/>
      <c r="U22" s="1233"/>
      <c r="V22" s="1233"/>
      <c r="W22" s="1335"/>
      <c r="X22" s="1334"/>
      <c r="Y22" s="1233"/>
      <c r="Z22" s="1233"/>
      <c r="AA22" s="1233"/>
      <c r="AB22" s="1335"/>
      <c r="AC22" s="66"/>
      <c r="AD22" s="67"/>
      <c r="AE22" s="67"/>
      <c r="AF22" s="67"/>
      <c r="AG22" s="67"/>
      <c r="AH22" s="79"/>
      <c r="AI22" s="80"/>
    </row>
    <row r="23" spans="1:35" s="3" customFormat="1" ht="20.100000000000001" customHeight="1">
      <c r="A23" s="15"/>
      <c r="C23" s="16"/>
      <c r="D23" s="1206"/>
      <c r="E23" s="1206"/>
      <c r="F23" s="1206"/>
      <c r="G23" s="1206"/>
      <c r="H23" s="1207"/>
      <c r="I23" s="1207"/>
      <c r="K23" s="1208"/>
      <c r="L23" s="1209"/>
      <c r="M23" s="1209"/>
      <c r="N23" s="46"/>
      <c r="O23" s="1210"/>
      <c r="P23" s="1211"/>
      <c r="Q23" s="1211"/>
      <c r="R23" s="53"/>
      <c r="S23" s="1334"/>
      <c r="T23" s="1233"/>
      <c r="U23" s="1233"/>
      <c r="V23" s="1233"/>
      <c r="W23" s="1335"/>
      <c r="X23" s="1334"/>
      <c r="Y23" s="1233"/>
      <c r="Z23" s="1233"/>
      <c r="AA23" s="1233"/>
      <c r="AB23" s="1335"/>
      <c r="AC23" s="66"/>
      <c r="AD23" s="67"/>
      <c r="AE23" s="67"/>
      <c r="AF23" s="67"/>
      <c r="AG23" s="67"/>
      <c r="AH23" s="79"/>
      <c r="AI23" s="80"/>
    </row>
    <row r="24" spans="1:35" s="3" customFormat="1" ht="20.100000000000001" customHeight="1">
      <c r="A24" s="15"/>
      <c r="C24" s="16"/>
      <c r="D24" s="1206"/>
      <c r="E24" s="1206"/>
      <c r="F24" s="1206"/>
      <c r="G24" s="1206"/>
      <c r="H24" s="1207"/>
      <c r="I24" s="1207"/>
      <c r="K24" s="1208"/>
      <c r="L24" s="1209"/>
      <c r="M24" s="1209"/>
      <c r="N24" s="46"/>
      <c r="O24" s="1210"/>
      <c r="P24" s="1211"/>
      <c r="Q24" s="1211"/>
      <c r="R24" s="53"/>
      <c r="S24" s="1334"/>
      <c r="T24" s="1233"/>
      <c r="U24" s="1233"/>
      <c r="V24" s="1233"/>
      <c r="W24" s="1335"/>
      <c r="X24" s="1334"/>
      <c r="Y24" s="1233"/>
      <c r="Z24" s="1233"/>
      <c r="AA24" s="1233"/>
      <c r="AB24" s="1335"/>
      <c r="AC24" s="66"/>
      <c r="AD24" s="67"/>
      <c r="AE24" s="67"/>
      <c r="AF24" s="67"/>
      <c r="AG24" s="67"/>
      <c r="AH24" s="79"/>
      <c r="AI24" s="80"/>
    </row>
    <row r="25" spans="1:35" s="3" customFormat="1" ht="20.100000000000001" customHeight="1">
      <c r="A25" s="15"/>
      <c r="C25" s="16"/>
      <c r="D25" s="1206"/>
      <c r="E25" s="1206"/>
      <c r="F25" s="1206"/>
      <c r="G25" s="1206"/>
      <c r="H25" s="1207"/>
      <c r="I25" s="1207"/>
      <c r="K25" s="1208"/>
      <c r="L25" s="1208"/>
      <c r="M25" s="1208"/>
      <c r="N25" s="46"/>
      <c r="O25" s="47"/>
      <c r="P25" s="16"/>
      <c r="Q25" s="16"/>
      <c r="R25" s="53"/>
      <c r="S25" s="1334"/>
      <c r="T25" s="1233"/>
      <c r="U25" s="1233"/>
      <c r="V25" s="1233"/>
      <c r="W25" s="1335"/>
      <c r="X25" s="1334"/>
      <c r="Y25" s="1233"/>
      <c r="Z25" s="1233"/>
      <c r="AA25" s="1233"/>
      <c r="AB25" s="1335"/>
      <c r="AC25" s="66"/>
      <c r="AD25" s="67"/>
      <c r="AE25" s="67"/>
      <c r="AF25" s="67"/>
      <c r="AG25" s="67"/>
      <c r="AH25" s="79"/>
      <c r="AI25" s="80"/>
    </row>
    <row r="26" spans="1:35" s="3" customFormat="1" ht="20.100000000000001" customHeight="1">
      <c r="A26" s="17"/>
      <c r="C26" s="16"/>
      <c r="D26" s="1206"/>
      <c r="E26" s="1206"/>
      <c r="F26" s="1206"/>
      <c r="G26" s="1206"/>
      <c r="H26" s="1207"/>
      <c r="I26" s="1207"/>
      <c r="K26" s="1208"/>
      <c r="L26" s="1209"/>
      <c r="M26" s="1209"/>
      <c r="N26" s="46"/>
      <c r="O26" s="1213"/>
      <c r="P26" s="1214"/>
      <c r="Q26" s="1214"/>
      <c r="R26" s="54"/>
      <c r="S26" s="1334"/>
      <c r="T26" s="1233"/>
      <c r="U26" s="1233"/>
      <c r="V26" s="1233"/>
      <c r="W26" s="1335"/>
      <c r="X26" s="1334"/>
      <c r="Y26" s="1233"/>
      <c r="Z26" s="1233"/>
      <c r="AA26" s="1233"/>
      <c r="AB26" s="1335"/>
      <c r="AC26" s="66"/>
      <c r="AD26" s="67"/>
      <c r="AE26" s="67"/>
      <c r="AF26" s="67"/>
      <c r="AG26" s="67"/>
      <c r="AH26" s="79"/>
      <c r="AI26" s="80"/>
    </row>
    <row r="27" spans="1:35" s="3" customFormat="1" ht="20.100000000000001" customHeight="1">
      <c r="A27" s="17"/>
      <c r="C27" s="16"/>
      <c r="D27" s="1206"/>
      <c r="E27" s="1206"/>
      <c r="F27" s="1206"/>
      <c r="G27" s="1206"/>
      <c r="H27" s="1207"/>
      <c r="I27" s="1207"/>
      <c r="K27" s="1208"/>
      <c r="L27" s="1209"/>
      <c r="M27" s="1209"/>
      <c r="N27" s="46"/>
      <c r="O27" s="48"/>
      <c r="P27" s="19"/>
      <c r="Q27" s="19"/>
      <c r="R27" s="54"/>
      <c r="S27" s="1334"/>
      <c r="T27" s="1233"/>
      <c r="U27" s="1233"/>
      <c r="V27" s="1233"/>
      <c r="W27" s="1335"/>
      <c r="X27" s="1334"/>
      <c r="Y27" s="1233"/>
      <c r="Z27" s="1233"/>
      <c r="AA27" s="1233"/>
      <c r="AB27" s="1335"/>
      <c r="AC27" s="66"/>
      <c r="AD27" s="67"/>
      <c r="AE27" s="67"/>
      <c r="AF27" s="67"/>
      <c r="AG27" s="67"/>
      <c r="AH27" s="79"/>
      <c r="AI27" s="80"/>
    </row>
    <row r="28" spans="1:35" s="3" customFormat="1" ht="20.100000000000001" customHeight="1">
      <c r="A28" s="17"/>
      <c r="B28" s="18"/>
      <c r="C28" s="1214" t="s">
        <v>170</v>
      </c>
      <c r="D28" s="1214"/>
      <c r="E28" s="1214"/>
      <c r="F28" s="1214"/>
      <c r="G28" s="1214"/>
      <c r="H28" s="1214"/>
      <c r="I28" s="1214"/>
      <c r="K28" s="1215">
        <f>'TIMEBOOK (1-15)-E'!Y20</f>
        <v>226.54</v>
      </c>
      <c r="L28" s="1209"/>
      <c r="M28" s="1209"/>
      <c r="N28" s="49"/>
      <c r="O28" s="1216"/>
      <c r="P28" s="1217"/>
      <c r="Q28" s="1217"/>
      <c r="R28" s="54"/>
      <c r="S28" s="1334"/>
      <c r="T28" s="1233"/>
      <c r="U28" s="1233"/>
      <c r="V28" s="1233"/>
      <c r="W28" s="1335"/>
      <c r="X28" s="1334"/>
      <c r="Y28" s="1233"/>
      <c r="Z28" s="1233"/>
      <c r="AA28" s="1233"/>
      <c r="AB28" s="1335"/>
      <c r="AC28" s="66"/>
      <c r="AD28" s="67"/>
      <c r="AE28" s="67"/>
      <c r="AF28" s="67"/>
      <c r="AG28" s="67"/>
      <c r="AH28" s="79"/>
      <c r="AI28" s="80"/>
    </row>
    <row r="29" spans="1:35" s="3" customFormat="1" ht="18" customHeight="1">
      <c r="A29" s="17"/>
      <c r="B29" s="18"/>
      <c r="C29" s="1218"/>
      <c r="D29" s="1218"/>
      <c r="E29" s="1218"/>
      <c r="F29" s="1219"/>
      <c r="G29" s="1219"/>
      <c r="H29" s="1219"/>
      <c r="I29" s="1219"/>
      <c r="J29" s="1219"/>
      <c r="K29" s="1219"/>
      <c r="L29" s="1219"/>
      <c r="M29" s="1219"/>
      <c r="N29" s="1219"/>
      <c r="O29" s="1216"/>
      <c r="P29" s="1217"/>
      <c r="Q29" s="1217"/>
      <c r="R29" s="54"/>
      <c r="S29" s="1334"/>
      <c r="T29" s="1233"/>
      <c r="U29" s="1233"/>
      <c r="V29" s="1233"/>
      <c r="W29" s="1335"/>
      <c r="X29" s="1334"/>
      <c r="Y29" s="1233"/>
      <c r="Z29" s="1233"/>
      <c r="AA29" s="1233"/>
      <c r="AB29" s="1335"/>
      <c r="AC29" s="66"/>
      <c r="AD29" s="67"/>
      <c r="AE29" s="67"/>
      <c r="AF29" s="67"/>
      <c r="AG29" s="67"/>
      <c r="AH29" s="79"/>
      <c r="AI29" s="80"/>
    </row>
    <row r="30" spans="1:35" s="3" customFormat="1" ht="18" customHeight="1">
      <c r="A30" s="17"/>
      <c r="B30" s="18"/>
      <c r="C30" s="20"/>
      <c r="D30" s="20"/>
      <c r="E30" s="20"/>
      <c r="F30" s="1220"/>
      <c r="G30" s="1220"/>
      <c r="H30" s="1220"/>
      <c r="I30" s="1220"/>
      <c r="J30" s="1220"/>
      <c r="K30" s="1220"/>
      <c r="L30" s="1220"/>
      <c r="M30" s="1220"/>
      <c r="N30" s="1220"/>
      <c r="O30" s="1213"/>
      <c r="P30" s="1214"/>
      <c r="Q30" s="1214"/>
      <c r="R30" s="54"/>
      <c r="S30" s="1334"/>
      <c r="T30" s="1233"/>
      <c r="U30" s="1233"/>
      <c r="V30" s="1233"/>
      <c r="W30" s="1335"/>
      <c r="X30" s="1334"/>
      <c r="Y30" s="1233"/>
      <c r="Z30" s="1233"/>
      <c r="AA30" s="1233"/>
      <c r="AB30" s="1335"/>
      <c r="AC30" s="66"/>
      <c r="AD30" s="67"/>
      <c r="AE30" s="67"/>
      <c r="AF30" s="67"/>
      <c r="AG30" s="67"/>
      <c r="AH30" s="79"/>
      <c r="AI30" s="80"/>
    </row>
    <row r="31" spans="1:35" s="1" customFormat="1" ht="18" customHeight="1" thickBot="1">
      <c r="A31" s="1221" t="s">
        <v>171</v>
      </c>
      <c r="B31" s="1222"/>
      <c r="C31" s="1223"/>
      <c r="D31" s="1223"/>
      <c r="E31" s="1223"/>
      <c r="F31" s="1223"/>
      <c r="G31" s="1223"/>
      <c r="H31" s="1223"/>
      <c r="I31" s="1223"/>
      <c r="J31" s="1223"/>
      <c r="K31" s="1223"/>
      <c r="L31" s="1223"/>
      <c r="M31" s="1223"/>
      <c r="N31" s="1223"/>
      <c r="O31" s="1223"/>
      <c r="P31" s="1223"/>
      <c r="Q31" s="1223"/>
      <c r="R31" s="1224"/>
      <c r="S31" s="55"/>
      <c r="T31" s="56"/>
      <c r="U31" s="56"/>
      <c r="V31" s="56"/>
      <c r="W31" s="57"/>
      <c r="X31" s="55"/>
      <c r="Y31" s="56"/>
      <c r="Z31" s="56"/>
      <c r="AA31" s="56"/>
      <c r="AB31" s="57"/>
      <c r="AC31" s="1225">
        <f>AC17</f>
        <v>226.54</v>
      </c>
      <c r="AD31" s="1226"/>
      <c r="AE31" s="1226"/>
      <c r="AF31" s="1226"/>
      <c r="AG31" s="1226"/>
      <c r="AH31" s="1227"/>
      <c r="AI31" s="72"/>
    </row>
    <row r="32" spans="1:35" s="1" customFormat="1" ht="13.9" customHeight="1">
      <c r="A32" s="21" t="s">
        <v>131</v>
      </c>
      <c r="B32" s="22"/>
      <c r="C32" s="1228" t="s">
        <v>172</v>
      </c>
      <c r="D32" s="1228"/>
      <c r="E32" s="1228"/>
      <c r="F32" s="1228"/>
      <c r="G32" s="1228"/>
      <c r="H32" s="1228"/>
      <c r="I32" s="1228"/>
      <c r="J32" s="1228"/>
      <c r="K32" s="1228"/>
      <c r="L32" s="1228"/>
      <c r="M32" s="1228"/>
      <c r="N32" s="1228"/>
      <c r="O32" s="1228"/>
      <c r="P32" s="1228"/>
      <c r="Q32" s="1228"/>
      <c r="R32" s="1228"/>
      <c r="S32" s="1229"/>
      <c r="T32" s="1229"/>
      <c r="U32" s="1229"/>
      <c r="V32" s="1229"/>
      <c r="W32" s="1229"/>
      <c r="X32" s="1229"/>
      <c r="Y32" s="1229"/>
      <c r="Z32" s="1229"/>
      <c r="AA32" s="1229"/>
      <c r="AB32" s="1229"/>
      <c r="AC32" s="1228"/>
      <c r="AD32" s="1228"/>
      <c r="AE32" s="1228"/>
      <c r="AF32" s="1228"/>
      <c r="AG32" s="1228"/>
      <c r="AH32" s="1230"/>
      <c r="AI32" s="72"/>
    </row>
    <row r="33" spans="1:35" s="1" customFormat="1" ht="13.9" customHeight="1">
      <c r="A33" s="2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81"/>
      <c r="AI33" s="72"/>
    </row>
    <row r="34" spans="1:35" s="1" customFormat="1" ht="20.100000000000001" customHeight="1">
      <c r="A34" s="25"/>
      <c r="B34" s="26"/>
      <c r="C34" s="26"/>
      <c r="D34" s="26"/>
      <c r="E34" s="6" t="s">
        <v>173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6"/>
      <c r="T34" s="26"/>
      <c r="U34" s="43"/>
      <c r="V34" s="43"/>
      <c r="W34" s="43"/>
      <c r="X34" s="43"/>
      <c r="Y34" s="43"/>
      <c r="Z34" s="4"/>
      <c r="AA34" s="43"/>
      <c r="AB34" s="43"/>
      <c r="AC34" s="68"/>
      <c r="AD34" s="69"/>
      <c r="AE34" s="69"/>
      <c r="AF34" s="69"/>
      <c r="AG34" s="69"/>
      <c r="AH34" s="82"/>
      <c r="AI34" s="72"/>
    </row>
    <row r="35" spans="1:35" s="1" customFormat="1" ht="18" customHeight="1">
      <c r="A35" s="25"/>
      <c r="B35" s="26"/>
      <c r="C35" s="1204" t="e">
        <f>'BUR - Gross-D&amp;6'!C33:H33</f>
        <v>#REF!</v>
      </c>
      <c r="D35" s="1211"/>
      <c r="E35" s="1211"/>
      <c r="F35" s="1211"/>
      <c r="G35" s="1211"/>
      <c r="H35" s="1211"/>
      <c r="I35" s="1211"/>
      <c r="J35" s="1211"/>
      <c r="K35" s="1211"/>
      <c r="L35" s="1211"/>
      <c r="M35" s="1211"/>
      <c r="N35" s="1211"/>
      <c r="O35" s="1211"/>
      <c r="P35" s="1211"/>
      <c r="Q35" s="1211"/>
      <c r="R35" s="1211"/>
      <c r="S35" s="1211"/>
      <c r="T35" s="1211"/>
      <c r="U35" s="1211"/>
      <c r="V35" s="1211"/>
      <c r="W35" s="1211"/>
      <c r="X35" s="1211"/>
      <c r="Y35" s="1211"/>
      <c r="Z35" s="1211"/>
      <c r="AA35" s="1211"/>
      <c r="AB35" s="1211"/>
      <c r="AC35" s="1211"/>
      <c r="AD35" s="1211"/>
      <c r="AE35" s="1211"/>
      <c r="AF35" s="1211"/>
      <c r="AG35" s="1211"/>
      <c r="AH35" s="82"/>
      <c r="AI35" s="72"/>
    </row>
    <row r="36" spans="1:35" s="1" customFormat="1" ht="15" customHeight="1">
      <c r="A36" s="25"/>
      <c r="B36" s="26"/>
      <c r="C36" s="1231" t="e">
        <f>'BUR - Gross-D&amp;6'!C34:H34</f>
        <v>#REF!</v>
      </c>
      <c r="D36" s="1231"/>
      <c r="E36" s="1231"/>
      <c r="F36" s="1231"/>
      <c r="G36" s="1231"/>
      <c r="H36" s="1231"/>
      <c r="I36" s="1231"/>
      <c r="J36" s="1231"/>
      <c r="K36" s="1231"/>
      <c r="L36" s="1231"/>
      <c r="M36" s="1231"/>
      <c r="N36" s="1231"/>
      <c r="O36" s="1231"/>
      <c r="P36" s="1231"/>
      <c r="Q36" s="1231"/>
      <c r="R36" s="1231"/>
      <c r="S36" s="1231"/>
      <c r="T36" s="1231"/>
      <c r="U36" s="1231"/>
      <c r="V36" s="1231"/>
      <c r="W36" s="1231"/>
      <c r="X36" s="1231"/>
      <c r="Y36" s="1231"/>
      <c r="Z36" s="1231"/>
      <c r="AA36" s="1231"/>
      <c r="AB36" s="1231"/>
      <c r="AC36" s="1231"/>
      <c r="AD36" s="1231"/>
      <c r="AE36" s="1231"/>
      <c r="AF36" s="1231"/>
      <c r="AG36" s="1231"/>
      <c r="AH36" s="82"/>
      <c r="AI36" s="72"/>
    </row>
    <row r="37" spans="1:35" s="3" customFormat="1" ht="12" customHeight="1">
      <c r="A37" s="27"/>
      <c r="B37" s="28"/>
      <c r="C37" s="1232" t="s">
        <v>174</v>
      </c>
      <c r="D37" s="1232"/>
      <c r="E37" s="1232"/>
      <c r="F37" s="1232"/>
      <c r="G37" s="1232"/>
      <c r="H37" s="1232"/>
      <c r="I37" s="1232"/>
      <c r="J37" s="1232"/>
      <c r="K37" s="1232"/>
      <c r="L37" s="1232"/>
      <c r="M37" s="1232"/>
      <c r="N37" s="1232"/>
      <c r="O37" s="1232"/>
      <c r="P37" s="1232"/>
      <c r="Q37" s="1232"/>
      <c r="R37" s="1232"/>
      <c r="S37" s="1232"/>
      <c r="T37" s="1232"/>
      <c r="U37" s="1232"/>
      <c r="V37" s="1232"/>
      <c r="W37" s="1232"/>
      <c r="X37" s="1232"/>
      <c r="Y37" s="1232"/>
      <c r="Z37" s="1232"/>
      <c r="AA37" s="1232"/>
      <c r="AB37" s="1232"/>
      <c r="AC37" s="1232"/>
      <c r="AD37" s="1232"/>
      <c r="AE37" s="1232"/>
      <c r="AF37" s="1232"/>
      <c r="AG37" s="1232"/>
      <c r="AH37" s="83"/>
      <c r="AI37" s="80"/>
    </row>
    <row r="38" spans="1:35" s="1" customFormat="1" ht="12" customHeight="1" thickBot="1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1233"/>
      <c r="M38" s="1233"/>
      <c r="N38" s="1233"/>
      <c r="O38" s="1233"/>
      <c r="P38" s="1233"/>
      <c r="Q38" s="1233"/>
      <c r="R38" s="1233"/>
      <c r="S38" s="1233"/>
      <c r="T38" s="1233"/>
      <c r="U38" s="1233"/>
      <c r="V38" s="1233"/>
      <c r="W38" s="1233"/>
      <c r="X38" s="1233"/>
      <c r="Y38" s="1233"/>
      <c r="Z38" s="4"/>
      <c r="AA38" s="4"/>
      <c r="AB38" s="4"/>
      <c r="AC38" s="4"/>
      <c r="AD38" s="4"/>
      <c r="AE38" s="4"/>
      <c r="AF38" s="4"/>
      <c r="AG38" s="4"/>
      <c r="AH38" s="61"/>
      <c r="AI38" s="72"/>
    </row>
    <row r="39" spans="1:35" s="1" customFormat="1" ht="14.1" customHeight="1">
      <c r="A39" s="30" t="s">
        <v>132</v>
      </c>
      <c r="B39" s="31"/>
      <c r="C39" s="32" t="s">
        <v>175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84"/>
      <c r="AI39" s="72"/>
    </row>
    <row r="40" spans="1:35" s="1" customFormat="1" ht="12" customHeight="1">
      <c r="A40" s="1234" t="s">
        <v>176</v>
      </c>
      <c r="B40" s="1235"/>
      <c r="C40" s="1236"/>
      <c r="D40" s="1236"/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 t="s">
        <v>177</v>
      </c>
      <c r="U40" s="1236"/>
      <c r="V40" s="1236"/>
      <c r="W40" s="1236"/>
      <c r="X40" s="1236"/>
      <c r="Y40" s="1237" t="s">
        <v>178</v>
      </c>
      <c r="Z40" s="1237"/>
      <c r="AA40" s="1237"/>
      <c r="AB40" s="1237"/>
      <c r="AC40" s="1237"/>
      <c r="AD40" s="1238" t="s">
        <v>179</v>
      </c>
      <c r="AE40" s="1238"/>
      <c r="AF40" s="1238"/>
      <c r="AG40" s="1238"/>
      <c r="AH40" s="1239"/>
      <c r="AI40" s="72"/>
    </row>
    <row r="41" spans="1:35" s="1" customFormat="1" ht="15.75" customHeight="1">
      <c r="A41" s="33"/>
      <c r="B41" s="34"/>
      <c r="C41" s="34"/>
      <c r="D41" s="34"/>
      <c r="E41" s="6"/>
      <c r="F41" s="6"/>
      <c r="G41" s="6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6"/>
      <c r="S41" s="51"/>
      <c r="T41" s="1248"/>
      <c r="U41" s="1249"/>
      <c r="V41" s="1249"/>
      <c r="W41" s="1249"/>
      <c r="X41" s="1250"/>
      <c r="Y41" s="1251"/>
      <c r="Z41" s="1252"/>
      <c r="AA41" s="1252"/>
      <c r="AB41" s="1252"/>
      <c r="AC41" s="1253"/>
      <c r="AD41" s="43"/>
      <c r="AE41" s="43"/>
      <c r="AF41" s="43"/>
      <c r="AG41" s="43"/>
      <c r="AH41" s="85"/>
      <c r="AI41" s="72"/>
    </row>
    <row r="42" spans="1:35" s="1" customFormat="1" ht="15.75" customHeight="1">
      <c r="A42" s="36"/>
      <c r="B42" s="37"/>
      <c r="C42" s="37"/>
      <c r="D42" s="37"/>
      <c r="E42" s="37"/>
      <c r="F42" s="37"/>
      <c r="G42" s="6"/>
      <c r="H42" s="35"/>
      <c r="I42" s="35"/>
      <c r="J42" s="35"/>
      <c r="K42" s="35"/>
      <c r="L42" s="35"/>
      <c r="M42" s="35"/>
      <c r="N42" s="35"/>
      <c r="O42" s="35"/>
      <c r="P42" s="35"/>
      <c r="Q42" s="6"/>
      <c r="R42" s="6"/>
      <c r="S42" s="51"/>
      <c r="T42" s="1254"/>
      <c r="U42" s="1255"/>
      <c r="V42" s="1255"/>
      <c r="W42" s="1255"/>
      <c r="X42" s="1256"/>
      <c r="Y42" s="6"/>
      <c r="Z42" s="6"/>
      <c r="AA42" s="6"/>
      <c r="AB42" s="6"/>
      <c r="AC42" s="51"/>
      <c r="AD42" s="1254"/>
      <c r="AE42" s="1255"/>
      <c r="AF42" s="1255"/>
      <c r="AG42" s="1255"/>
      <c r="AH42" s="1257"/>
      <c r="AI42" s="72"/>
    </row>
    <row r="43" spans="1:35" s="1" customFormat="1" ht="15.75" customHeight="1">
      <c r="A43" s="36"/>
      <c r="B43" s="37"/>
      <c r="C43" s="37"/>
      <c r="D43" s="37"/>
      <c r="E43" s="37"/>
      <c r="F43" s="37"/>
      <c r="G43" s="6"/>
      <c r="H43" s="35"/>
      <c r="I43" s="35"/>
      <c r="J43" s="35"/>
      <c r="K43" s="35"/>
      <c r="L43" s="35"/>
      <c r="M43" s="35"/>
      <c r="N43" s="35"/>
      <c r="O43" s="35"/>
      <c r="P43" s="35"/>
      <c r="Q43" s="6"/>
      <c r="R43" s="6"/>
      <c r="S43" s="51"/>
      <c r="T43" s="58"/>
      <c r="U43" s="37"/>
      <c r="V43" s="37"/>
      <c r="W43" s="37"/>
      <c r="X43" s="59"/>
      <c r="Y43" s="6"/>
      <c r="Z43" s="6"/>
      <c r="AA43" s="6"/>
      <c r="AB43" s="6"/>
      <c r="AC43" s="51"/>
      <c r="AD43" s="37"/>
      <c r="AE43" s="37"/>
      <c r="AF43" s="37"/>
      <c r="AG43" s="37"/>
      <c r="AH43" s="86"/>
      <c r="AI43" s="72"/>
    </row>
    <row r="44" spans="1:35" s="1" customFormat="1" ht="15.75" customHeight="1">
      <c r="A44" s="36"/>
      <c r="B44" s="37"/>
      <c r="C44" s="37"/>
      <c r="D44" s="37"/>
      <c r="E44" s="37"/>
      <c r="F44" s="37"/>
      <c r="G44" s="6"/>
      <c r="H44" s="35"/>
      <c r="I44" s="35"/>
      <c r="J44" s="35"/>
      <c r="K44" s="35"/>
      <c r="L44" s="35"/>
      <c r="M44" s="35"/>
      <c r="N44" s="35"/>
      <c r="O44" s="35"/>
      <c r="P44" s="35"/>
      <c r="Q44" s="6"/>
      <c r="R44" s="6"/>
      <c r="S44" s="51"/>
      <c r="T44" s="58"/>
      <c r="U44" s="37"/>
      <c r="V44" s="37"/>
      <c r="W44" s="37"/>
      <c r="X44" s="59"/>
      <c r="Y44" s="6"/>
      <c r="Z44" s="6"/>
      <c r="AA44" s="6"/>
      <c r="AB44" s="6"/>
      <c r="AC44" s="51"/>
      <c r="AD44" s="37"/>
      <c r="AE44" s="37"/>
      <c r="AF44" s="37"/>
      <c r="AG44" s="37"/>
      <c r="AH44" s="86"/>
      <c r="AI44" s="72"/>
    </row>
    <row r="45" spans="1:35" s="1" customFormat="1" ht="15.75" customHeight="1">
      <c r="A45" s="36"/>
      <c r="B45" s="37"/>
      <c r="C45" s="37"/>
      <c r="D45" s="37"/>
      <c r="E45" s="37"/>
      <c r="F45" s="37"/>
      <c r="G45" s="6"/>
      <c r="H45" s="35"/>
      <c r="I45" s="35"/>
      <c r="J45" s="35"/>
      <c r="K45" s="35"/>
      <c r="L45" s="35"/>
      <c r="M45" s="35"/>
      <c r="N45" s="35"/>
      <c r="O45" s="35"/>
      <c r="P45" s="35"/>
      <c r="Q45" s="6"/>
      <c r="R45" s="6"/>
      <c r="S45" s="51"/>
      <c r="T45" s="58"/>
      <c r="U45" s="37"/>
      <c r="V45" s="37"/>
      <c r="W45" s="37"/>
      <c r="X45" s="59"/>
      <c r="Y45" s="6"/>
      <c r="Z45" s="6"/>
      <c r="AA45" s="6"/>
      <c r="AB45" s="6"/>
      <c r="AC45" s="51"/>
      <c r="AD45" s="37"/>
      <c r="AE45" s="37"/>
      <c r="AF45" s="37"/>
      <c r="AG45" s="37"/>
      <c r="AH45" s="86"/>
      <c r="AI45" s="72"/>
    </row>
    <row r="46" spans="1:35" s="1" customFormat="1" ht="15.75" customHeight="1">
      <c r="A46" s="36"/>
      <c r="B46" s="37"/>
      <c r="C46" s="37"/>
      <c r="D46" s="37"/>
      <c r="E46" s="37"/>
      <c r="F46" s="37"/>
      <c r="G46" s="6"/>
      <c r="H46" s="35"/>
      <c r="I46" s="35"/>
      <c r="J46" s="35"/>
      <c r="K46" s="35"/>
      <c r="L46" s="35"/>
      <c r="M46" s="35"/>
      <c r="N46" s="35"/>
      <c r="O46" s="35"/>
      <c r="P46" s="35"/>
      <c r="Q46" s="6"/>
      <c r="R46" s="6"/>
      <c r="S46" s="51"/>
      <c r="T46" s="1254"/>
      <c r="U46" s="1255"/>
      <c r="V46" s="1255"/>
      <c r="W46" s="1255"/>
      <c r="X46" s="1256"/>
      <c r="Y46" s="6"/>
      <c r="Z46" s="6"/>
      <c r="AA46" s="6"/>
      <c r="AB46" s="6"/>
      <c r="AC46" s="51"/>
      <c r="AD46" s="37"/>
      <c r="AE46" s="37"/>
      <c r="AF46" s="37"/>
      <c r="AG46" s="37"/>
      <c r="AH46" s="86"/>
      <c r="AI46" s="72"/>
    </row>
    <row r="47" spans="1:35" s="1" customFormat="1" ht="15.75" customHeight="1">
      <c r="A47" s="36"/>
      <c r="B47" s="37"/>
      <c r="C47" s="37"/>
      <c r="D47" s="37"/>
      <c r="E47" s="37"/>
      <c r="F47" s="37"/>
      <c r="G47" s="6"/>
      <c r="H47" s="35"/>
      <c r="I47" s="35"/>
      <c r="J47" s="35"/>
      <c r="K47" s="35"/>
      <c r="L47" s="35"/>
      <c r="M47" s="35"/>
      <c r="N47" s="35"/>
      <c r="O47" s="35"/>
      <c r="P47" s="35"/>
      <c r="Q47" s="6"/>
      <c r="R47" s="6"/>
      <c r="S47" s="51"/>
      <c r="T47" s="1254"/>
      <c r="U47" s="1255"/>
      <c r="V47" s="1255"/>
      <c r="W47" s="1255"/>
      <c r="X47" s="1256"/>
      <c r="Y47" s="6"/>
      <c r="Z47" s="6"/>
      <c r="AA47" s="6"/>
      <c r="AB47" s="6"/>
      <c r="AC47" s="51"/>
      <c r="AD47" s="37"/>
      <c r="AE47" s="37"/>
      <c r="AF47" s="37"/>
      <c r="AG47" s="37"/>
      <c r="AH47" s="86"/>
      <c r="AI47" s="72"/>
    </row>
    <row r="48" spans="1:35" s="1" customFormat="1" ht="15.75" customHeight="1">
      <c r="A48" s="36"/>
      <c r="B48" s="37"/>
      <c r="C48" s="37"/>
      <c r="D48" s="37"/>
      <c r="E48" s="37"/>
      <c r="F48" s="37"/>
      <c r="G48" s="6"/>
      <c r="H48" s="35"/>
      <c r="I48" s="35"/>
      <c r="J48" s="35"/>
      <c r="K48" s="35"/>
      <c r="L48" s="35"/>
      <c r="M48" s="35"/>
      <c r="N48" s="35"/>
      <c r="O48" s="35"/>
      <c r="P48" s="35"/>
      <c r="Q48" s="6"/>
      <c r="R48" s="6"/>
      <c r="S48" s="51"/>
      <c r="T48" s="1254"/>
      <c r="U48" s="1255"/>
      <c r="V48" s="1255"/>
      <c r="W48" s="1255"/>
      <c r="X48" s="1256"/>
      <c r="Y48" s="6"/>
      <c r="Z48" s="6"/>
      <c r="AA48" s="6"/>
      <c r="AB48" s="6"/>
      <c r="AC48" s="51"/>
      <c r="AD48" s="37"/>
      <c r="AE48" s="37"/>
      <c r="AF48" s="37"/>
      <c r="AG48" s="37"/>
      <c r="AH48" s="86"/>
      <c r="AI48" s="72"/>
    </row>
    <row r="49" spans="1:35" s="1" customFormat="1" ht="15.75" customHeight="1">
      <c r="A49" s="36"/>
      <c r="B49" s="37"/>
      <c r="C49" s="37"/>
      <c r="D49" s="37"/>
      <c r="E49" s="37"/>
      <c r="F49" s="37"/>
      <c r="G49" s="6"/>
      <c r="H49" s="35"/>
      <c r="I49" s="35"/>
      <c r="J49" s="35"/>
      <c r="K49" s="35"/>
      <c r="L49" s="35"/>
      <c r="M49" s="35"/>
      <c r="N49" s="35"/>
      <c r="O49" s="35"/>
      <c r="P49" s="35"/>
      <c r="Q49" s="6"/>
      <c r="R49" s="6"/>
      <c r="S49" s="51"/>
      <c r="T49" s="1254"/>
      <c r="U49" s="1255"/>
      <c r="V49" s="1255"/>
      <c r="W49" s="1255"/>
      <c r="X49" s="1256"/>
      <c r="Y49" s="6"/>
      <c r="Z49" s="6"/>
      <c r="AA49" s="6"/>
      <c r="AB49" s="6"/>
      <c r="AC49" s="51"/>
      <c r="AD49" s="6"/>
      <c r="AE49" s="6"/>
      <c r="AF49" s="6"/>
      <c r="AG49" s="6"/>
      <c r="AH49" s="62"/>
      <c r="AI49" s="72"/>
    </row>
    <row r="50" spans="1:35" s="1" customFormat="1" ht="15.75" customHeight="1">
      <c r="A50" s="36"/>
      <c r="B50" s="37"/>
      <c r="C50" s="37"/>
      <c r="D50" s="37"/>
      <c r="E50" s="37"/>
      <c r="F50" s="37"/>
      <c r="G50" s="6"/>
      <c r="H50" s="35"/>
      <c r="I50" s="35"/>
      <c r="J50" s="35"/>
      <c r="K50" s="35"/>
      <c r="L50" s="35"/>
      <c r="M50" s="35"/>
      <c r="N50" s="35"/>
      <c r="O50" s="35"/>
      <c r="P50" s="35"/>
      <c r="Q50" s="6"/>
      <c r="R50" s="6"/>
      <c r="S50" s="51"/>
      <c r="T50" s="1254"/>
      <c r="U50" s="1255"/>
      <c r="V50" s="1255"/>
      <c r="W50" s="1255"/>
      <c r="X50" s="1256"/>
      <c r="Y50" s="6"/>
      <c r="Z50" s="6"/>
      <c r="AA50" s="6"/>
      <c r="AB50" s="6"/>
      <c r="AC50" s="51"/>
      <c r="AD50" s="6"/>
      <c r="AE50" s="6"/>
      <c r="AF50" s="6"/>
      <c r="AG50" s="6"/>
      <c r="AH50" s="62"/>
      <c r="AI50" s="72"/>
    </row>
    <row r="51" spans="1:35" s="1" customFormat="1" ht="15.75" customHeight="1" thickBot="1">
      <c r="A51" s="36"/>
      <c r="B51" s="37"/>
      <c r="C51" s="37"/>
      <c r="D51" s="37"/>
      <c r="E51" s="37"/>
      <c r="F51" s="37"/>
      <c r="G51" s="6"/>
      <c r="H51" s="35"/>
      <c r="I51" s="35"/>
      <c r="J51" s="35"/>
      <c r="K51" s="35"/>
      <c r="L51" s="35"/>
      <c r="M51" s="35"/>
      <c r="N51" s="35"/>
      <c r="O51" s="35"/>
      <c r="P51" s="35"/>
      <c r="Q51" s="6"/>
      <c r="R51" s="6"/>
      <c r="S51" s="51"/>
      <c r="T51" s="1254"/>
      <c r="U51" s="1255"/>
      <c r="V51" s="1255"/>
      <c r="W51" s="1255"/>
      <c r="X51" s="1256"/>
      <c r="Y51" s="9"/>
      <c r="Z51" s="9"/>
      <c r="AA51" s="9"/>
      <c r="AB51" s="9"/>
      <c r="AC51" s="70"/>
      <c r="AD51" s="9"/>
      <c r="AE51" s="9"/>
      <c r="AF51" s="9"/>
      <c r="AG51" s="9"/>
      <c r="AH51" s="73"/>
      <c r="AI51" s="72"/>
    </row>
    <row r="52" spans="1:35" s="1" customFormat="1" ht="14.1" customHeight="1">
      <c r="A52" s="38" t="s">
        <v>145</v>
      </c>
      <c r="B52" s="39"/>
      <c r="C52" s="39" t="s">
        <v>133</v>
      </c>
      <c r="D52" s="3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60"/>
      <c r="T52" s="38" t="s">
        <v>180</v>
      </c>
      <c r="U52" s="1352" t="s">
        <v>181</v>
      </c>
      <c r="V52" s="1352"/>
      <c r="W52" s="1352"/>
      <c r="X52" s="1352"/>
      <c r="Y52" s="1352"/>
      <c r="Z52" s="1352"/>
      <c r="AA52" s="1352"/>
      <c r="AB52" s="1352"/>
      <c r="AC52" s="1352"/>
      <c r="AD52" s="1352"/>
      <c r="AE52" s="1352"/>
      <c r="AF52" s="71"/>
      <c r="AG52" s="71"/>
      <c r="AH52" s="87"/>
      <c r="AI52" s="72"/>
    </row>
    <row r="53" spans="1:35" s="1" customFormat="1" ht="11.25" customHeight="1">
      <c r="A53" s="29"/>
      <c r="B53" s="4"/>
      <c r="C53" s="41"/>
      <c r="D53" s="4" t="s">
        <v>182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1"/>
      <c r="T53" s="1336" t="str">
        <f>UPPER(CHOOSE(LEFT(TEXT(AC31,"000000000.00"))+1,,"One","Two","Three","Four","Five","Six","Seven","Eight","Nine")&amp;IF(--LEFT(TEXT(AC31,"000000000.00"))=0,,IF(AND(--MID(TEXT(AC31,"000000000.00"),2,1)=0,--MID(TEXT(AC31,"000000000.00"),3,1)=0)," Hundred"," Hundred "))&amp;CHOOSE(MID(TEXT(AC31,"000000000.00"),2,1)+1,,,"Twenty ","Thirty ","Forty ","Fifty ","Sixty ","Seventy ","Eighty ","Ninety ")&amp;IF(--MID(TEXT(AC31,"000000000.00"),2,1)&lt;&gt;1,CHOOSE(MID(TEXT(AC31,"000000000.00"),3,1)+1,,"One","Two","Three","Four","Five","Six","Seven","Eight","Nine"),CHOOSE(MID(TEXT(AC31,"000000000.00"),3,1)+1,"Ten","Eleven","Twelve","Thirteen","Fourteen","Fifteen","Sixteen","Seventeen","Eighteen","Nineteen"))&amp;IF((--LEFT(TEXT(AC31,"000000000.00"))+MID(TEXT(AC31,"000000000.00"),2,1)+MID(TEXT(AC31,"000000000.00"),3,1))=0,,IF(AND((--MID(TEXT(AC31,"000000000.00"),4,1)+MID(TEXT(AC31,"000000000.00"),5,1)+MID(TEXT(AC31,"000000000.00"),6,1)+MID(TEXT(AC31,"000000000.00"),7,1))=0,(--MID(TEXT(AC31,"000000000.00"),8,1)+RIGHT(TEXT(AC31,"000000000.00")))&gt;0)," Million"," Million "))&amp;CHOOSE(MID(TEXT(AC31,"000000000.00"),4,1)+1,,"One","Two","Three","Four","Five","Six","Seven","Eight","Nine")&amp;IF(--MID(TEXT(AC31,"000000000.00"),4,1)=0,,IF(AND(--MID(TEXT(AC31,"000000000.00"),5,1)=0,--MID(TEXT(AC31,"000000000.00"),6,1)=0)," Hundred"," Hundred "))&amp;CHOOSE(MID(TEXT(AC31,"000000000.00"),5,1)+1,,," Twenty"," Thirty"," Forty"," Fifty"," Sixty"," Seventy"," Eighty"," Ninety")&amp;IF(--MID(TEXT(AC31,"000000000.00"),5,1)&lt;&gt;1,CHOOSE(MID(TEXT(AC31,"000000000.00"),6,1)+1,," One"," Two"," Three"," Four"," Five"," Six"," Seven"," Eight"," Nine"),CHOOSE(MID(TEXT(AC31,"000000000.00"),6,1)+1," Ten"," Eleven"," Twelve"," Thirteen"," Fourteen"," Fifteen"," Sixteen"," Seventeen"," Eighteen"," Nineteen"))&amp;IF((--MID(TEXT(AC31,"000000000.00"),4,1)+MID(TEXT(AC31,"000000000.00"),5,1)+MID(TEXT(AC31,"000000000.00"),6,1))=0,,IF(OR((--MID(TEXT(AC31,"000000000.00"),7,1)+MID(TEXT(AC31,"000000000.00"),8,1)+MID(TEXT(AC31,"000000000.00"),9,1))=0,--MID(TEXT(AC31,"000000000.00"),7,1)&lt;&gt;0)," Thousand "," Thousand "))&amp;CHOOSE(MID(TEXT(AC31,"000000000.00"),7,1)+1,,"One","Two","Three","Four","Five","Six","Seven","Eight","Nine")&amp;IF(--MID(TEXT(AC31,"000000000.00"),7,1)=0,,IF(AND(--MID(TEXT(AC31,"000000000.00"),8,1)=0,--MID(TEXT(AC31,"000000000.00"),9,1)=0)," Hundred "," Hundred "))&amp;CHOOSE(MID(TEXT(AC31,"000000000.00"),8,1)+1,,,"Twenty ","Thirty ","Forty ","Fifty ","Sixty ","Seventy ","Eighty ","Ninety ")&amp;IF(--MID(TEXT(AC31,"000000000.00"),8,1)&lt;&gt;1,CHOOSE(MID(TEXT(AC31,"000000000.00"),9,1)+1,,"One","Two","Three","Four","Five","Six","Seven","Eight","Nine"),CHOOSE(MID(TEXT(AC31,"000000000.00"),9,1)+1,"Ten","Eleven","Twelve","Thirteen","Fourteen","Fifteen","Sixteen","Seventeen","Eighteen","Nineteen"))&amp;" Pesos &amp; "&amp;RIGHT(TEXT(AC31,"000000000.00"),2)&amp;"/100 only")</f>
        <v>TWO HUNDRED TWENTY SIX PESOS &amp; 54/100 ONLY</v>
      </c>
      <c r="U53" s="1337"/>
      <c r="V53" s="1337"/>
      <c r="W53" s="1337"/>
      <c r="X53" s="1337"/>
      <c r="Y53" s="1337"/>
      <c r="Z53" s="1337"/>
      <c r="AA53" s="1337"/>
      <c r="AB53" s="1337"/>
      <c r="AC53" s="1337"/>
      <c r="AD53" s="1337"/>
      <c r="AE53" s="1337"/>
      <c r="AF53" s="1337"/>
      <c r="AG53" s="1337"/>
      <c r="AH53" s="1338"/>
      <c r="AI53" s="72"/>
    </row>
    <row r="54" spans="1:35" s="1" customFormat="1" ht="4.5" customHeight="1">
      <c r="A54" s="1351"/>
      <c r="B54" s="1179"/>
      <c r="C54" s="1179"/>
      <c r="D54" s="1179"/>
      <c r="E54" s="1179"/>
      <c r="F54" s="1179"/>
      <c r="G54" s="117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1"/>
      <c r="T54" s="1339"/>
      <c r="U54" s="1340"/>
      <c r="V54" s="1340"/>
      <c r="W54" s="1340"/>
      <c r="X54" s="1340"/>
      <c r="Y54" s="1340"/>
      <c r="Z54" s="1340"/>
      <c r="AA54" s="1340"/>
      <c r="AB54" s="1340"/>
      <c r="AC54" s="1340"/>
      <c r="AD54" s="1340"/>
      <c r="AE54" s="1340"/>
      <c r="AF54" s="1340"/>
      <c r="AG54" s="1340"/>
      <c r="AH54" s="1341"/>
      <c r="AI54" s="72"/>
    </row>
    <row r="55" spans="1:35" s="1" customFormat="1" ht="11.25" customHeight="1">
      <c r="A55" s="29"/>
      <c r="B55" s="4"/>
      <c r="C55" s="7"/>
      <c r="D55" s="4" t="s">
        <v>183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1"/>
      <c r="T55" s="1339"/>
      <c r="U55" s="1340"/>
      <c r="V55" s="1340"/>
      <c r="W55" s="1340"/>
      <c r="X55" s="1340"/>
      <c r="Y55" s="1340"/>
      <c r="Z55" s="1340"/>
      <c r="AA55" s="1340"/>
      <c r="AB55" s="1340"/>
      <c r="AC55" s="1340"/>
      <c r="AD55" s="1340"/>
      <c r="AE55" s="1340"/>
      <c r="AF55" s="1340"/>
      <c r="AG55" s="1340"/>
      <c r="AH55" s="1341"/>
      <c r="AI55" s="72"/>
    </row>
    <row r="56" spans="1:35" s="1" customFormat="1" ht="7.5" customHeight="1">
      <c r="A56" s="1351"/>
      <c r="B56" s="1179"/>
      <c r="C56" s="1179"/>
      <c r="D56" s="1179"/>
      <c r="E56" s="1179"/>
      <c r="F56" s="1179"/>
      <c r="G56" s="1179"/>
      <c r="H56" s="1179"/>
      <c r="I56" s="1179"/>
      <c r="J56" s="1179"/>
      <c r="K56" s="1179"/>
      <c r="L56" s="1179"/>
      <c r="M56" s="1179"/>
      <c r="N56" s="1179"/>
      <c r="O56" s="1179"/>
      <c r="P56" s="1179"/>
      <c r="Q56" s="1179"/>
      <c r="R56" s="1179"/>
      <c r="S56" s="1180"/>
      <c r="T56" s="1339"/>
      <c r="U56" s="1340"/>
      <c r="V56" s="1340"/>
      <c r="W56" s="1340"/>
      <c r="X56" s="1340"/>
      <c r="Y56" s="1340"/>
      <c r="Z56" s="1340"/>
      <c r="AA56" s="1340"/>
      <c r="AB56" s="1340"/>
      <c r="AC56" s="1340"/>
      <c r="AD56" s="1340"/>
      <c r="AE56" s="1340"/>
      <c r="AF56" s="1340"/>
      <c r="AG56" s="1340"/>
      <c r="AH56" s="1341"/>
      <c r="AI56" s="72"/>
    </row>
    <row r="57" spans="1:35" s="1" customFormat="1" ht="11.25" customHeight="1">
      <c r="A57" s="29"/>
      <c r="B57" s="4"/>
      <c r="C57" s="7"/>
      <c r="D57" s="4" t="s">
        <v>184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1"/>
      <c r="T57" s="1339"/>
      <c r="U57" s="1340"/>
      <c r="V57" s="1340"/>
      <c r="W57" s="1340"/>
      <c r="X57" s="1340"/>
      <c r="Y57" s="1340"/>
      <c r="Z57" s="1340"/>
      <c r="AA57" s="1340"/>
      <c r="AB57" s="1340"/>
      <c r="AC57" s="1340"/>
      <c r="AD57" s="1340"/>
      <c r="AE57" s="1340"/>
      <c r="AF57" s="1340"/>
      <c r="AG57" s="1340"/>
      <c r="AH57" s="1341"/>
      <c r="AI57" s="72"/>
    </row>
    <row r="58" spans="1:35" s="1" customFormat="1" ht="11.25" customHeight="1">
      <c r="A58" s="29"/>
      <c r="B58" s="4"/>
      <c r="C58" s="4"/>
      <c r="D58" s="88" t="s">
        <v>185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61"/>
      <c r="T58" s="1339"/>
      <c r="U58" s="1340"/>
      <c r="V58" s="1340"/>
      <c r="W58" s="1340"/>
      <c r="X58" s="1340"/>
      <c r="Y58" s="1340"/>
      <c r="Z58" s="1340"/>
      <c r="AA58" s="1340"/>
      <c r="AB58" s="1340"/>
      <c r="AC58" s="1340"/>
      <c r="AD58" s="1340"/>
      <c r="AE58" s="1340"/>
      <c r="AF58" s="1340"/>
      <c r="AG58" s="1340"/>
      <c r="AH58" s="1341"/>
      <c r="AI58" s="72"/>
    </row>
    <row r="59" spans="1:35" s="1" customFormat="1" ht="6" customHeight="1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2"/>
      <c r="T59" s="1342"/>
      <c r="U59" s="1343"/>
      <c r="V59" s="1343"/>
      <c r="W59" s="1343"/>
      <c r="X59" s="1343"/>
      <c r="Y59" s="1343"/>
      <c r="Z59" s="1343"/>
      <c r="AA59" s="1343"/>
      <c r="AB59" s="1343"/>
      <c r="AC59" s="1343"/>
      <c r="AD59" s="1343"/>
      <c r="AE59" s="1343"/>
      <c r="AF59" s="1343"/>
      <c r="AG59" s="1343"/>
      <c r="AH59" s="1344"/>
      <c r="AI59" s="72"/>
    </row>
    <row r="60" spans="1:35" s="1" customFormat="1" ht="20.100000000000001" customHeight="1">
      <c r="A60" s="1293" t="s">
        <v>186</v>
      </c>
      <c r="B60" s="1294"/>
      <c r="C60" s="1321"/>
      <c r="D60" s="1321"/>
      <c r="E60" s="1178"/>
      <c r="F60" s="1179"/>
      <c r="G60" s="1179"/>
      <c r="H60" s="1179"/>
      <c r="I60" s="1179"/>
      <c r="J60" s="1179"/>
      <c r="K60" s="1179"/>
      <c r="L60" s="1179"/>
      <c r="M60" s="1179"/>
      <c r="N60" s="1179"/>
      <c r="O60" s="1179"/>
      <c r="P60" s="1179"/>
      <c r="Q60" s="1179"/>
      <c r="R60" s="1179"/>
      <c r="S60" s="1180"/>
      <c r="T60" s="1293" t="s">
        <v>186</v>
      </c>
      <c r="U60" s="1294"/>
      <c r="V60" s="1294"/>
      <c r="W60" s="1324"/>
      <c r="X60" s="1275"/>
      <c r="Y60" s="1266"/>
      <c r="Z60" s="1266"/>
      <c r="AA60" s="1266"/>
      <c r="AB60" s="1266"/>
      <c r="AC60" s="1266"/>
      <c r="AD60" s="1266"/>
      <c r="AE60" s="1266"/>
      <c r="AF60" s="1266"/>
      <c r="AG60" s="1266"/>
      <c r="AH60" s="1276"/>
      <c r="AI60" s="72"/>
    </row>
    <row r="61" spans="1:35" s="1" customFormat="1" ht="20.100000000000001" customHeight="1">
      <c r="A61" s="1322"/>
      <c r="B61" s="1323"/>
      <c r="C61" s="1323"/>
      <c r="D61" s="1323"/>
      <c r="E61" s="1327"/>
      <c r="F61" s="1286"/>
      <c r="G61" s="1286"/>
      <c r="H61" s="1286"/>
      <c r="I61" s="1286"/>
      <c r="J61" s="1286"/>
      <c r="K61" s="1286"/>
      <c r="L61" s="1286"/>
      <c r="M61" s="1286"/>
      <c r="N61" s="1286"/>
      <c r="O61" s="1286"/>
      <c r="P61" s="1286"/>
      <c r="Q61" s="1286"/>
      <c r="R61" s="1286"/>
      <c r="S61" s="1328"/>
      <c r="T61" s="1295"/>
      <c r="U61" s="1296"/>
      <c r="V61" s="1296"/>
      <c r="W61" s="1325"/>
      <c r="X61" s="1329"/>
      <c r="Y61" s="1296"/>
      <c r="Z61" s="1296"/>
      <c r="AA61" s="1296"/>
      <c r="AB61" s="1296"/>
      <c r="AC61" s="1296"/>
      <c r="AD61" s="1296"/>
      <c r="AE61" s="1296"/>
      <c r="AF61" s="1296"/>
      <c r="AG61" s="1296"/>
      <c r="AH61" s="1330"/>
      <c r="AI61" s="72"/>
    </row>
    <row r="62" spans="1:35" s="1" customFormat="1" ht="12" customHeight="1">
      <c r="A62" s="1265" t="s">
        <v>187</v>
      </c>
      <c r="B62" s="1266"/>
      <c r="C62" s="1326"/>
      <c r="D62" s="1326"/>
      <c r="E62" s="1345" t="str">
        <f>'BUR - Gross-D&amp;6'!K33:K33</f>
        <v>VIDA E. PITALLANO, CPA</v>
      </c>
      <c r="F62" s="1346"/>
      <c r="G62" s="1346"/>
      <c r="H62" s="1346"/>
      <c r="I62" s="1346"/>
      <c r="J62" s="1346"/>
      <c r="K62" s="1346"/>
      <c r="L62" s="1346"/>
      <c r="M62" s="1346"/>
      <c r="N62" s="1346"/>
      <c r="O62" s="1346"/>
      <c r="P62" s="1346"/>
      <c r="Q62" s="1346"/>
      <c r="R62" s="1346"/>
      <c r="S62" s="1347"/>
      <c r="T62" s="1265" t="s">
        <v>187</v>
      </c>
      <c r="U62" s="1266"/>
      <c r="V62" s="1266"/>
      <c r="W62" s="1271"/>
      <c r="X62" s="1315" t="str">
        <f>'SUMMARY (1-15)-D&amp;6'!A37</f>
        <v>Engr. MARK CLOYD G. SO</v>
      </c>
      <c r="Y62" s="1316"/>
      <c r="Z62" s="1316"/>
      <c r="AA62" s="1316"/>
      <c r="AB62" s="1316"/>
      <c r="AC62" s="1316"/>
      <c r="AD62" s="1316"/>
      <c r="AE62" s="1316"/>
      <c r="AF62" s="1316"/>
      <c r="AG62" s="1316"/>
      <c r="AH62" s="1317"/>
      <c r="AI62" s="72"/>
    </row>
    <row r="63" spans="1:35" s="1" customFormat="1" ht="12" customHeight="1">
      <c r="A63" s="1322"/>
      <c r="B63" s="1323"/>
      <c r="C63" s="1323"/>
      <c r="D63" s="1323"/>
      <c r="E63" s="1348"/>
      <c r="F63" s="1349"/>
      <c r="G63" s="1349"/>
      <c r="H63" s="1349"/>
      <c r="I63" s="1349"/>
      <c r="J63" s="1349"/>
      <c r="K63" s="1349"/>
      <c r="L63" s="1349"/>
      <c r="M63" s="1349"/>
      <c r="N63" s="1349"/>
      <c r="O63" s="1349"/>
      <c r="P63" s="1349"/>
      <c r="Q63" s="1349"/>
      <c r="R63" s="1349"/>
      <c r="S63" s="1350"/>
      <c r="T63" s="1295"/>
      <c r="U63" s="1296"/>
      <c r="V63" s="1296"/>
      <c r="W63" s="1325"/>
      <c r="X63" s="1318"/>
      <c r="Y63" s="1319"/>
      <c r="Z63" s="1319"/>
      <c r="AA63" s="1319"/>
      <c r="AB63" s="1319"/>
      <c r="AC63" s="1319"/>
      <c r="AD63" s="1319"/>
      <c r="AE63" s="1319"/>
      <c r="AF63" s="1319"/>
      <c r="AG63" s="1319"/>
      <c r="AH63" s="1320"/>
      <c r="AI63" s="72"/>
    </row>
    <row r="64" spans="1:35" s="3" customFormat="1" ht="20.100000000000001" customHeight="1">
      <c r="A64" s="1265" t="s">
        <v>188</v>
      </c>
      <c r="B64" s="1266"/>
      <c r="C64" s="1266"/>
      <c r="D64" s="1266"/>
      <c r="E64" s="1353" t="str">
        <f>'BUR - Gross-D&amp;6'!K34:K34</f>
        <v>Sr. Accounting Processor A</v>
      </c>
      <c r="F64" s="1354"/>
      <c r="G64" s="1354"/>
      <c r="H64" s="1354"/>
      <c r="I64" s="1354"/>
      <c r="J64" s="1354"/>
      <c r="K64" s="1354"/>
      <c r="L64" s="1354"/>
      <c r="M64" s="1354"/>
      <c r="N64" s="1354"/>
      <c r="O64" s="1354"/>
      <c r="P64" s="1354"/>
      <c r="Q64" s="1354"/>
      <c r="R64" s="1354"/>
      <c r="S64" s="1355"/>
      <c r="T64" s="1265" t="s">
        <v>188</v>
      </c>
      <c r="U64" s="1266"/>
      <c r="V64" s="1266"/>
      <c r="W64" s="1271"/>
      <c r="X64" s="1356" t="str">
        <f>'SUMMARY (1-15)-D&amp;6'!A38</f>
        <v>Acting Manager, Albay-Cat IMO</v>
      </c>
      <c r="Y64" s="1357"/>
      <c r="Z64" s="1357"/>
      <c r="AA64" s="1357"/>
      <c r="AB64" s="1357"/>
      <c r="AC64" s="1357"/>
      <c r="AD64" s="1357"/>
      <c r="AE64" s="1357"/>
      <c r="AF64" s="1357"/>
      <c r="AG64" s="1357"/>
      <c r="AH64" s="1358"/>
      <c r="AI64" s="97"/>
    </row>
    <row r="65" spans="1:38" s="1" customFormat="1" ht="15" customHeight="1">
      <c r="A65" s="1295"/>
      <c r="B65" s="1296"/>
      <c r="C65" s="1296"/>
      <c r="D65" s="1296"/>
      <c r="E65" s="1240" t="s">
        <v>189</v>
      </c>
      <c r="F65" s="1241"/>
      <c r="G65" s="1241"/>
      <c r="H65" s="1241"/>
      <c r="I65" s="1241"/>
      <c r="J65" s="1241"/>
      <c r="K65" s="1241"/>
      <c r="L65" s="1241"/>
      <c r="M65" s="1241"/>
      <c r="N65" s="1241"/>
      <c r="O65" s="1242"/>
      <c r="P65" s="1242"/>
      <c r="Q65" s="1242"/>
      <c r="R65" s="1242"/>
      <c r="S65" s="1243"/>
      <c r="T65" s="1295"/>
      <c r="U65" s="1296"/>
      <c r="V65" s="1296"/>
      <c r="W65" s="1325"/>
      <c r="X65" s="1244" t="s">
        <v>190</v>
      </c>
      <c r="Y65" s="1245"/>
      <c r="Z65" s="1245"/>
      <c r="AA65" s="1245"/>
      <c r="AB65" s="1245"/>
      <c r="AC65" s="1245"/>
      <c r="AD65" s="1245"/>
      <c r="AE65" s="1245"/>
      <c r="AF65" s="1245"/>
      <c r="AG65" s="1245"/>
      <c r="AH65" s="1246"/>
      <c r="AI65" s="72"/>
    </row>
    <row r="66" spans="1:38" s="1" customFormat="1" ht="12" customHeight="1">
      <c r="A66" s="1265" t="s">
        <v>53</v>
      </c>
      <c r="B66" s="1266"/>
      <c r="C66" s="1266"/>
      <c r="D66" s="1266"/>
      <c r="E66" s="1178"/>
      <c r="F66" s="1179"/>
      <c r="G66" s="1179"/>
      <c r="H66" s="1179"/>
      <c r="I66" s="1179"/>
      <c r="J66" s="1179"/>
      <c r="K66" s="1179"/>
      <c r="L66" s="1179"/>
      <c r="M66" s="1179"/>
      <c r="N66" s="1179"/>
      <c r="O66" s="1179"/>
      <c r="P66" s="1179"/>
      <c r="Q66" s="1179"/>
      <c r="R66" s="1179"/>
      <c r="S66" s="1180"/>
      <c r="T66" s="1265" t="s">
        <v>53</v>
      </c>
      <c r="U66" s="1266"/>
      <c r="V66" s="1266"/>
      <c r="W66" s="1271"/>
      <c r="X66" s="1275"/>
      <c r="Y66" s="1266"/>
      <c r="Z66" s="1266"/>
      <c r="AA66" s="1266"/>
      <c r="AB66" s="1266"/>
      <c r="AC66" s="1266"/>
      <c r="AD66" s="1266"/>
      <c r="AE66" s="1266"/>
      <c r="AF66" s="1266"/>
      <c r="AG66" s="1266"/>
      <c r="AH66" s="1276"/>
      <c r="AI66" s="72"/>
    </row>
    <row r="67" spans="1:38" s="1" customFormat="1" ht="12" customHeight="1" thickBot="1">
      <c r="A67" s="1267"/>
      <c r="B67" s="1268"/>
      <c r="C67" s="1268"/>
      <c r="D67" s="1268"/>
      <c r="E67" s="1269"/>
      <c r="F67" s="1169"/>
      <c r="G67" s="1169"/>
      <c r="H67" s="1169"/>
      <c r="I67" s="1169"/>
      <c r="J67" s="1169"/>
      <c r="K67" s="1169"/>
      <c r="L67" s="1169"/>
      <c r="M67" s="1169"/>
      <c r="N67" s="1169"/>
      <c r="O67" s="1169"/>
      <c r="P67" s="1169"/>
      <c r="Q67" s="1169"/>
      <c r="R67" s="1169"/>
      <c r="S67" s="1270"/>
      <c r="T67" s="1272"/>
      <c r="U67" s="1273"/>
      <c r="V67" s="1273"/>
      <c r="W67" s="1274"/>
      <c r="X67" s="1277"/>
      <c r="Y67" s="1273"/>
      <c r="Z67" s="1273"/>
      <c r="AA67" s="1273"/>
      <c r="AB67" s="1273"/>
      <c r="AC67" s="1273"/>
      <c r="AD67" s="1273"/>
      <c r="AE67" s="1273"/>
      <c r="AF67" s="1273"/>
      <c r="AG67" s="1273"/>
      <c r="AH67" s="1278"/>
      <c r="AI67" s="72"/>
    </row>
    <row r="68" spans="1:38" s="1" customFormat="1" ht="14.1" customHeight="1">
      <c r="A68" s="38" t="s">
        <v>191</v>
      </c>
      <c r="B68" s="39"/>
      <c r="C68" s="39" t="s">
        <v>192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94"/>
      <c r="AC68" s="95" t="s">
        <v>193</v>
      </c>
      <c r="AD68" s="95"/>
      <c r="AE68" s="95"/>
      <c r="AF68" s="1160"/>
      <c r="AG68" s="1160"/>
      <c r="AH68" s="1161"/>
      <c r="AI68" s="72"/>
    </row>
    <row r="69" spans="1:38" s="1" customFormat="1" ht="15" customHeight="1">
      <c r="A69" s="1293" t="s">
        <v>194</v>
      </c>
      <c r="B69" s="1294"/>
      <c r="C69" s="1294"/>
      <c r="D69" s="1294"/>
      <c r="E69" s="1237"/>
      <c r="F69" s="1237"/>
      <c r="G69" s="1237"/>
      <c r="H69" s="1237"/>
      <c r="I69" s="1237"/>
      <c r="J69" s="1237"/>
      <c r="K69" s="1237"/>
      <c r="L69" s="1259" t="s">
        <v>159</v>
      </c>
      <c r="M69" s="1259"/>
      <c r="N69" s="1259"/>
      <c r="O69" s="1259"/>
      <c r="P69" s="1259"/>
      <c r="Q69" s="1259"/>
      <c r="R69" s="1259"/>
      <c r="S69" s="1260"/>
      <c r="T69" s="1279" t="s">
        <v>195</v>
      </c>
      <c r="U69" s="1280"/>
      <c r="V69" s="1280"/>
      <c r="W69" s="1280"/>
      <c r="X69" s="1280"/>
      <c r="Y69" s="1280"/>
      <c r="Z69" s="1280"/>
      <c r="AA69" s="1280"/>
      <c r="AB69" s="1281"/>
      <c r="AC69" s="6"/>
      <c r="AD69" s="6"/>
      <c r="AE69" s="6"/>
      <c r="AF69" s="6"/>
      <c r="AG69" s="6"/>
      <c r="AH69" s="62"/>
      <c r="AI69" s="72"/>
    </row>
    <row r="70" spans="1:38" s="1" customFormat="1" ht="15" customHeight="1">
      <c r="A70" s="1295"/>
      <c r="B70" s="1296"/>
      <c r="C70" s="1296"/>
      <c r="D70" s="1296"/>
      <c r="E70" s="1237"/>
      <c r="F70" s="1237"/>
      <c r="G70" s="1237"/>
      <c r="H70" s="1237"/>
      <c r="I70" s="1237"/>
      <c r="J70" s="1237"/>
      <c r="K70" s="1237"/>
      <c r="L70" s="1263"/>
      <c r="M70" s="1263"/>
      <c r="N70" s="1263"/>
      <c r="O70" s="1263"/>
      <c r="P70" s="1263"/>
      <c r="Q70" s="1263"/>
      <c r="R70" s="1263"/>
      <c r="S70" s="1264"/>
      <c r="T70" s="1282"/>
      <c r="U70" s="1283"/>
      <c r="V70" s="1283"/>
      <c r="W70" s="1283"/>
      <c r="X70" s="1283"/>
      <c r="Y70" s="1283"/>
      <c r="Z70" s="1283"/>
      <c r="AA70" s="1283"/>
      <c r="AB70" s="1284"/>
      <c r="AC70" s="90"/>
      <c r="AD70" s="90"/>
      <c r="AE70" s="91"/>
      <c r="AF70" s="91"/>
      <c r="AG70" s="91"/>
      <c r="AH70" s="93"/>
      <c r="AI70" s="72"/>
    </row>
    <row r="71" spans="1:38" s="1" customFormat="1" ht="15" customHeight="1">
      <c r="A71" s="1265" t="s">
        <v>196</v>
      </c>
      <c r="B71" s="1266"/>
      <c r="C71" s="1261"/>
      <c r="D71" s="1261"/>
      <c r="E71" s="1237"/>
      <c r="F71" s="1237"/>
      <c r="G71" s="1237"/>
      <c r="H71" s="1237"/>
      <c r="I71" s="1237"/>
      <c r="J71" s="1237"/>
      <c r="K71" s="1237"/>
      <c r="L71" s="1259" t="s">
        <v>159</v>
      </c>
      <c r="M71" s="1259"/>
      <c r="N71" s="1259"/>
      <c r="O71" s="1259"/>
      <c r="P71" s="1259"/>
      <c r="Q71" s="1259"/>
      <c r="R71" s="1259"/>
      <c r="S71" s="1260"/>
      <c r="T71" s="1258" t="s">
        <v>140</v>
      </c>
      <c r="U71" s="1259"/>
      <c r="V71" s="1259"/>
      <c r="W71" s="1259"/>
      <c r="X71" s="1259"/>
      <c r="Y71" s="1259"/>
      <c r="Z71" s="1259"/>
      <c r="AA71" s="1259"/>
      <c r="AB71" s="1260"/>
      <c r="AC71" s="96" t="s">
        <v>53</v>
      </c>
      <c r="AD71" s="96"/>
      <c r="AE71" s="1261"/>
      <c r="AF71" s="1261"/>
      <c r="AG71" s="1261"/>
      <c r="AH71" s="1262"/>
      <c r="AI71" s="72"/>
    </row>
    <row r="72" spans="1:38" s="1" customFormat="1" ht="15" customHeight="1">
      <c r="A72" s="1285"/>
      <c r="B72" s="1286"/>
      <c r="C72" s="1286"/>
      <c r="D72" s="1286"/>
      <c r="E72" s="1237"/>
      <c r="F72" s="1237"/>
      <c r="G72" s="1237"/>
      <c r="H72" s="1237"/>
      <c r="I72" s="1237"/>
      <c r="J72" s="1237"/>
      <c r="K72" s="1237"/>
      <c r="L72" s="1263"/>
      <c r="M72" s="1263"/>
      <c r="N72" s="1263"/>
      <c r="O72" s="1263"/>
      <c r="P72" s="1263"/>
      <c r="Q72" s="1263"/>
      <c r="R72" s="1263"/>
      <c r="S72" s="1264"/>
      <c r="T72" s="1287" t="str">
        <f>E10</f>
        <v>BIR</v>
      </c>
      <c r="U72" s="1288"/>
      <c r="V72" s="1288"/>
      <c r="W72" s="1288"/>
      <c r="X72" s="1288"/>
      <c r="Y72" s="1288"/>
      <c r="Z72" s="1288"/>
      <c r="AA72" s="1288"/>
      <c r="AB72" s="1289"/>
      <c r="AC72" s="1179"/>
      <c r="AD72" s="1179"/>
      <c r="AE72" s="1179"/>
      <c r="AF72" s="1179"/>
      <c r="AG72" s="1179"/>
      <c r="AH72" s="1180"/>
      <c r="AI72" s="72"/>
    </row>
    <row r="73" spans="1:38" s="1" customFormat="1" ht="15.6" customHeight="1" thickBot="1">
      <c r="A73" s="1290" t="s">
        <v>197</v>
      </c>
      <c r="B73" s="1291"/>
      <c r="C73" s="1291"/>
      <c r="D73" s="1291"/>
      <c r="E73" s="1291"/>
      <c r="F73" s="1291"/>
      <c r="G73" s="1291"/>
      <c r="H73" s="1291"/>
      <c r="I73" s="1291"/>
      <c r="J73" s="1291"/>
      <c r="K73" s="1291"/>
      <c r="L73" s="1291"/>
      <c r="M73" s="1291"/>
      <c r="N73" s="1291"/>
      <c r="O73" s="1291"/>
      <c r="P73" s="1291"/>
      <c r="Q73" s="1291"/>
      <c r="R73" s="1291"/>
      <c r="S73" s="1291"/>
      <c r="T73" s="1291"/>
      <c r="U73" s="1291"/>
      <c r="V73" s="1291"/>
      <c r="W73" s="1291"/>
      <c r="X73" s="1291"/>
      <c r="Y73" s="1291"/>
      <c r="Z73" s="1291"/>
      <c r="AA73" s="1291"/>
      <c r="AB73" s="1292"/>
      <c r="AC73" s="1169"/>
      <c r="AD73" s="1169"/>
      <c r="AE73" s="1169"/>
      <c r="AF73" s="1169"/>
      <c r="AG73" s="1169"/>
      <c r="AH73" s="1270"/>
      <c r="AI73" s="98"/>
      <c r="AJ73" s="99"/>
      <c r="AK73" s="99"/>
      <c r="AL73" s="99"/>
    </row>
  </sheetData>
  <sheetProtection selectLockedCells="1"/>
  <mergeCells count="119">
    <mergeCell ref="A71:D72"/>
    <mergeCell ref="E71:K72"/>
    <mergeCell ref="L71:S72"/>
    <mergeCell ref="T71:AB71"/>
    <mergeCell ref="AE71:AH71"/>
    <mergeCell ref="T72:AB72"/>
    <mergeCell ref="AC72:AH73"/>
    <mergeCell ref="A73:AB73"/>
    <mergeCell ref="A66:D67"/>
    <mergeCell ref="E66:S67"/>
    <mergeCell ref="T66:W67"/>
    <mergeCell ref="X66:AH67"/>
    <mergeCell ref="AF68:AH68"/>
    <mergeCell ref="A69:D70"/>
    <mergeCell ref="E69:K70"/>
    <mergeCell ref="L69:S70"/>
    <mergeCell ref="T69:AB70"/>
    <mergeCell ref="A62:D63"/>
    <mergeCell ref="E62:S63"/>
    <mergeCell ref="T62:W63"/>
    <mergeCell ref="X62:AH63"/>
    <mergeCell ref="A64:D65"/>
    <mergeCell ref="E64:S64"/>
    <mergeCell ref="T64:W65"/>
    <mergeCell ref="X64:AH64"/>
    <mergeCell ref="E65:S65"/>
    <mergeCell ref="X65:AH65"/>
    <mergeCell ref="T53:AH59"/>
    <mergeCell ref="A54:G54"/>
    <mergeCell ref="A56:S56"/>
    <mergeCell ref="A60:D61"/>
    <mergeCell ref="E60:S61"/>
    <mergeCell ref="T60:W61"/>
    <mergeCell ref="X60:AH61"/>
    <mergeCell ref="T47:X47"/>
    <mergeCell ref="T48:X48"/>
    <mergeCell ref="T49:X49"/>
    <mergeCell ref="T50:X50"/>
    <mergeCell ref="T51:X51"/>
    <mergeCell ref="U52:AE52"/>
    <mergeCell ref="H41:Q41"/>
    <mergeCell ref="T41:X41"/>
    <mergeCell ref="Y41:AC41"/>
    <mergeCell ref="T42:X42"/>
    <mergeCell ref="AD42:AH42"/>
    <mergeCell ref="T46:X46"/>
    <mergeCell ref="C32:AH32"/>
    <mergeCell ref="C35:AG35"/>
    <mergeCell ref="C36:AG36"/>
    <mergeCell ref="C37:AG37"/>
    <mergeCell ref="L38:Y38"/>
    <mergeCell ref="A40:S40"/>
    <mergeCell ref="T40:X40"/>
    <mergeCell ref="Y40:AC40"/>
    <mergeCell ref="AD40:AH40"/>
    <mergeCell ref="F30:H30"/>
    <mergeCell ref="I30:K30"/>
    <mergeCell ref="L30:N30"/>
    <mergeCell ref="O30:Q30"/>
    <mergeCell ref="A31:R31"/>
    <mergeCell ref="AC31:AH31"/>
    <mergeCell ref="C28:I28"/>
    <mergeCell ref="K28:M28"/>
    <mergeCell ref="O28:Q28"/>
    <mergeCell ref="C29:E29"/>
    <mergeCell ref="F29:H29"/>
    <mergeCell ref="I29:K29"/>
    <mergeCell ref="L29:N29"/>
    <mergeCell ref="O29:Q29"/>
    <mergeCell ref="S15:W30"/>
    <mergeCell ref="X15:AB30"/>
    <mergeCell ref="A17:R18"/>
    <mergeCell ref="AC17:AH18"/>
    <mergeCell ref="F20:H20"/>
    <mergeCell ref="K20:M20"/>
    <mergeCell ref="O20:Q20"/>
    <mergeCell ref="D21:I21"/>
    <mergeCell ref="K21:M21"/>
    <mergeCell ref="D25:I25"/>
    <mergeCell ref="K25:M25"/>
    <mergeCell ref="D26:I26"/>
    <mergeCell ref="K26:M26"/>
    <mergeCell ref="O26:Q26"/>
    <mergeCell ref="D27:I27"/>
    <mergeCell ref="K27:M27"/>
    <mergeCell ref="K22:M22"/>
    <mergeCell ref="O22:Q22"/>
    <mergeCell ref="D23:I23"/>
    <mergeCell ref="K23:M23"/>
    <mergeCell ref="O23:Q23"/>
    <mergeCell ref="D24:I24"/>
    <mergeCell ref="K24:M24"/>
    <mergeCell ref="O24:Q24"/>
    <mergeCell ref="D22:I22"/>
    <mergeCell ref="A12:D13"/>
    <mergeCell ref="E12:AH13"/>
    <mergeCell ref="A14:R14"/>
    <mergeCell ref="S14:W14"/>
    <mergeCell ref="X14:AB14"/>
    <mergeCell ref="AC14:AH14"/>
    <mergeCell ref="A7:D9"/>
    <mergeCell ref="E7:AH7"/>
    <mergeCell ref="J9:N9"/>
    <mergeCell ref="P9:U9"/>
    <mergeCell ref="A10:D11"/>
    <mergeCell ref="E10:S11"/>
    <mergeCell ref="T10:AB10"/>
    <mergeCell ref="AC10:AH10"/>
    <mergeCell ref="T11:AB11"/>
    <mergeCell ref="AC11:AH11"/>
    <mergeCell ref="AC1:AH1"/>
    <mergeCell ref="A2:AB2"/>
    <mergeCell ref="AC2:AH2"/>
    <mergeCell ref="A3:AB3"/>
    <mergeCell ref="AC3:AH3"/>
    <mergeCell ref="A4:AB6"/>
    <mergeCell ref="AC4:AH4"/>
    <mergeCell ref="AC5:AH5"/>
    <mergeCell ref="AC6:AH6"/>
  </mergeCells>
  <printOptions horizontalCentered="1"/>
  <pageMargins left="0.25" right="0.25" top="0.75" bottom="0.75" header="0.3" footer="0.3"/>
  <pageSetup paperSize="14" scale="74" orientation="portrait" r:id="rId1"/>
  <headerFooter>
    <oddFooter>&amp;L&amp;"Tahoma,Italic"&amp;8NIA-RO V-AFD-FIN-INT-Form13Rev00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79982909634693444"/>
  </sheetPr>
  <dimension ref="A1:J24"/>
  <sheetViews>
    <sheetView workbookViewId="0">
      <selection activeCell="A7" sqref="A7"/>
    </sheetView>
  </sheetViews>
  <sheetFormatPr defaultColWidth="9.140625" defaultRowHeight="14.25"/>
  <cols>
    <col min="1" max="1" width="15.7109375" style="293" customWidth="1"/>
    <col min="2" max="2" width="10.7109375" style="293" customWidth="1"/>
    <col min="3" max="4" width="9.140625" style="293"/>
    <col min="5" max="5" width="5.7109375" style="293" customWidth="1"/>
    <col min="6" max="6" width="22.7109375" style="293" customWidth="1"/>
    <col min="7" max="7" width="20.7109375" style="293" customWidth="1"/>
    <col min="8" max="16384" width="9.140625" style="293"/>
  </cols>
  <sheetData>
    <row r="1" spans="1:10">
      <c r="A1" s="295" t="s">
        <v>0</v>
      </c>
    </row>
    <row r="2" spans="1:10" ht="15" customHeight="1">
      <c r="A2" s="295"/>
    </row>
    <row r="3" spans="1:10">
      <c r="A3" s="296" t="s">
        <v>1</v>
      </c>
      <c r="B3" s="297"/>
      <c r="C3" s="297"/>
      <c r="D3" s="298"/>
      <c r="F3" s="296" t="s">
        <v>2</v>
      </c>
      <c r="G3" s="299" t="s">
        <v>3</v>
      </c>
      <c r="I3" s="316" t="s">
        <v>4</v>
      </c>
      <c r="J3" s="298"/>
    </row>
    <row r="4" spans="1:10">
      <c r="A4" s="300" t="s">
        <v>5</v>
      </c>
      <c r="D4" s="301"/>
      <c r="F4" s="302" t="s">
        <v>6</v>
      </c>
      <c r="G4" s="303" t="s">
        <v>7</v>
      </c>
      <c r="I4" s="302" t="s">
        <v>8</v>
      </c>
      <c r="J4" s="301"/>
    </row>
    <row r="5" spans="1:10">
      <c r="A5" s="300" t="s">
        <v>9</v>
      </c>
      <c r="D5" s="301"/>
      <c r="F5" s="302" t="s">
        <v>10</v>
      </c>
      <c r="G5" s="303" t="s">
        <v>11</v>
      </c>
      <c r="I5" s="302" t="s">
        <v>2</v>
      </c>
      <c r="J5" s="301"/>
    </row>
    <row r="6" spans="1:10">
      <c r="A6" s="304" t="s">
        <v>12</v>
      </c>
      <c r="B6" s="305" t="s">
        <v>13</v>
      </c>
      <c r="D6" s="301"/>
      <c r="F6" s="302" t="s">
        <v>14</v>
      </c>
      <c r="G6" s="301"/>
      <c r="I6" s="302" t="s">
        <v>1</v>
      </c>
      <c r="J6" s="301"/>
    </row>
    <row r="7" spans="1:10">
      <c r="A7" s="304" t="s">
        <v>15</v>
      </c>
      <c r="B7" s="305" t="s">
        <v>16</v>
      </c>
      <c r="D7" s="301"/>
      <c r="F7" s="300" t="s">
        <v>17</v>
      </c>
      <c r="G7" s="303" t="s">
        <v>18</v>
      </c>
      <c r="I7" s="302" t="s">
        <v>19</v>
      </c>
      <c r="J7" s="301"/>
    </row>
    <row r="8" spans="1:10">
      <c r="A8" s="317" t="s">
        <v>20</v>
      </c>
      <c r="B8" s="305" t="s">
        <v>21</v>
      </c>
      <c r="D8" s="301"/>
      <c r="F8" s="300" t="s">
        <v>22</v>
      </c>
      <c r="G8" s="306" t="s">
        <v>23</v>
      </c>
      <c r="I8" s="302" t="s">
        <v>24</v>
      </c>
      <c r="J8" s="301"/>
    </row>
    <row r="9" spans="1:10">
      <c r="A9" s="304" t="s">
        <v>25</v>
      </c>
      <c r="B9" s="305" t="s">
        <v>26</v>
      </c>
      <c r="D9" s="301"/>
      <c r="F9" s="307"/>
      <c r="G9" s="301"/>
      <c r="I9" s="311" t="s">
        <v>27</v>
      </c>
      <c r="J9" s="309"/>
    </row>
    <row r="10" spans="1:10">
      <c r="A10" s="304" t="s">
        <v>28</v>
      </c>
      <c r="B10" s="305" t="s">
        <v>29</v>
      </c>
      <c r="D10" s="301"/>
      <c r="F10" s="308" t="s">
        <v>30</v>
      </c>
      <c r="G10" s="309"/>
    </row>
    <row r="11" spans="1:10">
      <c r="A11" s="304" t="s">
        <v>31</v>
      </c>
      <c r="B11" s="305" t="s">
        <v>32</v>
      </c>
      <c r="D11" s="301"/>
    </row>
    <row r="12" spans="1:10">
      <c r="A12" s="304" t="s">
        <v>33</v>
      </c>
      <c r="B12" s="305" t="s">
        <v>34</v>
      </c>
      <c r="D12" s="301"/>
    </row>
    <row r="13" spans="1:10">
      <c r="A13" s="300" t="s">
        <v>35</v>
      </c>
      <c r="D13" s="301"/>
      <c r="F13" s="296" t="s">
        <v>8</v>
      </c>
      <c r="G13" s="298"/>
    </row>
    <row r="14" spans="1:10">
      <c r="A14" s="304" t="s">
        <v>36</v>
      </c>
      <c r="D14" s="301"/>
      <c r="F14" s="302" t="s">
        <v>37</v>
      </c>
      <c r="G14" s="303" t="s">
        <v>7</v>
      </c>
    </row>
    <row r="15" spans="1:10">
      <c r="A15" s="304" t="s">
        <v>38</v>
      </c>
      <c r="D15" s="301"/>
      <c r="F15" s="302" t="s">
        <v>39</v>
      </c>
      <c r="G15" s="301"/>
    </row>
    <row r="16" spans="1:10">
      <c r="A16" s="310" t="s">
        <v>40</v>
      </c>
      <c r="D16" s="301"/>
      <c r="F16" s="300" t="s">
        <v>41</v>
      </c>
      <c r="G16" s="303" t="s">
        <v>42</v>
      </c>
    </row>
    <row r="17" spans="1:7">
      <c r="A17" s="300" t="s">
        <v>17</v>
      </c>
      <c r="D17" s="301"/>
      <c r="F17" s="311" t="s">
        <v>43</v>
      </c>
      <c r="G17" s="318" t="s">
        <v>44</v>
      </c>
    </row>
    <row r="18" spans="1:7">
      <c r="A18" s="304" t="s">
        <v>201</v>
      </c>
      <c r="D18" s="301"/>
      <c r="F18" s="294"/>
    </row>
    <row r="19" spans="1:7">
      <c r="A19" s="300"/>
      <c r="D19" s="301"/>
    </row>
    <row r="20" spans="1:7">
      <c r="A20" s="312" t="s">
        <v>45</v>
      </c>
      <c r="D20" s="301"/>
      <c r="F20" s="296" t="s">
        <v>46</v>
      </c>
      <c r="G20" s="298"/>
    </row>
    <row r="21" spans="1:7">
      <c r="A21" s="313" t="s">
        <v>47</v>
      </c>
      <c r="B21" s="314"/>
      <c r="C21" s="314"/>
      <c r="D21" s="309"/>
      <c r="F21" s="302" t="s">
        <v>48</v>
      </c>
      <c r="G21" s="303" t="s">
        <v>49</v>
      </c>
    </row>
    <row r="22" spans="1:7">
      <c r="F22" s="315" t="s">
        <v>50</v>
      </c>
      <c r="G22" s="318" t="s">
        <v>51</v>
      </c>
    </row>
    <row r="23" spans="1:7">
      <c r="F23" s="294"/>
    </row>
    <row r="24" spans="1:7">
      <c r="F24" s="294"/>
    </row>
  </sheetData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0"/>
  <sheetViews>
    <sheetView topLeftCell="A355" workbookViewId="0">
      <selection activeCell="A252" sqref="A252"/>
    </sheetView>
  </sheetViews>
  <sheetFormatPr defaultRowHeight="15"/>
  <cols>
    <col min="1" max="1" width="15.7109375" customWidth="1"/>
    <col min="2" max="2" width="105.5703125" customWidth="1"/>
  </cols>
  <sheetData>
    <row r="1" spans="1:2" ht="15.75" thickBot="1">
      <c r="A1" s="335" t="s">
        <v>214</v>
      </c>
      <c r="B1" s="336" t="s">
        <v>176</v>
      </c>
    </row>
    <row r="2" spans="1:2" ht="15.75" thickBot="1">
      <c r="A2" s="337" t="s">
        <v>215</v>
      </c>
      <c r="B2" s="338" t="s">
        <v>216</v>
      </c>
    </row>
    <row r="3" spans="1:2" ht="15.75" thickBot="1">
      <c r="A3" s="339" t="s">
        <v>217</v>
      </c>
      <c r="B3" s="340" t="s">
        <v>218</v>
      </c>
    </row>
    <row r="4" spans="1:2" ht="15.75" thickBot="1">
      <c r="A4" s="337" t="s">
        <v>219</v>
      </c>
      <c r="B4" s="338" t="s">
        <v>220</v>
      </c>
    </row>
    <row r="5" spans="1:2" ht="15.75" thickBot="1">
      <c r="A5" s="339" t="s">
        <v>221</v>
      </c>
      <c r="B5" s="340" t="s">
        <v>222</v>
      </c>
    </row>
    <row r="6" spans="1:2" ht="15.75" thickBot="1">
      <c r="A6" s="337" t="s">
        <v>223</v>
      </c>
      <c r="B6" s="338" t="s">
        <v>224</v>
      </c>
    </row>
    <row r="7" spans="1:2" ht="15.75" thickBot="1">
      <c r="A7" s="339" t="s">
        <v>225</v>
      </c>
      <c r="B7" s="340" t="s">
        <v>226</v>
      </c>
    </row>
    <row r="8" spans="1:2" ht="15.75" thickBot="1">
      <c r="A8" s="337" t="s">
        <v>227</v>
      </c>
      <c r="B8" s="338" t="s">
        <v>228</v>
      </c>
    </row>
    <row r="9" spans="1:2" ht="15.75" thickBot="1">
      <c r="A9" s="339" t="s">
        <v>229</v>
      </c>
      <c r="B9" s="340" t="s">
        <v>230</v>
      </c>
    </row>
    <row r="10" spans="1:2" ht="15.75" thickBot="1">
      <c r="A10" s="337" t="s">
        <v>231</v>
      </c>
      <c r="B10" s="338" t="s">
        <v>232</v>
      </c>
    </row>
    <row r="11" spans="1:2" ht="15.75" thickBot="1">
      <c r="A11" s="339" t="s">
        <v>233</v>
      </c>
      <c r="B11" s="340" t="s">
        <v>234</v>
      </c>
    </row>
    <row r="12" spans="1:2" ht="15.75" thickBot="1">
      <c r="A12" s="341" t="s">
        <v>235</v>
      </c>
      <c r="B12" s="338" t="s">
        <v>236</v>
      </c>
    </row>
    <row r="13" spans="1:2" ht="15.75" thickBot="1">
      <c r="A13" s="339" t="s">
        <v>237</v>
      </c>
      <c r="B13" s="340" t="s">
        <v>238</v>
      </c>
    </row>
    <row r="14" spans="1:2" ht="15.75" thickBot="1">
      <c r="A14" s="337" t="s">
        <v>239</v>
      </c>
      <c r="B14" s="338" t="s">
        <v>240</v>
      </c>
    </row>
    <row r="15" spans="1:2" ht="15.75" thickBot="1">
      <c r="A15" s="339" t="s">
        <v>241</v>
      </c>
      <c r="B15" s="340" t="s">
        <v>242</v>
      </c>
    </row>
    <row r="16" spans="1:2" ht="15.75" thickBot="1">
      <c r="A16" s="337" t="s">
        <v>243</v>
      </c>
      <c r="B16" s="338" t="s">
        <v>244</v>
      </c>
    </row>
    <row r="17" spans="1:2" ht="15.75" thickBot="1">
      <c r="A17" s="339" t="s">
        <v>245</v>
      </c>
      <c r="B17" s="340" t="s">
        <v>246</v>
      </c>
    </row>
    <row r="18" spans="1:2" ht="15.75" thickBot="1">
      <c r="A18" s="337" t="s">
        <v>247</v>
      </c>
      <c r="B18" s="338" t="s">
        <v>248</v>
      </c>
    </row>
    <row r="19" spans="1:2" ht="15.75" thickBot="1">
      <c r="A19" s="339" t="s">
        <v>249</v>
      </c>
      <c r="B19" s="340" t="s">
        <v>250</v>
      </c>
    </row>
    <row r="20" spans="1:2" ht="15.75" thickBot="1">
      <c r="A20" s="337" t="s">
        <v>251</v>
      </c>
      <c r="B20" s="338" t="s">
        <v>252</v>
      </c>
    </row>
    <row r="21" spans="1:2" ht="15.75" thickBot="1">
      <c r="A21" s="339" t="s">
        <v>253</v>
      </c>
      <c r="B21" s="340" t="s">
        <v>254</v>
      </c>
    </row>
    <row r="22" spans="1:2" ht="15.75" thickBot="1">
      <c r="A22" s="337" t="s">
        <v>255</v>
      </c>
      <c r="B22" s="338" t="s">
        <v>256</v>
      </c>
    </row>
    <row r="23" spans="1:2" ht="15.75" thickBot="1">
      <c r="A23" s="339" t="s">
        <v>257</v>
      </c>
      <c r="B23" s="340" t="s">
        <v>258</v>
      </c>
    </row>
    <row r="24" spans="1:2" ht="15.75" thickBot="1">
      <c r="A24" s="337" t="s">
        <v>259</v>
      </c>
      <c r="B24" s="338" t="s">
        <v>260</v>
      </c>
    </row>
    <row r="25" spans="1:2" ht="15.75" thickBot="1">
      <c r="A25" s="339" t="s">
        <v>261</v>
      </c>
      <c r="B25" s="340" t="s">
        <v>262</v>
      </c>
    </row>
    <row r="26" spans="1:2" ht="15.75" thickBot="1">
      <c r="A26" s="337" t="s">
        <v>263</v>
      </c>
      <c r="B26" s="338" t="s">
        <v>264</v>
      </c>
    </row>
    <row r="27" spans="1:2" ht="15.75" thickBot="1">
      <c r="A27" s="339" t="s">
        <v>265</v>
      </c>
      <c r="B27" s="340" t="s">
        <v>266</v>
      </c>
    </row>
    <row r="28" spans="1:2" ht="15.75" thickBot="1">
      <c r="A28" s="337" t="s">
        <v>267</v>
      </c>
      <c r="B28" s="338" t="s">
        <v>268</v>
      </c>
    </row>
    <row r="29" spans="1:2" ht="15.75" thickBot="1">
      <c r="A29" s="339" t="s">
        <v>269</v>
      </c>
      <c r="B29" s="340" t="s">
        <v>270</v>
      </c>
    </row>
    <row r="30" spans="1:2" ht="15.75" thickBot="1">
      <c r="A30" s="337" t="s">
        <v>271</v>
      </c>
      <c r="B30" s="338" t="s">
        <v>272</v>
      </c>
    </row>
    <row r="31" spans="1:2" ht="15.75" thickBot="1">
      <c r="A31" s="339" t="s">
        <v>273</v>
      </c>
      <c r="B31" s="340" t="s">
        <v>274</v>
      </c>
    </row>
    <row r="32" spans="1:2" ht="15.75" thickBot="1">
      <c r="A32" s="337" t="s">
        <v>275</v>
      </c>
      <c r="B32" s="338" t="s">
        <v>276</v>
      </c>
    </row>
    <row r="33" spans="1:2" ht="15.75" thickBot="1">
      <c r="A33" s="339" t="s">
        <v>277</v>
      </c>
      <c r="B33" s="340" t="s">
        <v>278</v>
      </c>
    </row>
    <row r="34" spans="1:2" ht="15.75" thickBot="1">
      <c r="A34" s="337" t="s">
        <v>279</v>
      </c>
      <c r="B34" s="338" t="s">
        <v>280</v>
      </c>
    </row>
    <row r="35" spans="1:2" ht="15.75" thickBot="1">
      <c r="A35" s="339" t="s">
        <v>281</v>
      </c>
      <c r="B35" s="340" t="s">
        <v>282</v>
      </c>
    </row>
    <row r="36" spans="1:2" ht="15.75" thickBot="1">
      <c r="A36" s="337" t="s">
        <v>283</v>
      </c>
      <c r="B36" s="338" t="s">
        <v>284</v>
      </c>
    </row>
    <row r="37" spans="1:2" ht="15.75" thickBot="1">
      <c r="A37" s="339" t="s">
        <v>285</v>
      </c>
      <c r="B37" s="340" t="s">
        <v>286</v>
      </c>
    </row>
    <row r="38" spans="1:2" ht="15.75" thickBot="1">
      <c r="A38" s="337" t="s">
        <v>287</v>
      </c>
      <c r="B38" s="338" t="s">
        <v>288</v>
      </c>
    </row>
    <row r="39" spans="1:2" ht="15.75" thickBot="1">
      <c r="A39" s="339" t="s">
        <v>289</v>
      </c>
      <c r="B39" s="340" t="s">
        <v>290</v>
      </c>
    </row>
    <row r="40" spans="1:2" ht="15.75" thickBot="1">
      <c r="A40" s="337" t="s">
        <v>291</v>
      </c>
      <c r="B40" s="338" t="s">
        <v>292</v>
      </c>
    </row>
    <row r="41" spans="1:2" ht="15.75" thickBot="1">
      <c r="A41" s="339" t="s">
        <v>293</v>
      </c>
      <c r="B41" s="340" t="s">
        <v>294</v>
      </c>
    </row>
    <row r="42" spans="1:2" ht="15.75" thickBot="1">
      <c r="A42" s="337" t="s">
        <v>295</v>
      </c>
      <c r="B42" s="338" t="s">
        <v>296</v>
      </c>
    </row>
    <row r="43" spans="1:2" ht="15.75" thickBot="1">
      <c r="A43" s="339" t="s">
        <v>297</v>
      </c>
      <c r="B43" s="340" t="s">
        <v>298</v>
      </c>
    </row>
    <row r="44" spans="1:2" ht="15.75" thickBot="1">
      <c r="A44" s="339" t="s">
        <v>299</v>
      </c>
      <c r="B44" s="340" t="s">
        <v>298</v>
      </c>
    </row>
    <row r="45" spans="1:2" ht="15.75" thickBot="1">
      <c r="A45" s="337" t="s">
        <v>300</v>
      </c>
      <c r="B45" s="338" t="s">
        <v>298</v>
      </c>
    </row>
    <row r="46" spans="1:2" ht="15.75" thickBot="1">
      <c r="A46" s="339" t="s">
        <v>301</v>
      </c>
      <c r="B46" s="340" t="s">
        <v>302</v>
      </c>
    </row>
    <row r="47" spans="1:2" ht="15.75" thickBot="1">
      <c r="A47" s="337" t="s">
        <v>303</v>
      </c>
      <c r="B47" s="338" t="s">
        <v>304</v>
      </c>
    </row>
    <row r="48" spans="1:2" ht="15.75" thickBot="1">
      <c r="A48" s="339" t="s">
        <v>305</v>
      </c>
      <c r="B48" s="340" t="s">
        <v>306</v>
      </c>
    </row>
    <row r="49" spans="1:2" ht="15.75" thickBot="1">
      <c r="A49" s="337" t="s">
        <v>307</v>
      </c>
      <c r="B49" s="338" t="s">
        <v>308</v>
      </c>
    </row>
    <row r="50" spans="1:2" ht="15.75" thickBot="1">
      <c r="A50" s="339" t="s">
        <v>309</v>
      </c>
      <c r="B50" s="340" t="s">
        <v>310</v>
      </c>
    </row>
    <row r="51" spans="1:2" ht="15.75" thickBot="1">
      <c r="A51" s="337" t="s">
        <v>311</v>
      </c>
      <c r="B51" s="338" t="s">
        <v>312</v>
      </c>
    </row>
    <row r="52" spans="1:2" ht="15.75" thickBot="1">
      <c r="A52" s="339" t="s">
        <v>313</v>
      </c>
      <c r="B52" s="340" t="s">
        <v>314</v>
      </c>
    </row>
    <row r="53" spans="1:2" ht="15.75" thickBot="1">
      <c r="A53" s="337" t="s">
        <v>315</v>
      </c>
      <c r="B53" s="338" t="s">
        <v>316</v>
      </c>
    </row>
    <row r="54" spans="1:2" ht="15.75" thickBot="1">
      <c r="A54" s="339" t="s">
        <v>317</v>
      </c>
      <c r="B54" s="340" t="s">
        <v>318</v>
      </c>
    </row>
    <row r="55" spans="1:2" ht="15.75" thickBot="1">
      <c r="A55" s="337" t="s">
        <v>319</v>
      </c>
      <c r="B55" s="338" t="s">
        <v>320</v>
      </c>
    </row>
    <row r="56" spans="1:2" ht="15.75" thickBot="1">
      <c r="A56" s="339" t="s">
        <v>321</v>
      </c>
      <c r="B56" s="340" t="s">
        <v>322</v>
      </c>
    </row>
    <row r="57" spans="1:2" ht="15.75" thickBot="1">
      <c r="A57" s="337" t="s">
        <v>323</v>
      </c>
      <c r="B57" s="338" t="s">
        <v>324</v>
      </c>
    </row>
    <row r="58" spans="1:2" ht="15.75" thickBot="1">
      <c r="A58" s="339" t="s">
        <v>325</v>
      </c>
      <c r="B58" s="340" t="s">
        <v>326</v>
      </c>
    </row>
    <row r="59" spans="1:2" ht="15.75" thickBot="1">
      <c r="A59" s="337" t="s">
        <v>327</v>
      </c>
      <c r="B59" s="338" t="s">
        <v>328</v>
      </c>
    </row>
    <row r="60" spans="1:2" ht="15.75" thickBot="1">
      <c r="A60" s="339" t="s">
        <v>329</v>
      </c>
      <c r="B60" s="340" t="s">
        <v>330</v>
      </c>
    </row>
    <row r="61" spans="1:2" ht="15.75" thickBot="1">
      <c r="A61" s="337" t="s">
        <v>331</v>
      </c>
      <c r="B61" s="338" t="s">
        <v>332</v>
      </c>
    </row>
    <row r="62" spans="1:2" ht="15.75" thickBot="1">
      <c r="A62" s="339" t="s">
        <v>333</v>
      </c>
      <c r="B62" s="340" t="s">
        <v>334</v>
      </c>
    </row>
    <row r="63" spans="1:2" ht="15.75" thickBot="1">
      <c r="A63" s="337" t="s">
        <v>335</v>
      </c>
      <c r="B63" s="338" t="s">
        <v>336</v>
      </c>
    </row>
    <row r="64" spans="1:2" ht="15.75" thickBot="1">
      <c r="A64" s="339" t="s">
        <v>337</v>
      </c>
      <c r="B64" s="340" t="s">
        <v>338</v>
      </c>
    </row>
    <row r="65" spans="1:2" ht="15.75" thickBot="1">
      <c r="A65" s="337" t="s">
        <v>339</v>
      </c>
      <c r="B65" s="338" t="s">
        <v>340</v>
      </c>
    </row>
    <row r="66" spans="1:2" ht="15.75" thickBot="1">
      <c r="A66" s="339" t="s">
        <v>341</v>
      </c>
      <c r="B66" s="340" t="s">
        <v>342</v>
      </c>
    </row>
    <row r="67" spans="1:2" ht="15.75" thickBot="1">
      <c r="A67" s="337" t="s">
        <v>343</v>
      </c>
      <c r="B67" s="338" t="s">
        <v>344</v>
      </c>
    </row>
    <row r="68" spans="1:2" ht="15.75" thickBot="1">
      <c r="A68" s="339" t="s">
        <v>345</v>
      </c>
      <c r="B68" s="340" t="s">
        <v>346</v>
      </c>
    </row>
    <row r="69" spans="1:2" ht="15.75" thickBot="1">
      <c r="A69" s="337" t="s">
        <v>347</v>
      </c>
      <c r="B69" s="338" t="s">
        <v>348</v>
      </c>
    </row>
    <row r="70" spans="1:2" ht="15.75" thickBot="1">
      <c r="A70" s="339" t="s">
        <v>349</v>
      </c>
      <c r="B70" s="340" t="s">
        <v>350</v>
      </c>
    </row>
    <row r="71" spans="1:2" ht="15.75" thickBot="1">
      <c r="A71" s="337" t="s">
        <v>351</v>
      </c>
      <c r="B71" s="338" t="s">
        <v>352</v>
      </c>
    </row>
    <row r="72" spans="1:2" ht="15.75" thickBot="1">
      <c r="A72" s="339" t="s">
        <v>353</v>
      </c>
      <c r="B72" s="340" t="s">
        <v>354</v>
      </c>
    </row>
    <row r="73" spans="1:2" ht="15.75" thickBot="1">
      <c r="A73" s="337" t="s">
        <v>355</v>
      </c>
      <c r="B73" s="338" t="s">
        <v>356</v>
      </c>
    </row>
    <row r="74" spans="1:2" ht="15.75" thickBot="1">
      <c r="A74" s="339" t="s">
        <v>357</v>
      </c>
      <c r="B74" s="340" t="s">
        <v>358</v>
      </c>
    </row>
    <row r="75" spans="1:2" ht="15.75" thickBot="1">
      <c r="A75" s="337" t="s">
        <v>359</v>
      </c>
      <c r="B75" s="338" t="s">
        <v>360</v>
      </c>
    </row>
    <row r="76" spans="1:2" ht="15.75" thickBot="1">
      <c r="A76" s="339" t="s">
        <v>361</v>
      </c>
      <c r="B76" s="340" t="s">
        <v>362</v>
      </c>
    </row>
    <row r="77" spans="1:2" ht="15.75" thickBot="1">
      <c r="A77" s="337" t="s">
        <v>363</v>
      </c>
      <c r="B77" s="338" t="s">
        <v>364</v>
      </c>
    </row>
    <row r="78" spans="1:2" ht="15.75" thickBot="1">
      <c r="A78" s="339" t="s">
        <v>365</v>
      </c>
      <c r="B78" s="340" t="s">
        <v>366</v>
      </c>
    </row>
    <row r="79" spans="1:2" ht="15.75" thickBot="1">
      <c r="A79" s="337" t="s">
        <v>367</v>
      </c>
      <c r="B79" s="338" t="s">
        <v>368</v>
      </c>
    </row>
    <row r="80" spans="1:2" ht="15.75" thickBot="1">
      <c r="A80" s="339" t="s">
        <v>369</v>
      </c>
      <c r="B80" s="340" t="s">
        <v>370</v>
      </c>
    </row>
    <row r="81" spans="1:2" ht="15.75" thickBot="1">
      <c r="A81" s="337" t="s">
        <v>371</v>
      </c>
      <c r="B81" s="338" t="s">
        <v>372</v>
      </c>
    </row>
    <row r="82" spans="1:2" ht="15.75" thickBot="1">
      <c r="A82" s="339" t="s">
        <v>373</v>
      </c>
      <c r="B82" s="340" t="s">
        <v>374</v>
      </c>
    </row>
    <row r="83" spans="1:2" ht="15.75" thickBot="1">
      <c r="A83" s="337" t="s">
        <v>375</v>
      </c>
      <c r="B83" s="338" t="s">
        <v>376</v>
      </c>
    </row>
    <row r="84" spans="1:2" ht="15.75" thickBot="1">
      <c r="A84" s="339" t="s">
        <v>377</v>
      </c>
      <c r="B84" s="340" t="s">
        <v>378</v>
      </c>
    </row>
    <row r="85" spans="1:2" ht="15.75" thickBot="1">
      <c r="A85" s="337" t="s">
        <v>379</v>
      </c>
      <c r="B85" s="338" t="s">
        <v>380</v>
      </c>
    </row>
    <row r="86" spans="1:2" ht="15.75" thickBot="1">
      <c r="A86" s="339" t="s">
        <v>381</v>
      </c>
      <c r="B86" s="340" t="s">
        <v>382</v>
      </c>
    </row>
    <row r="87" spans="1:2" ht="15.75" thickBot="1">
      <c r="A87" s="337" t="s">
        <v>383</v>
      </c>
      <c r="B87" s="338" t="s">
        <v>384</v>
      </c>
    </row>
    <row r="88" spans="1:2" ht="15.75" thickBot="1">
      <c r="A88" s="339" t="s">
        <v>385</v>
      </c>
      <c r="B88" s="340" t="s">
        <v>386</v>
      </c>
    </row>
    <row r="89" spans="1:2" ht="15.75" thickBot="1">
      <c r="A89" s="337" t="s">
        <v>387</v>
      </c>
      <c r="B89" s="338" t="s">
        <v>388</v>
      </c>
    </row>
    <row r="90" spans="1:2" ht="15.75" thickBot="1">
      <c r="A90" s="337" t="s">
        <v>389</v>
      </c>
      <c r="B90" s="338" t="s">
        <v>390</v>
      </c>
    </row>
    <row r="91" spans="1:2" ht="15.75" thickBot="1">
      <c r="A91" s="339" t="s">
        <v>391</v>
      </c>
      <c r="B91" s="340" t="s">
        <v>392</v>
      </c>
    </row>
    <row r="92" spans="1:2" ht="15.75" thickBot="1">
      <c r="A92" s="337" t="s">
        <v>393</v>
      </c>
      <c r="B92" s="338" t="s">
        <v>394</v>
      </c>
    </row>
    <row r="93" spans="1:2" ht="15.75" thickBot="1">
      <c r="A93" s="337" t="s">
        <v>395</v>
      </c>
      <c r="B93" s="338" t="s">
        <v>396</v>
      </c>
    </row>
    <row r="94" spans="1:2" ht="15.75" thickBot="1">
      <c r="A94" s="339" t="s">
        <v>397</v>
      </c>
      <c r="B94" s="340" t="s">
        <v>398</v>
      </c>
    </row>
    <row r="95" spans="1:2" ht="15.75" thickBot="1">
      <c r="A95" s="337" t="s">
        <v>399</v>
      </c>
      <c r="B95" s="338" t="s">
        <v>400</v>
      </c>
    </row>
    <row r="96" spans="1:2" ht="15.75" thickBot="1">
      <c r="A96" s="339" t="s">
        <v>401</v>
      </c>
      <c r="B96" s="340" t="s">
        <v>402</v>
      </c>
    </row>
    <row r="97" spans="1:2" ht="15.75" thickBot="1">
      <c r="A97" s="337" t="s">
        <v>403</v>
      </c>
      <c r="B97" s="338" t="s">
        <v>404</v>
      </c>
    </row>
    <row r="98" spans="1:2" ht="15.75" thickBot="1">
      <c r="A98" s="339" t="s">
        <v>405</v>
      </c>
      <c r="B98" s="340" t="s">
        <v>406</v>
      </c>
    </row>
    <row r="99" spans="1:2" ht="15.75" thickBot="1">
      <c r="A99" s="337" t="s">
        <v>407</v>
      </c>
      <c r="B99" s="338" t="s">
        <v>408</v>
      </c>
    </row>
    <row r="100" spans="1:2" ht="15.75" thickBot="1">
      <c r="A100" s="339" t="s">
        <v>409</v>
      </c>
      <c r="B100" s="340" t="s">
        <v>410</v>
      </c>
    </row>
    <row r="101" spans="1:2" ht="15.75" thickBot="1">
      <c r="A101" s="337" t="s">
        <v>411</v>
      </c>
      <c r="B101" s="338" t="s">
        <v>412</v>
      </c>
    </row>
    <row r="102" spans="1:2" ht="15.75" thickBot="1">
      <c r="A102" s="339" t="s">
        <v>413</v>
      </c>
      <c r="B102" s="340" t="s">
        <v>414</v>
      </c>
    </row>
    <row r="103" spans="1:2" ht="15.75" thickBot="1">
      <c r="A103" s="337" t="s">
        <v>415</v>
      </c>
      <c r="B103" s="338" t="s">
        <v>416</v>
      </c>
    </row>
    <row r="104" spans="1:2" ht="15.75" thickBot="1">
      <c r="A104" s="339" t="s">
        <v>417</v>
      </c>
      <c r="B104" s="340" t="s">
        <v>418</v>
      </c>
    </row>
    <row r="105" spans="1:2" ht="15.75" thickBot="1">
      <c r="A105" s="337" t="s">
        <v>419</v>
      </c>
      <c r="B105" s="338" t="s">
        <v>420</v>
      </c>
    </row>
    <row r="106" spans="1:2" ht="15.75" thickBot="1">
      <c r="A106" s="339" t="s">
        <v>421</v>
      </c>
      <c r="B106" s="340" t="s">
        <v>422</v>
      </c>
    </row>
    <row r="107" spans="1:2" ht="15.75" thickBot="1">
      <c r="A107" s="337" t="s">
        <v>423</v>
      </c>
      <c r="B107" s="338" t="s">
        <v>424</v>
      </c>
    </row>
    <row r="108" spans="1:2" ht="15.75" thickBot="1">
      <c r="A108" s="339" t="s">
        <v>425</v>
      </c>
      <c r="B108" s="340" t="s">
        <v>426</v>
      </c>
    </row>
    <row r="109" spans="1:2" ht="15.75" thickBot="1">
      <c r="A109" s="337" t="s">
        <v>427</v>
      </c>
      <c r="B109" s="338" t="s">
        <v>428</v>
      </c>
    </row>
    <row r="110" spans="1:2" ht="15.75" thickBot="1">
      <c r="A110" s="339" t="s">
        <v>429</v>
      </c>
      <c r="B110" s="340" t="s">
        <v>430</v>
      </c>
    </row>
    <row r="111" spans="1:2" ht="15.75" thickBot="1">
      <c r="A111" s="337" t="s">
        <v>431</v>
      </c>
      <c r="B111" s="338" t="s">
        <v>432</v>
      </c>
    </row>
    <row r="112" spans="1:2" ht="15.75" thickBot="1">
      <c r="A112" s="339" t="s">
        <v>433</v>
      </c>
      <c r="B112" s="340" t="s">
        <v>434</v>
      </c>
    </row>
    <row r="113" spans="1:2" ht="15.75" thickBot="1">
      <c r="A113" s="337" t="s">
        <v>435</v>
      </c>
      <c r="B113" s="338" t="s">
        <v>436</v>
      </c>
    </row>
    <row r="114" spans="1:2" ht="15.75" thickBot="1">
      <c r="A114" s="339" t="s">
        <v>437</v>
      </c>
      <c r="B114" s="340" t="s">
        <v>438</v>
      </c>
    </row>
    <row r="115" spans="1:2" ht="15.75" thickBot="1">
      <c r="A115" s="337" t="s">
        <v>439</v>
      </c>
      <c r="B115" s="338" t="s">
        <v>440</v>
      </c>
    </row>
    <row r="116" spans="1:2" ht="15.75" thickBot="1">
      <c r="A116" s="339" t="s">
        <v>441</v>
      </c>
      <c r="B116" s="340" t="s">
        <v>442</v>
      </c>
    </row>
    <row r="117" spans="1:2" ht="15.75" thickBot="1">
      <c r="A117" s="337" t="s">
        <v>443</v>
      </c>
      <c r="B117" s="338" t="s">
        <v>444</v>
      </c>
    </row>
    <row r="118" spans="1:2" ht="15.75" thickBot="1">
      <c r="A118" s="339" t="s">
        <v>445</v>
      </c>
      <c r="B118" s="340" t="s">
        <v>446</v>
      </c>
    </row>
    <row r="119" spans="1:2" ht="15.75" thickBot="1">
      <c r="A119" s="337" t="s">
        <v>447</v>
      </c>
      <c r="B119" s="338" t="s">
        <v>448</v>
      </c>
    </row>
    <row r="120" spans="1:2" ht="15.75" thickBot="1">
      <c r="A120" s="339" t="s">
        <v>449</v>
      </c>
      <c r="B120" s="340" t="s">
        <v>450</v>
      </c>
    </row>
    <row r="121" spans="1:2" ht="15.75" thickBot="1">
      <c r="A121" s="337" t="s">
        <v>451</v>
      </c>
      <c r="B121" s="338" t="s">
        <v>452</v>
      </c>
    </row>
    <row r="122" spans="1:2" ht="15.75" thickBot="1">
      <c r="A122" s="339" t="s">
        <v>453</v>
      </c>
      <c r="B122" s="340" t="s">
        <v>454</v>
      </c>
    </row>
    <row r="123" spans="1:2" ht="15.75" thickBot="1">
      <c r="A123" s="337" t="s">
        <v>455</v>
      </c>
      <c r="B123" s="338" t="s">
        <v>456</v>
      </c>
    </row>
    <row r="124" spans="1:2" ht="15.75" thickBot="1">
      <c r="A124" s="339" t="s">
        <v>457</v>
      </c>
      <c r="B124" s="340" t="s">
        <v>458</v>
      </c>
    </row>
    <row r="125" spans="1:2" ht="15.75" thickBot="1">
      <c r="A125" s="337" t="s">
        <v>459</v>
      </c>
      <c r="B125" s="338" t="s">
        <v>460</v>
      </c>
    </row>
    <row r="126" spans="1:2" ht="15.75" thickBot="1">
      <c r="A126" s="339" t="s">
        <v>461</v>
      </c>
      <c r="B126" s="340" t="s">
        <v>462</v>
      </c>
    </row>
    <row r="127" spans="1:2" ht="15.75" thickBot="1">
      <c r="A127" s="337" t="s">
        <v>463</v>
      </c>
      <c r="B127" s="338" t="s">
        <v>464</v>
      </c>
    </row>
    <row r="128" spans="1:2" ht="15.75" thickBot="1">
      <c r="A128" s="339" t="s">
        <v>465</v>
      </c>
      <c r="B128" s="340" t="s">
        <v>466</v>
      </c>
    </row>
    <row r="129" spans="1:2" ht="15.75" thickBot="1">
      <c r="A129" s="339" t="s">
        <v>467</v>
      </c>
      <c r="B129" s="340" t="s">
        <v>468</v>
      </c>
    </row>
    <row r="130" spans="1:2" ht="15.75" thickBot="1">
      <c r="A130" s="339" t="s">
        <v>469</v>
      </c>
      <c r="B130" s="340" t="s">
        <v>470</v>
      </c>
    </row>
    <row r="131" spans="1:2" ht="15.75" thickBot="1">
      <c r="A131" s="339" t="s">
        <v>471</v>
      </c>
      <c r="B131" s="340" t="s">
        <v>472</v>
      </c>
    </row>
    <row r="132" spans="1:2" ht="15.75" thickBot="1">
      <c r="A132" s="337" t="s">
        <v>473</v>
      </c>
      <c r="B132" s="338" t="s">
        <v>474</v>
      </c>
    </row>
    <row r="133" spans="1:2" ht="15.75" thickBot="1">
      <c r="A133" s="339" t="s">
        <v>475</v>
      </c>
      <c r="B133" s="340" t="s">
        <v>476</v>
      </c>
    </row>
    <row r="134" spans="1:2" ht="15.75" thickBot="1">
      <c r="A134" s="337" t="s">
        <v>477</v>
      </c>
      <c r="B134" s="338" t="s">
        <v>478</v>
      </c>
    </row>
    <row r="135" spans="1:2" ht="15.75" thickBot="1">
      <c r="A135" s="339" t="s">
        <v>479</v>
      </c>
      <c r="B135" s="340" t="s">
        <v>480</v>
      </c>
    </row>
    <row r="136" spans="1:2" ht="15.75" thickBot="1">
      <c r="A136" s="339" t="s">
        <v>481</v>
      </c>
      <c r="B136" s="340" t="s">
        <v>482</v>
      </c>
    </row>
    <row r="137" spans="1:2" ht="15.75" thickBot="1">
      <c r="A137" s="339" t="s">
        <v>483</v>
      </c>
      <c r="B137" s="340" t="s">
        <v>484</v>
      </c>
    </row>
    <row r="138" spans="1:2" ht="15.75" thickBot="1">
      <c r="A138" s="337" t="s">
        <v>485</v>
      </c>
      <c r="B138" s="338" t="s">
        <v>486</v>
      </c>
    </row>
    <row r="139" spans="1:2" ht="15.75" thickBot="1">
      <c r="A139" s="339" t="s">
        <v>487</v>
      </c>
      <c r="B139" s="340" t="s">
        <v>488</v>
      </c>
    </row>
    <row r="140" spans="1:2" ht="15.75" thickBot="1">
      <c r="A140" s="337" t="s">
        <v>489</v>
      </c>
      <c r="B140" s="338" t="s">
        <v>490</v>
      </c>
    </row>
    <row r="141" spans="1:2" ht="15.75" thickBot="1">
      <c r="A141" s="339" t="s">
        <v>491</v>
      </c>
      <c r="B141" s="340" t="s">
        <v>492</v>
      </c>
    </row>
    <row r="142" spans="1:2" ht="15.75" thickBot="1">
      <c r="A142" s="337" t="s">
        <v>493</v>
      </c>
      <c r="B142" s="338" t="s">
        <v>494</v>
      </c>
    </row>
    <row r="143" spans="1:2" ht="15.75" thickBot="1">
      <c r="A143" s="339" t="s">
        <v>495</v>
      </c>
      <c r="B143" s="340" t="s">
        <v>496</v>
      </c>
    </row>
    <row r="144" spans="1:2" ht="15.75" thickBot="1">
      <c r="A144" s="337" t="s">
        <v>497</v>
      </c>
      <c r="B144" s="338" t="s">
        <v>498</v>
      </c>
    </row>
    <row r="145" spans="1:2" ht="15.75" thickBot="1">
      <c r="A145" s="339" t="s">
        <v>499</v>
      </c>
      <c r="B145" s="340" t="s">
        <v>500</v>
      </c>
    </row>
    <row r="146" spans="1:2" ht="15.75" thickBot="1">
      <c r="A146" s="337" t="s">
        <v>501</v>
      </c>
      <c r="B146" s="338" t="s">
        <v>502</v>
      </c>
    </row>
    <row r="147" spans="1:2" ht="15.75" thickBot="1">
      <c r="A147" s="339" t="s">
        <v>503</v>
      </c>
      <c r="B147" s="340" t="s">
        <v>504</v>
      </c>
    </row>
    <row r="148" spans="1:2" ht="15.75" thickBot="1">
      <c r="A148" s="337" t="s">
        <v>505</v>
      </c>
      <c r="B148" s="338" t="s">
        <v>506</v>
      </c>
    </row>
    <row r="149" spans="1:2" ht="15.75" thickBot="1">
      <c r="A149" s="339" t="s">
        <v>507</v>
      </c>
      <c r="B149" s="340" t="s">
        <v>508</v>
      </c>
    </row>
    <row r="150" spans="1:2" ht="15.75" thickBot="1">
      <c r="A150" s="337" t="s">
        <v>509</v>
      </c>
      <c r="B150" s="338" t="s">
        <v>510</v>
      </c>
    </row>
    <row r="151" spans="1:2" ht="15.75" thickBot="1">
      <c r="A151" s="339" t="s">
        <v>511</v>
      </c>
      <c r="B151" s="340" t="s">
        <v>512</v>
      </c>
    </row>
    <row r="152" spans="1:2" ht="15.75" thickBot="1">
      <c r="A152" s="337" t="s">
        <v>513</v>
      </c>
      <c r="B152" s="338" t="s">
        <v>514</v>
      </c>
    </row>
    <row r="153" spans="1:2" ht="15.75" thickBot="1">
      <c r="A153" s="339" t="s">
        <v>515</v>
      </c>
      <c r="B153" s="340" t="s">
        <v>516</v>
      </c>
    </row>
    <row r="154" spans="1:2" ht="15.75" thickBot="1">
      <c r="A154" s="337" t="s">
        <v>517</v>
      </c>
      <c r="B154" s="338" t="s">
        <v>518</v>
      </c>
    </row>
    <row r="155" spans="1:2" ht="15.75" thickBot="1">
      <c r="A155" s="339" t="s">
        <v>519</v>
      </c>
      <c r="B155" s="340" t="s">
        <v>520</v>
      </c>
    </row>
    <row r="156" spans="1:2" ht="15.75" thickBot="1">
      <c r="A156" s="337" t="s">
        <v>521</v>
      </c>
      <c r="B156" s="338" t="s">
        <v>522</v>
      </c>
    </row>
    <row r="157" spans="1:2" ht="15.75" thickBot="1">
      <c r="A157" s="339" t="s">
        <v>523</v>
      </c>
      <c r="B157" s="340" t="s">
        <v>524</v>
      </c>
    </row>
    <row r="158" spans="1:2" ht="15.75" thickBot="1">
      <c r="A158" s="337" t="s">
        <v>525</v>
      </c>
      <c r="B158" s="338" t="s">
        <v>526</v>
      </c>
    </row>
    <row r="159" spans="1:2" ht="15.75" thickBot="1">
      <c r="A159" s="339" t="s">
        <v>527</v>
      </c>
      <c r="B159" s="340" t="s">
        <v>528</v>
      </c>
    </row>
    <row r="160" spans="1:2" ht="15.75" thickBot="1">
      <c r="A160" s="337" t="s">
        <v>529</v>
      </c>
      <c r="B160" s="338" t="s">
        <v>530</v>
      </c>
    </row>
    <row r="161" spans="1:2" ht="15.75" thickBot="1">
      <c r="A161" s="339" t="s">
        <v>531</v>
      </c>
      <c r="B161" s="340" t="s">
        <v>532</v>
      </c>
    </row>
    <row r="162" spans="1:2" ht="15.75" thickBot="1">
      <c r="A162" s="337" t="s">
        <v>533</v>
      </c>
      <c r="B162" s="338" t="s">
        <v>534</v>
      </c>
    </row>
    <row r="163" spans="1:2" ht="15.75" thickBot="1">
      <c r="A163" s="339" t="s">
        <v>535</v>
      </c>
      <c r="B163" s="340" t="s">
        <v>536</v>
      </c>
    </row>
    <row r="164" spans="1:2" ht="15.75" thickBot="1">
      <c r="A164" s="337" t="s">
        <v>537</v>
      </c>
      <c r="B164" s="338" t="s">
        <v>538</v>
      </c>
    </row>
    <row r="165" spans="1:2" ht="15.75" thickBot="1">
      <c r="A165" s="339" t="s">
        <v>539</v>
      </c>
      <c r="B165" s="340" t="s">
        <v>540</v>
      </c>
    </row>
    <row r="166" spans="1:2" ht="15.75" thickBot="1">
      <c r="A166" s="337" t="s">
        <v>541</v>
      </c>
      <c r="B166" s="338" t="s">
        <v>542</v>
      </c>
    </row>
    <row r="167" spans="1:2" ht="15.75" thickBot="1">
      <c r="A167" s="339" t="s">
        <v>543</v>
      </c>
      <c r="B167" s="340" t="s">
        <v>544</v>
      </c>
    </row>
    <row r="168" spans="1:2" ht="15.75" thickBot="1">
      <c r="A168" s="337" t="s">
        <v>545</v>
      </c>
      <c r="B168" s="338" t="s">
        <v>546</v>
      </c>
    </row>
    <row r="169" spans="1:2" ht="15.75" thickBot="1">
      <c r="A169" s="339" t="s">
        <v>547</v>
      </c>
      <c r="B169" s="340" t="s">
        <v>548</v>
      </c>
    </row>
    <row r="170" spans="1:2" ht="15.75" thickBot="1">
      <c r="A170" s="337" t="s">
        <v>549</v>
      </c>
      <c r="B170" s="338" t="s">
        <v>550</v>
      </c>
    </row>
    <row r="171" spans="1:2" ht="15.75" thickBot="1">
      <c r="A171" s="339" t="s">
        <v>551</v>
      </c>
      <c r="B171" s="340" t="s">
        <v>552</v>
      </c>
    </row>
    <row r="172" spans="1:2" ht="15.75" thickBot="1">
      <c r="A172" s="337" t="s">
        <v>553</v>
      </c>
      <c r="B172" s="338" t="s">
        <v>554</v>
      </c>
    </row>
    <row r="173" spans="1:2" ht="15.75" thickBot="1">
      <c r="A173" s="337" t="s">
        <v>555</v>
      </c>
      <c r="B173" s="338" t="s">
        <v>556</v>
      </c>
    </row>
    <row r="174" spans="1:2" ht="15.75" thickBot="1">
      <c r="A174" s="339" t="s">
        <v>557</v>
      </c>
      <c r="B174" s="340" t="s">
        <v>558</v>
      </c>
    </row>
    <row r="175" spans="1:2" ht="15.75" thickBot="1">
      <c r="A175" s="339" t="s">
        <v>559</v>
      </c>
      <c r="B175" s="340" t="s">
        <v>560</v>
      </c>
    </row>
    <row r="176" spans="1:2" ht="15.75" thickBot="1">
      <c r="A176" s="337" t="s">
        <v>561</v>
      </c>
      <c r="B176" s="338" t="s">
        <v>562</v>
      </c>
    </row>
    <row r="177" spans="1:2" ht="15.75" thickBot="1">
      <c r="A177" s="339" t="s">
        <v>563</v>
      </c>
      <c r="B177" s="340" t="s">
        <v>564</v>
      </c>
    </row>
    <row r="178" spans="1:2" ht="15.75" thickBot="1">
      <c r="A178" s="337" t="s">
        <v>565</v>
      </c>
      <c r="B178" s="338" t="s">
        <v>566</v>
      </c>
    </row>
    <row r="179" spans="1:2" ht="15.75" thickBot="1">
      <c r="A179" s="339" t="s">
        <v>567</v>
      </c>
      <c r="B179" s="340" t="s">
        <v>568</v>
      </c>
    </row>
    <row r="180" spans="1:2" ht="15.75" thickBot="1">
      <c r="A180" s="337" t="s">
        <v>569</v>
      </c>
      <c r="B180" s="338" t="s">
        <v>570</v>
      </c>
    </row>
    <row r="181" spans="1:2" ht="15.75" thickBot="1">
      <c r="A181" s="339" t="s">
        <v>571</v>
      </c>
      <c r="B181" s="340" t="s">
        <v>572</v>
      </c>
    </row>
    <row r="182" spans="1:2" ht="15.75" thickBot="1">
      <c r="A182" s="337" t="s">
        <v>573</v>
      </c>
      <c r="B182" s="338" t="s">
        <v>574</v>
      </c>
    </row>
    <row r="183" spans="1:2" ht="15.75" thickBot="1">
      <c r="A183" s="339" t="s">
        <v>575</v>
      </c>
      <c r="B183" s="340" t="s">
        <v>576</v>
      </c>
    </row>
    <row r="184" spans="1:2" ht="15.75" thickBot="1">
      <c r="A184" s="337" t="s">
        <v>577</v>
      </c>
      <c r="B184" s="338" t="s">
        <v>578</v>
      </c>
    </row>
    <row r="185" spans="1:2" ht="15.75" thickBot="1">
      <c r="A185" s="339" t="s">
        <v>579</v>
      </c>
      <c r="B185" s="340" t="s">
        <v>580</v>
      </c>
    </row>
    <row r="186" spans="1:2" ht="15.75" thickBot="1">
      <c r="A186" s="337" t="s">
        <v>581</v>
      </c>
      <c r="B186" s="338" t="s">
        <v>582</v>
      </c>
    </row>
    <row r="187" spans="1:2" ht="15.75" thickBot="1">
      <c r="A187" s="339" t="s">
        <v>583</v>
      </c>
      <c r="B187" s="340" t="s">
        <v>584</v>
      </c>
    </row>
    <row r="188" spans="1:2" ht="15.75" thickBot="1">
      <c r="A188" s="337" t="s">
        <v>585</v>
      </c>
      <c r="B188" s="338" t="s">
        <v>586</v>
      </c>
    </row>
    <row r="189" spans="1:2" ht="15.75" thickBot="1">
      <c r="A189" s="339" t="s">
        <v>587</v>
      </c>
      <c r="B189" s="340" t="s">
        <v>588</v>
      </c>
    </row>
    <row r="190" spans="1:2" ht="15.75" thickBot="1">
      <c r="A190" s="337" t="s">
        <v>589</v>
      </c>
      <c r="B190" s="338" t="s">
        <v>590</v>
      </c>
    </row>
    <row r="191" spans="1:2" ht="15.75" thickBot="1">
      <c r="A191" s="339" t="s">
        <v>591</v>
      </c>
      <c r="B191" s="340" t="s">
        <v>592</v>
      </c>
    </row>
    <row r="192" spans="1:2" ht="15.75" thickBot="1">
      <c r="A192" s="337" t="s">
        <v>593</v>
      </c>
      <c r="B192" s="338" t="s">
        <v>594</v>
      </c>
    </row>
    <row r="193" spans="1:2" ht="15.75" thickBot="1">
      <c r="A193" s="339" t="s">
        <v>595</v>
      </c>
      <c r="B193" s="340" t="s">
        <v>596</v>
      </c>
    </row>
    <row r="194" spans="1:2" ht="15.75" thickBot="1">
      <c r="A194" s="337" t="s">
        <v>597</v>
      </c>
      <c r="B194" s="338" t="s">
        <v>598</v>
      </c>
    </row>
    <row r="195" spans="1:2" ht="15.75" thickBot="1">
      <c r="A195" s="339" t="s">
        <v>599</v>
      </c>
      <c r="B195" s="340" t="s">
        <v>600</v>
      </c>
    </row>
    <row r="196" spans="1:2" ht="15.75" thickBot="1">
      <c r="A196" s="337" t="s">
        <v>601</v>
      </c>
      <c r="B196" s="338" t="s">
        <v>602</v>
      </c>
    </row>
    <row r="197" spans="1:2" ht="15.75" thickBot="1">
      <c r="A197" s="339" t="s">
        <v>603</v>
      </c>
      <c r="B197" s="340" t="s">
        <v>604</v>
      </c>
    </row>
    <row r="198" spans="1:2" ht="15.75" thickBot="1">
      <c r="A198" s="337" t="s">
        <v>605</v>
      </c>
      <c r="B198" s="338" t="s">
        <v>606</v>
      </c>
    </row>
    <row r="199" spans="1:2" ht="15.75" thickBot="1">
      <c r="A199" s="339" t="s">
        <v>607</v>
      </c>
      <c r="B199" s="340" t="s">
        <v>608</v>
      </c>
    </row>
    <row r="200" spans="1:2" ht="15.75" thickBot="1">
      <c r="A200" s="337" t="s">
        <v>609</v>
      </c>
      <c r="B200" s="338" t="s">
        <v>610</v>
      </c>
    </row>
    <row r="201" spans="1:2" ht="15.75" thickBot="1">
      <c r="A201" s="339" t="s">
        <v>611</v>
      </c>
      <c r="B201" s="340" t="s">
        <v>612</v>
      </c>
    </row>
    <row r="202" spans="1:2" ht="15.75" thickBot="1">
      <c r="A202" s="337" t="s">
        <v>613</v>
      </c>
      <c r="B202" s="338" t="s">
        <v>614</v>
      </c>
    </row>
    <row r="203" spans="1:2" ht="15.75" thickBot="1">
      <c r="A203" s="339" t="s">
        <v>615</v>
      </c>
      <c r="B203" s="340" t="s">
        <v>616</v>
      </c>
    </row>
    <row r="204" spans="1:2" ht="15.75" thickBot="1">
      <c r="A204" s="337" t="s">
        <v>617</v>
      </c>
      <c r="B204" s="338" t="s">
        <v>618</v>
      </c>
    </row>
    <row r="205" spans="1:2" ht="15.75" thickBot="1">
      <c r="A205" s="339" t="s">
        <v>619</v>
      </c>
      <c r="B205" s="340" t="s">
        <v>620</v>
      </c>
    </row>
    <row r="206" spans="1:2" ht="15.75" thickBot="1">
      <c r="A206" s="339" t="s">
        <v>621</v>
      </c>
      <c r="B206" s="340" t="s">
        <v>622</v>
      </c>
    </row>
    <row r="207" spans="1:2" ht="15.75" thickBot="1">
      <c r="A207" s="339" t="s">
        <v>623</v>
      </c>
      <c r="B207" s="340" t="s">
        <v>624</v>
      </c>
    </row>
    <row r="208" spans="1:2" ht="15.75" thickBot="1">
      <c r="A208" s="337" t="s">
        <v>625</v>
      </c>
      <c r="B208" s="338" t="s">
        <v>626</v>
      </c>
    </row>
    <row r="209" spans="1:2" ht="15.75" thickBot="1">
      <c r="A209" s="339" t="s">
        <v>627</v>
      </c>
      <c r="B209" s="340" t="s">
        <v>628</v>
      </c>
    </row>
    <row r="210" spans="1:2" ht="15.75" thickBot="1">
      <c r="A210" s="337" t="s">
        <v>629</v>
      </c>
      <c r="B210" s="338" t="s">
        <v>630</v>
      </c>
    </row>
    <row r="211" spans="1:2" ht="15.75" thickBot="1">
      <c r="A211" s="339" t="s">
        <v>631</v>
      </c>
      <c r="B211" s="340" t="s">
        <v>632</v>
      </c>
    </row>
    <row r="212" spans="1:2" ht="15.75" thickBot="1">
      <c r="A212" s="337" t="s">
        <v>633</v>
      </c>
      <c r="B212" s="338" t="s">
        <v>634</v>
      </c>
    </row>
    <row r="213" spans="1:2" ht="15.75" thickBot="1">
      <c r="A213" s="339" t="s">
        <v>635</v>
      </c>
      <c r="B213" s="340" t="s">
        <v>636</v>
      </c>
    </row>
    <row r="214" spans="1:2" ht="15.75" thickBot="1">
      <c r="A214" s="337" t="s">
        <v>637</v>
      </c>
      <c r="B214" s="338" t="s">
        <v>638</v>
      </c>
    </row>
    <row r="215" spans="1:2" ht="15.75" thickBot="1">
      <c r="A215" s="339" t="s">
        <v>639</v>
      </c>
      <c r="B215" s="340" t="s">
        <v>640</v>
      </c>
    </row>
    <row r="216" spans="1:2" ht="15.75" thickBot="1">
      <c r="A216" s="337" t="s">
        <v>641</v>
      </c>
      <c r="B216" s="338" t="s">
        <v>642</v>
      </c>
    </row>
    <row r="217" spans="1:2" ht="15.75" thickBot="1">
      <c r="A217" s="339" t="s">
        <v>643</v>
      </c>
      <c r="B217" s="340" t="s">
        <v>644</v>
      </c>
    </row>
    <row r="218" spans="1:2" ht="15.75" thickBot="1">
      <c r="A218" s="339" t="s">
        <v>645</v>
      </c>
      <c r="B218" s="340" t="s">
        <v>646</v>
      </c>
    </row>
    <row r="219" spans="1:2" ht="15.75" thickBot="1">
      <c r="A219" s="337" t="s">
        <v>647</v>
      </c>
      <c r="B219" s="338" t="s">
        <v>648</v>
      </c>
    </row>
    <row r="220" spans="1:2" ht="15.75" thickBot="1">
      <c r="A220" s="339" t="s">
        <v>649</v>
      </c>
      <c r="B220" s="340" t="s">
        <v>650</v>
      </c>
    </row>
    <row r="221" spans="1:2" ht="15.75" thickBot="1">
      <c r="A221" s="337" t="s">
        <v>651</v>
      </c>
      <c r="B221" s="338" t="s">
        <v>652</v>
      </c>
    </row>
    <row r="222" spans="1:2" ht="15.75" thickBot="1">
      <c r="A222" s="339" t="s">
        <v>653</v>
      </c>
      <c r="B222" s="340" t="s">
        <v>654</v>
      </c>
    </row>
    <row r="223" spans="1:2" ht="15.75" thickBot="1">
      <c r="A223" s="337" t="s">
        <v>655</v>
      </c>
      <c r="B223" s="338" t="s">
        <v>656</v>
      </c>
    </row>
    <row r="224" spans="1:2" ht="15.75" thickBot="1">
      <c r="A224" s="339" t="s">
        <v>657</v>
      </c>
      <c r="B224" s="340" t="s">
        <v>658</v>
      </c>
    </row>
    <row r="225" spans="1:2" ht="15.75" thickBot="1">
      <c r="A225" s="337" t="s">
        <v>659</v>
      </c>
      <c r="B225" s="338" t="s">
        <v>660</v>
      </c>
    </row>
    <row r="226" spans="1:2" ht="15.75" thickBot="1">
      <c r="A226" s="339" t="s">
        <v>661</v>
      </c>
      <c r="B226" s="340" t="s">
        <v>662</v>
      </c>
    </row>
    <row r="227" spans="1:2" ht="15.75" thickBot="1">
      <c r="A227" s="337" t="s">
        <v>663</v>
      </c>
      <c r="B227" s="338" t="s">
        <v>664</v>
      </c>
    </row>
    <row r="228" spans="1:2" ht="15.75" thickBot="1">
      <c r="A228" s="339" t="s">
        <v>665</v>
      </c>
      <c r="B228" s="340" t="s">
        <v>666</v>
      </c>
    </row>
    <row r="229" spans="1:2" ht="15.75" thickBot="1">
      <c r="A229" s="337" t="s">
        <v>667</v>
      </c>
      <c r="B229" s="338" t="s">
        <v>668</v>
      </c>
    </row>
    <row r="230" spans="1:2" ht="15.75" thickBot="1">
      <c r="A230" s="339" t="s">
        <v>669</v>
      </c>
      <c r="B230" s="340" t="s">
        <v>670</v>
      </c>
    </row>
    <row r="231" spans="1:2" ht="15.75" thickBot="1">
      <c r="A231" s="337" t="s">
        <v>671</v>
      </c>
      <c r="B231" s="338" t="s">
        <v>672</v>
      </c>
    </row>
    <row r="232" spans="1:2" ht="15.75" thickBot="1">
      <c r="A232" s="339" t="s">
        <v>673</v>
      </c>
      <c r="B232" s="340" t="s">
        <v>674</v>
      </c>
    </row>
    <row r="233" spans="1:2" ht="15.75" thickBot="1">
      <c r="A233" s="337" t="s">
        <v>675</v>
      </c>
      <c r="B233" s="338" t="s">
        <v>676</v>
      </c>
    </row>
    <row r="234" spans="1:2" ht="15.75" thickBot="1">
      <c r="A234" s="339" t="s">
        <v>677</v>
      </c>
      <c r="B234" s="340" t="s">
        <v>678</v>
      </c>
    </row>
    <row r="235" spans="1:2" ht="15.75" thickBot="1">
      <c r="A235" s="337" t="s">
        <v>679</v>
      </c>
      <c r="B235" s="338" t="s">
        <v>680</v>
      </c>
    </row>
    <row r="236" spans="1:2" ht="15.75" thickBot="1">
      <c r="A236" s="339" t="s">
        <v>681</v>
      </c>
      <c r="B236" s="340" t="s">
        <v>682</v>
      </c>
    </row>
    <row r="237" spans="1:2" ht="15.75" thickBot="1">
      <c r="A237" s="337" t="s">
        <v>683</v>
      </c>
      <c r="B237" s="338" t="s">
        <v>684</v>
      </c>
    </row>
    <row r="238" spans="1:2" ht="15.75" thickBot="1">
      <c r="A238" s="339" t="s">
        <v>685</v>
      </c>
      <c r="B238" s="340" t="s">
        <v>686</v>
      </c>
    </row>
    <row r="239" spans="1:2" ht="15.75" thickBot="1">
      <c r="A239" s="337" t="s">
        <v>687</v>
      </c>
      <c r="B239" s="338" t="s">
        <v>688</v>
      </c>
    </row>
    <row r="240" spans="1:2" ht="15.75" thickBot="1">
      <c r="A240" s="339" t="s">
        <v>689</v>
      </c>
      <c r="B240" s="340" t="s">
        <v>690</v>
      </c>
    </row>
    <row r="241" spans="1:2" ht="15.75" thickBot="1">
      <c r="A241" s="337" t="s">
        <v>691</v>
      </c>
      <c r="B241" s="338" t="s">
        <v>692</v>
      </c>
    </row>
    <row r="242" spans="1:2" ht="15.75" thickBot="1">
      <c r="A242" s="339" t="s">
        <v>693</v>
      </c>
      <c r="B242" s="340" t="s">
        <v>694</v>
      </c>
    </row>
    <row r="243" spans="1:2" ht="15.75" thickBot="1">
      <c r="A243" s="337" t="s">
        <v>695</v>
      </c>
      <c r="B243" s="338" t="s">
        <v>696</v>
      </c>
    </row>
    <row r="244" spans="1:2" ht="15.75" thickBot="1">
      <c r="A244" s="339" t="s">
        <v>697</v>
      </c>
      <c r="B244" s="340" t="s">
        <v>698</v>
      </c>
    </row>
    <row r="245" spans="1:2" ht="15.75" thickBot="1">
      <c r="A245" s="337" t="s">
        <v>699</v>
      </c>
      <c r="B245" s="338" t="s">
        <v>700</v>
      </c>
    </row>
    <row r="246" spans="1:2" ht="15.75" thickBot="1">
      <c r="A246" s="339" t="s">
        <v>701</v>
      </c>
      <c r="B246" s="340" t="s">
        <v>702</v>
      </c>
    </row>
    <row r="247" spans="1:2" ht="15.75" thickBot="1">
      <c r="A247" s="337" t="s">
        <v>703</v>
      </c>
      <c r="B247" s="338" t="s">
        <v>704</v>
      </c>
    </row>
    <row r="248" spans="1:2" ht="15.75" thickBot="1">
      <c r="A248" s="339" t="s">
        <v>705</v>
      </c>
      <c r="B248" s="340" t="s">
        <v>706</v>
      </c>
    </row>
    <row r="249" spans="1:2" ht="15.75" thickBot="1">
      <c r="A249" s="337" t="s">
        <v>707</v>
      </c>
      <c r="B249" s="338" t="s">
        <v>708</v>
      </c>
    </row>
    <row r="250" spans="1:2" ht="15.75" thickBot="1">
      <c r="A250" s="339" t="s">
        <v>709</v>
      </c>
      <c r="B250" s="340" t="s">
        <v>710</v>
      </c>
    </row>
    <row r="251" spans="1:2" ht="15.75" thickBot="1">
      <c r="A251" s="337" t="s">
        <v>711</v>
      </c>
      <c r="B251" s="338" t="s">
        <v>712</v>
      </c>
    </row>
    <row r="252" spans="1:2" ht="15.75" thickBot="1">
      <c r="A252" s="339" t="s">
        <v>713</v>
      </c>
      <c r="B252" s="340" t="s">
        <v>714</v>
      </c>
    </row>
    <row r="253" spans="1:2" ht="15.75" thickBot="1">
      <c r="A253" s="337" t="s">
        <v>715</v>
      </c>
      <c r="B253" s="338" t="s">
        <v>716</v>
      </c>
    </row>
    <row r="254" spans="1:2" ht="15.75" thickBot="1">
      <c r="A254" s="339" t="s">
        <v>717</v>
      </c>
      <c r="B254" s="340" t="s">
        <v>718</v>
      </c>
    </row>
    <row r="255" spans="1:2" ht="15.75" thickBot="1">
      <c r="A255" s="337" t="s">
        <v>719</v>
      </c>
      <c r="B255" s="338" t="s">
        <v>720</v>
      </c>
    </row>
    <row r="256" spans="1:2" ht="15.75" thickBot="1">
      <c r="A256" s="339" t="s">
        <v>721</v>
      </c>
      <c r="B256" s="340" t="s">
        <v>722</v>
      </c>
    </row>
    <row r="257" spans="1:2" ht="15.75" thickBot="1">
      <c r="A257" s="337" t="s">
        <v>723</v>
      </c>
      <c r="B257" s="338" t="s">
        <v>724</v>
      </c>
    </row>
    <row r="258" spans="1:2" ht="15.75" thickBot="1">
      <c r="A258" s="339" t="s">
        <v>725</v>
      </c>
      <c r="B258" s="340" t="s">
        <v>726</v>
      </c>
    </row>
    <row r="259" spans="1:2" ht="15.75" thickBot="1">
      <c r="A259" s="337" t="s">
        <v>727</v>
      </c>
      <c r="B259" s="338" t="s">
        <v>728</v>
      </c>
    </row>
    <row r="260" spans="1:2" ht="15.75" thickBot="1">
      <c r="A260" s="339" t="s">
        <v>729</v>
      </c>
      <c r="B260" s="340" t="s">
        <v>730</v>
      </c>
    </row>
    <row r="261" spans="1:2" ht="15.75" thickBot="1">
      <c r="A261" s="337" t="s">
        <v>731</v>
      </c>
      <c r="B261" s="338" t="s">
        <v>732</v>
      </c>
    </row>
    <row r="262" spans="1:2" ht="15.75" thickBot="1">
      <c r="A262" s="339" t="s">
        <v>733</v>
      </c>
      <c r="B262" s="340" t="s">
        <v>734</v>
      </c>
    </row>
    <row r="263" spans="1:2" ht="15.75" thickBot="1">
      <c r="A263" s="337" t="s">
        <v>735</v>
      </c>
      <c r="B263" s="338" t="s">
        <v>736</v>
      </c>
    </row>
    <row r="264" spans="1:2" ht="15.75" thickBot="1">
      <c r="A264" s="339" t="s">
        <v>737</v>
      </c>
      <c r="B264" s="340" t="s">
        <v>738</v>
      </c>
    </row>
    <row r="265" spans="1:2" ht="15.75" thickBot="1">
      <c r="A265" s="337" t="s">
        <v>739</v>
      </c>
      <c r="B265" s="338" t="s">
        <v>740</v>
      </c>
    </row>
    <row r="266" spans="1:2" ht="15.75" thickBot="1">
      <c r="A266" s="339" t="s">
        <v>741</v>
      </c>
      <c r="B266" s="340" t="s">
        <v>742</v>
      </c>
    </row>
    <row r="267" spans="1:2" ht="15.75" thickBot="1">
      <c r="A267" s="337" t="s">
        <v>743</v>
      </c>
      <c r="B267" s="338" t="s">
        <v>744</v>
      </c>
    </row>
    <row r="268" spans="1:2" ht="15.75" thickBot="1">
      <c r="A268" s="339" t="s">
        <v>745</v>
      </c>
      <c r="B268" s="340" t="s">
        <v>746</v>
      </c>
    </row>
    <row r="269" spans="1:2" ht="15.75" thickBot="1">
      <c r="A269" s="337" t="s">
        <v>747</v>
      </c>
      <c r="B269" s="338" t="s">
        <v>748</v>
      </c>
    </row>
    <row r="270" spans="1:2" ht="15.75" thickBot="1">
      <c r="A270" s="339" t="s">
        <v>749</v>
      </c>
      <c r="B270" s="340" t="s">
        <v>750</v>
      </c>
    </row>
    <row r="271" spans="1:2" ht="15.75" thickBot="1">
      <c r="A271" s="337" t="s">
        <v>751</v>
      </c>
      <c r="B271" s="338" t="s">
        <v>752</v>
      </c>
    </row>
    <row r="272" spans="1:2" ht="15.75" thickBot="1">
      <c r="A272" s="339" t="s">
        <v>753</v>
      </c>
      <c r="B272" s="340" t="s">
        <v>754</v>
      </c>
    </row>
    <row r="273" spans="1:2" ht="15.75" thickBot="1">
      <c r="A273" s="337" t="s">
        <v>755</v>
      </c>
      <c r="B273" s="338" t="s">
        <v>756</v>
      </c>
    </row>
    <row r="274" spans="1:2" ht="15.75" thickBot="1">
      <c r="A274" s="339" t="s">
        <v>757</v>
      </c>
      <c r="B274" s="340" t="s">
        <v>758</v>
      </c>
    </row>
    <row r="275" spans="1:2" ht="15.75" thickBot="1">
      <c r="A275" s="337" t="s">
        <v>759</v>
      </c>
      <c r="B275" s="338" t="s">
        <v>760</v>
      </c>
    </row>
    <row r="276" spans="1:2" ht="15.75" thickBot="1">
      <c r="A276" s="339" t="s">
        <v>761</v>
      </c>
      <c r="B276" s="340" t="s">
        <v>762</v>
      </c>
    </row>
    <row r="277" spans="1:2" ht="15.75" thickBot="1">
      <c r="A277" s="337" t="s">
        <v>763</v>
      </c>
      <c r="B277" s="338" t="s">
        <v>764</v>
      </c>
    </row>
    <row r="278" spans="1:2" ht="15.75" thickBot="1">
      <c r="A278" s="339" t="s">
        <v>765</v>
      </c>
      <c r="B278" s="340" t="s">
        <v>766</v>
      </c>
    </row>
    <row r="279" spans="1:2" ht="15.75" thickBot="1">
      <c r="A279" s="337" t="s">
        <v>767</v>
      </c>
      <c r="B279" s="338" t="s">
        <v>768</v>
      </c>
    </row>
    <row r="280" spans="1:2" ht="15.75" thickBot="1">
      <c r="A280" s="339" t="s">
        <v>769</v>
      </c>
      <c r="B280" s="340" t="s">
        <v>770</v>
      </c>
    </row>
    <row r="281" spans="1:2" ht="15.75" thickBot="1">
      <c r="A281" s="337" t="s">
        <v>771</v>
      </c>
      <c r="B281" s="338" t="s">
        <v>772</v>
      </c>
    </row>
    <row r="282" spans="1:2" ht="15.75" thickBot="1">
      <c r="A282" s="339" t="s">
        <v>773</v>
      </c>
      <c r="B282" s="340" t="s">
        <v>774</v>
      </c>
    </row>
    <row r="283" spans="1:2" ht="15.75" thickBot="1">
      <c r="A283" s="337" t="s">
        <v>775</v>
      </c>
      <c r="B283" s="338" t="s">
        <v>776</v>
      </c>
    </row>
    <row r="284" spans="1:2" ht="15.75" thickBot="1">
      <c r="A284" s="339" t="s">
        <v>777</v>
      </c>
      <c r="B284" s="340" t="s">
        <v>778</v>
      </c>
    </row>
    <row r="285" spans="1:2" ht="15.75" thickBot="1">
      <c r="A285" s="337" t="s">
        <v>779</v>
      </c>
      <c r="B285" s="338" t="s">
        <v>780</v>
      </c>
    </row>
    <row r="286" spans="1:2" ht="15.75" thickBot="1">
      <c r="A286" s="339" t="s">
        <v>781</v>
      </c>
      <c r="B286" s="340" t="s">
        <v>782</v>
      </c>
    </row>
    <row r="287" spans="1:2" ht="15.75" thickBot="1">
      <c r="A287" s="337" t="s">
        <v>783</v>
      </c>
      <c r="B287" s="338" t="s">
        <v>784</v>
      </c>
    </row>
    <row r="288" spans="1:2" ht="15.75" thickBot="1">
      <c r="A288" s="339" t="s">
        <v>785</v>
      </c>
      <c r="B288" s="340" t="s">
        <v>786</v>
      </c>
    </row>
    <row r="289" spans="1:2" ht="15.75" thickBot="1">
      <c r="A289" s="337" t="s">
        <v>787</v>
      </c>
      <c r="B289" s="338" t="s">
        <v>788</v>
      </c>
    </row>
    <row r="290" spans="1:2" ht="15.75" thickBot="1">
      <c r="A290" s="339" t="s">
        <v>789</v>
      </c>
      <c r="B290" s="340" t="s">
        <v>790</v>
      </c>
    </row>
    <row r="291" spans="1:2" ht="15.75" thickBot="1">
      <c r="A291" s="337" t="s">
        <v>791</v>
      </c>
      <c r="B291" s="338" t="s">
        <v>792</v>
      </c>
    </row>
    <row r="292" spans="1:2" ht="15.75" thickBot="1">
      <c r="A292" s="337" t="s">
        <v>793</v>
      </c>
      <c r="B292" s="338" t="s">
        <v>794</v>
      </c>
    </row>
    <row r="293" spans="1:2" ht="15.75" thickBot="1">
      <c r="A293" s="339" t="s">
        <v>795</v>
      </c>
      <c r="B293" s="340" t="s">
        <v>796</v>
      </c>
    </row>
    <row r="294" spans="1:2" ht="15.75" thickBot="1">
      <c r="A294" s="337" t="s">
        <v>797</v>
      </c>
      <c r="B294" s="338" t="s">
        <v>798</v>
      </c>
    </row>
    <row r="295" spans="1:2" ht="15.75" thickBot="1">
      <c r="A295" s="339" t="s">
        <v>799</v>
      </c>
      <c r="B295" s="340" t="s">
        <v>800</v>
      </c>
    </row>
    <row r="296" spans="1:2" ht="15.75" thickBot="1">
      <c r="A296" s="337" t="s">
        <v>801</v>
      </c>
      <c r="B296" s="338" t="s">
        <v>802</v>
      </c>
    </row>
    <row r="297" spans="1:2" ht="15.75" thickBot="1">
      <c r="A297" s="339" t="s">
        <v>803</v>
      </c>
      <c r="B297" s="340" t="s">
        <v>804</v>
      </c>
    </row>
    <row r="298" spans="1:2" ht="15.75" thickBot="1">
      <c r="A298" s="337" t="s">
        <v>805</v>
      </c>
      <c r="B298" s="338" t="s">
        <v>806</v>
      </c>
    </row>
    <row r="299" spans="1:2" ht="15.75" thickBot="1">
      <c r="A299" s="339" t="s">
        <v>807</v>
      </c>
      <c r="B299" s="340" t="s">
        <v>808</v>
      </c>
    </row>
    <row r="300" spans="1:2" ht="15.75" thickBot="1">
      <c r="A300" s="337" t="s">
        <v>809</v>
      </c>
      <c r="B300" s="338" t="s">
        <v>810</v>
      </c>
    </row>
    <row r="301" spans="1:2" ht="15.75" thickBot="1">
      <c r="A301" s="339" t="s">
        <v>811</v>
      </c>
      <c r="B301" s="340" t="s">
        <v>812</v>
      </c>
    </row>
    <row r="302" spans="1:2" ht="15.75" thickBot="1">
      <c r="A302" s="337" t="s">
        <v>813</v>
      </c>
      <c r="B302" s="338" t="s">
        <v>814</v>
      </c>
    </row>
    <row r="303" spans="1:2" ht="15.75" thickBot="1">
      <c r="A303" s="339" t="s">
        <v>815</v>
      </c>
      <c r="B303" s="340" t="s">
        <v>816</v>
      </c>
    </row>
    <row r="304" spans="1:2" ht="15.75" thickBot="1">
      <c r="A304" s="337" t="s">
        <v>817</v>
      </c>
      <c r="B304" s="338" t="s">
        <v>818</v>
      </c>
    </row>
    <row r="305" spans="1:2" ht="15.75" thickBot="1">
      <c r="A305" s="339" t="s">
        <v>819</v>
      </c>
      <c r="B305" s="340" t="s">
        <v>820</v>
      </c>
    </row>
    <row r="306" spans="1:2" ht="15.75" thickBot="1">
      <c r="A306" s="337" t="s">
        <v>821</v>
      </c>
      <c r="B306" s="338" t="s">
        <v>822</v>
      </c>
    </row>
    <row r="307" spans="1:2" ht="15.75" thickBot="1">
      <c r="A307" s="339" t="s">
        <v>823</v>
      </c>
      <c r="B307" s="340" t="s">
        <v>824</v>
      </c>
    </row>
    <row r="308" spans="1:2" ht="15.75" thickBot="1">
      <c r="A308" s="337" t="s">
        <v>825</v>
      </c>
      <c r="B308" s="338" t="s">
        <v>826</v>
      </c>
    </row>
    <row r="309" spans="1:2" ht="15.75" thickBot="1">
      <c r="A309" s="339" t="s">
        <v>827</v>
      </c>
      <c r="B309" s="340" t="s">
        <v>828</v>
      </c>
    </row>
    <row r="310" spans="1:2" ht="15.75" thickBot="1">
      <c r="A310" s="337" t="s">
        <v>829</v>
      </c>
      <c r="B310" s="338" t="s">
        <v>830</v>
      </c>
    </row>
    <row r="311" spans="1:2" ht="15.75" thickBot="1">
      <c r="A311" s="339" t="s">
        <v>831</v>
      </c>
      <c r="B311" s="340" t="s">
        <v>832</v>
      </c>
    </row>
    <row r="312" spans="1:2" ht="15.75" thickBot="1">
      <c r="A312" s="337" t="s">
        <v>833</v>
      </c>
      <c r="B312" s="338" t="s">
        <v>834</v>
      </c>
    </row>
    <row r="313" spans="1:2" ht="15.75" thickBot="1">
      <c r="A313" s="339" t="s">
        <v>835</v>
      </c>
      <c r="B313" s="340" t="s">
        <v>836</v>
      </c>
    </row>
    <row r="314" spans="1:2" ht="15.75" thickBot="1">
      <c r="A314" s="337" t="s">
        <v>837</v>
      </c>
      <c r="B314" s="338" t="s">
        <v>838</v>
      </c>
    </row>
    <row r="315" spans="1:2" ht="15.75" thickBot="1">
      <c r="A315" s="339" t="s">
        <v>839</v>
      </c>
      <c r="B315" s="340" t="s">
        <v>840</v>
      </c>
    </row>
    <row r="316" spans="1:2" ht="15.75" thickBot="1">
      <c r="A316" s="337" t="s">
        <v>841</v>
      </c>
      <c r="B316" s="338" t="s">
        <v>842</v>
      </c>
    </row>
    <row r="317" spans="1:2" ht="15.75" thickBot="1">
      <c r="A317" s="339" t="s">
        <v>843</v>
      </c>
      <c r="B317" s="340" t="s">
        <v>844</v>
      </c>
    </row>
    <row r="318" spans="1:2" ht="15.75" thickBot="1">
      <c r="A318" s="337" t="s">
        <v>845</v>
      </c>
      <c r="B318" s="338" t="s">
        <v>846</v>
      </c>
    </row>
    <row r="319" spans="1:2" ht="15.75" thickBot="1">
      <c r="A319" s="339" t="s">
        <v>847</v>
      </c>
      <c r="B319" s="340" t="s">
        <v>848</v>
      </c>
    </row>
    <row r="320" spans="1:2" ht="15.75" thickBot="1">
      <c r="A320" s="337" t="s">
        <v>849</v>
      </c>
      <c r="B320" s="338" t="s">
        <v>850</v>
      </c>
    </row>
    <row r="321" spans="1:2" ht="15.75" thickBot="1">
      <c r="A321" s="339" t="s">
        <v>851</v>
      </c>
      <c r="B321" s="340" t="s">
        <v>852</v>
      </c>
    </row>
    <row r="322" spans="1:2" ht="15.75" thickBot="1">
      <c r="A322" s="337" t="s">
        <v>853</v>
      </c>
      <c r="B322" s="338" t="s">
        <v>854</v>
      </c>
    </row>
    <row r="323" spans="1:2" ht="15.75" thickBot="1">
      <c r="A323" s="339" t="s">
        <v>855</v>
      </c>
      <c r="B323" s="340" t="s">
        <v>856</v>
      </c>
    </row>
    <row r="324" spans="1:2" ht="15.75" thickBot="1">
      <c r="A324" s="337" t="s">
        <v>857</v>
      </c>
      <c r="B324" s="338" t="s">
        <v>858</v>
      </c>
    </row>
    <row r="325" spans="1:2" ht="15.75" thickBot="1">
      <c r="A325" s="339" t="s">
        <v>859</v>
      </c>
      <c r="B325" s="340" t="s">
        <v>860</v>
      </c>
    </row>
    <row r="326" spans="1:2" ht="15.75" thickBot="1">
      <c r="A326" s="337" t="s">
        <v>861</v>
      </c>
      <c r="B326" s="338" t="s">
        <v>862</v>
      </c>
    </row>
    <row r="327" spans="1:2" ht="15.75" thickBot="1">
      <c r="A327" s="339" t="s">
        <v>863</v>
      </c>
      <c r="B327" s="340" t="s">
        <v>864</v>
      </c>
    </row>
    <row r="328" spans="1:2" ht="15.75" thickBot="1">
      <c r="A328" s="337" t="s">
        <v>865</v>
      </c>
      <c r="B328" s="338" t="s">
        <v>866</v>
      </c>
    </row>
    <row r="329" spans="1:2" ht="15.75" thickBot="1">
      <c r="A329" s="339" t="s">
        <v>867</v>
      </c>
      <c r="B329" s="340" t="s">
        <v>868</v>
      </c>
    </row>
    <row r="330" spans="1:2" ht="15.75" thickBot="1">
      <c r="A330" s="337" t="s">
        <v>869</v>
      </c>
      <c r="B330" s="338" t="s">
        <v>870</v>
      </c>
    </row>
    <row r="331" spans="1:2" ht="15.75" thickBot="1">
      <c r="A331" s="339" t="s">
        <v>871</v>
      </c>
      <c r="B331" s="340" t="s">
        <v>872</v>
      </c>
    </row>
    <row r="332" spans="1:2" ht="15.75" thickBot="1">
      <c r="A332" s="337" t="s">
        <v>873</v>
      </c>
      <c r="B332" s="338" t="s">
        <v>874</v>
      </c>
    </row>
    <row r="333" spans="1:2" ht="15.75" thickBot="1">
      <c r="A333" s="339" t="s">
        <v>875</v>
      </c>
      <c r="B333" s="340" t="s">
        <v>876</v>
      </c>
    </row>
    <row r="334" spans="1:2" ht="15.75" thickBot="1">
      <c r="A334" s="337" t="s">
        <v>877</v>
      </c>
      <c r="B334" s="338" t="s">
        <v>878</v>
      </c>
    </row>
    <row r="335" spans="1:2" ht="15.75" thickBot="1">
      <c r="A335" s="339" t="s">
        <v>879</v>
      </c>
      <c r="B335" s="340" t="s">
        <v>880</v>
      </c>
    </row>
    <row r="336" spans="1:2" ht="15.75" thickBot="1">
      <c r="A336" s="337" t="s">
        <v>881</v>
      </c>
      <c r="B336" s="338" t="s">
        <v>882</v>
      </c>
    </row>
    <row r="337" spans="1:2" ht="15.75" thickBot="1">
      <c r="A337" s="339" t="s">
        <v>883</v>
      </c>
      <c r="B337" s="340" t="s">
        <v>884</v>
      </c>
    </row>
    <row r="338" spans="1:2" ht="15.75" thickBot="1">
      <c r="A338" s="337" t="s">
        <v>885</v>
      </c>
      <c r="B338" s="338" t="s">
        <v>886</v>
      </c>
    </row>
    <row r="339" spans="1:2" ht="15.75" thickBot="1">
      <c r="A339" s="339" t="s">
        <v>887</v>
      </c>
      <c r="B339" s="340" t="s">
        <v>888</v>
      </c>
    </row>
    <row r="340" spans="1:2" ht="15.75" thickBot="1">
      <c r="A340" s="337" t="s">
        <v>889</v>
      </c>
      <c r="B340" s="338" t="s">
        <v>890</v>
      </c>
    </row>
    <row r="341" spans="1:2" ht="15.75" thickBot="1">
      <c r="A341" s="339" t="s">
        <v>891</v>
      </c>
      <c r="B341" s="340" t="s">
        <v>892</v>
      </c>
    </row>
    <row r="342" spans="1:2" ht="15.75" thickBot="1">
      <c r="A342" s="337" t="s">
        <v>893</v>
      </c>
      <c r="B342" s="338" t="s">
        <v>894</v>
      </c>
    </row>
    <row r="343" spans="1:2" ht="15.75" thickBot="1">
      <c r="A343" s="339" t="s">
        <v>895</v>
      </c>
      <c r="B343" s="340" t="s">
        <v>896</v>
      </c>
    </row>
    <row r="344" spans="1:2" ht="15.75" thickBot="1">
      <c r="A344" s="337" t="s">
        <v>897</v>
      </c>
      <c r="B344" s="338" t="s">
        <v>898</v>
      </c>
    </row>
    <row r="345" spans="1:2" ht="15.75" thickBot="1">
      <c r="A345" s="339" t="s">
        <v>899</v>
      </c>
      <c r="B345" s="340" t="s">
        <v>900</v>
      </c>
    </row>
    <row r="346" spans="1:2" ht="15.75" thickBot="1">
      <c r="A346" s="337" t="s">
        <v>901</v>
      </c>
      <c r="B346" s="338" t="s">
        <v>902</v>
      </c>
    </row>
    <row r="347" spans="1:2" ht="15.75" thickBot="1">
      <c r="A347" s="339" t="s">
        <v>903</v>
      </c>
      <c r="B347" s="340" t="s">
        <v>904</v>
      </c>
    </row>
    <row r="348" spans="1:2" ht="15.75" thickBot="1">
      <c r="A348" s="337" t="s">
        <v>905</v>
      </c>
      <c r="B348" s="338" t="s">
        <v>906</v>
      </c>
    </row>
    <row r="349" spans="1:2" ht="15.75" thickBot="1">
      <c r="A349" s="339" t="s">
        <v>907</v>
      </c>
      <c r="B349" s="340" t="s">
        <v>870</v>
      </c>
    </row>
    <row r="350" spans="1:2" ht="15.75" thickBot="1">
      <c r="A350" s="339" t="s">
        <v>908</v>
      </c>
      <c r="B350" s="340" t="s">
        <v>909</v>
      </c>
    </row>
    <row r="351" spans="1:2" ht="15.75" thickBot="1">
      <c r="A351" s="337" t="s">
        <v>910</v>
      </c>
      <c r="B351" s="338" t="s">
        <v>911</v>
      </c>
    </row>
    <row r="352" spans="1:2" ht="15.75" thickBot="1">
      <c r="A352" s="339" t="s">
        <v>912</v>
      </c>
      <c r="B352" s="340" t="s">
        <v>913</v>
      </c>
    </row>
    <row r="353" spans="1:2" ht="15.75" thickBot="1">
      <c r="A353" s="337" t="s">
        <v>914</v>
      </c>
      <c r="B353" s="338" t="s">
        <v>915</v>
      </c>
    </row>
    <row r="354" spans="1:2" ht="15.75" thickBot="1">
      <c r="A354" s="339" t="s">
        <v>916</v>
      </c>
      <c r="B354" s="340" t="s">
        <v>917</v>
      </c>
    </row>
    <row r="355" spans="1:2" ht="15.75" thickBot="1">
      <c r="A355" s="337" t="s">
        <v>918</v>
      </c>
      <c r="B355" s="338" t="s">
        <v>919</v>
      </c>
    </row>
    <row r="356" spans="1:2" ht="15.75" thickBot="1">
      <c r="A356" s="339" t="s">
        <v>920</v>
      </c>
      <c r="B356" s="340" t="s">
        <v>921</v>
      </c>
    </row>
    <row r="357" spans="1:2" ht="15.75" thickBot="1">
      <c r="A357" s="337" t="s">
        <v>922</v>
      </c>
      <c r="B357" s="338" t="s">
        <v>923</v>
      </c>
    </row>
    <row r="358" spans="1:2" ht="15.75" thickBot="1">
      <c r="A358" s="339" t="s">
        <v>924</v>
      </c>
      <c r="B358" s="340" t="s">
        <v>925</v>
      </c>
    </row>
    <row r="359" spans="1:2" ht="15.75" thickBot="1">
      <c r="A359" s="337" t="s">
        <v>926</v>
      </c>
      <c r="B359" s="338" t="s">
        <v>927</v>
      </c>
    </row>
    <row r="360" spans="1:2" ht="15.75" thickBot="1">
      <c r="A360" s="339" t="s">
        <v>928</v>
      </c>
      <c r="B360" s="340" t="s">
        <v>929</v>
      </c>
    </row>
    <row r="361" spans="1:2" ht="15.75" thickBot="1">
      <c r="A361" s="337" t="s">
        <v>930</v>
      </c>
      <c r="B361" s="338" t="s">
        <v>931</v>
      </c>
    </row>
    <row r="362" spans="1:2" ht="15.75" thickBot="1">
      <c r="A362" s="339" t="s">
        <v>932</v>
      </c>
      <c r="B362" s="340" t="s">
        <v>933</v>
      </c>
    </row>
    <row r="363" spans="1:2" ht="15.75" thickBot="1">
      <c r="A363" s="337" t="s">
        <v>934</v>
      </c>
      <c r="B363" s="338" t="s">
        <v>935</v>
      </c>
    </row>
    <row r="364" spans="1:2" ht="15.75" thickBot="1">
      <c r="A364" s="339" t="s">
        <v>936</v>
      </c>
      <c r="B364" s="340" t="s">
        <v>937</v>
      </c>
    </row>
    <row r="365" spans="1:2" ht="15.75" thickBot="1">
      <c r="A365" s="337" t="s">
        <v>938</v>
      </c>
      <c r="B365" s="338" t="s">
        <v>939</v>
      </c>
    </row>
    <row r="366" spans="1:2" ht="15.75" thickBot="1">
      <c r="A366" s="339" t="s">
        <v>940</v>
      </c>
      <c r="B366" s="340" t="s">
        <v>941</v>
      </c>
    </row>
    <row r="367" spans="1:2" ht="15.75" thickBot="1">
      <c r="A367" s="337" t="s">
        <v>942</v>
      </c>
      <c r="B367" s="338" t="s">
        <v>943</v>
      </c>
    </row>
    <row r="368" spans="1:2" ht="15.75" thickBot="1">
      <c r="A368" s="339" t="s">
        <v>944</v>
      </c>
      <c r="B368" s="340" t="s">
        <v>945</v>
      </c>
    </row>
    <row r="369" spans="1:2" ht="15.75" thickBot="1">
      <c r="A369" s="337" t="s">
        <v>946</v>
      </c>
      <c r="B369" s="338" t="s">
        <v>947</v>
      </c>
    </row>
    <row r="370" spans="1:2" ht="15.75" thickBot="1">
      <c r="A370" s="339" t="s">
        <v>948</v>
      </c>
      <c r="B370" s="340" t="s">
        <v>949</v>
      </c>
    </row>
    <row r="371" spans="1:2" ht="15.75" thickBot="1">
      <c r="A371" s="337" t="s">
        <v>950</v>
      </c>
      <c r="B371" s="338" t="s">
        <v>951</v>
      </c>
    </row>
    <row r="372" spans="1:2" ht="15.75" thickBot="1">
      <c r="A372" s="339" t="s">
        <v>952</v>
      </c>
      <c r="B372" s="340" t="s">
        <v>953</v>
      </c>
    </row>
    <row r="373" spans="1:2" ht="15.75" thickBot="1">
      <c r="A373" s="337" t="s">
        <v>954</v>
      </c>
      <c r="B373" s="338" t="s">
        <v>955</v>
      </c>
    </row>
    <row r="374" spans="1:2" ht="15.75" thickBot="1">
      <c r="A374" s="339" t="s">
        <v>956</v>
      </c>
      <c r="B374" s="340" t="s">
        <v>957</v>
      </c>
    </row>
    <row r="375" spans="1:2" ht="15.75" thickBot="1">
      <c r="A375" s="337" t="s">
        <v>958</v>
      </c>
      <c r="B375" s="338" t="s">
        <v>959</v>
      </c>
    </row>
    <row r="376" spans="1:2" ht="15.75" thickBot="1">
      <c r="A376" s="339" t="s">
        <v>960</v>
      </c>
      <c r="B376" s="340" t="s">
        <v>961</v>
      </c>
    </row>
    <row r="377" spans="1:2" ht="15.75" thickBot="1">
      <c r="A377" s="337" t="s">
        <v>962</v>
      </c>
      <c r="B377" s="338" t="s">
        <v>963</v>
      </c>
    </row>
    <row r="378" spans="1:2" ht="15.75" thickBot="1">
      <c r="A378" s="339" t="s">
        <v>964</v>
      </c>
      <c r="B378" s="340" t="s">
        <v>965</v>
      </c>
    </row>
    <row r="379" spans="1:2" ht="15.75" thickBot="1">
      <c r="A379" s="337" t="s">
        <v>966</v>
      </c>
      <c r="B379" s="338" t="s">
        <v>967</v>
      </c>
    </row>
    <row r="380" spans="1:2" ht="15.75" thickBot="1">
      <c r="A380" s="339" t="s">
        <v>968</v>
      </c>
      <c r="B380" s="340" t="s">
        <v>969</v>
      </c>
    </row>
    <row r="381" spans="1:2" ht="15.75" thickBot="1">
      <c r="A381" s="337" t="s">
        <v>970</v>
      </c>
      <c r="B381" s="338" t="s">
        <v>971</v>
      </c>
    </row>
    <row r="382" spans="1:2" ht="15.75" thickBot="1">
      <c r="A382" s="339" t="s">
        <v>972</v>
      </c>
      <c r="B382" s="340" t="s">
        <v>973</v>
      </c>
    </row>
    <row r="383" spans="1:2" ht="15.75" thickBot="1">
      <c r="A383" s="337" t="s">
        <v>974</v>
      </c>
      <c r="B383" s="338" t="s">
        <v>975</v>
      </c>
    </row>
    <row r="384" spans="1:2" ht="15.75" thickBot="1">
      <c r="A384" s="339" t="s">
        <v>976</v>
      </c>
      <c r="B384" s="340" t="s">
        <v>977</v>
      </c>
    </row>
    <row r="385" spans="1:2" ht="15.75" thickBot="1">
      <c r="A385" s="337" t="s">
        <v>978</v>
      </c>
      <c r="B385" s="338" t="s">
        <v>979</v>
      </c>
    </row>
    <row r="386" spans="1:2" ht="15.75" thickBot="1">
      <c r="A386" s="339" t="s">
        <v>980</v>
      </c>
      <c r="B386" s="340" t="s">
        <v>981</v>
      </c>
    </row>
    <row r="387" spans="1:2" ht="15.75" thickBot="1">
      <c r="A387" s="337" t="s">
        <v>982</v>
      </c>
      <c r="B387" s="338" t="s">
        <v>983</v>
      </c>
    </row>
    <row r="388" spans="1:2" ht="15.75" thickBot="1">
      <c r="A388" s="339" t="s">
        <v>984</v>
      </c>
      <c r="B388" s="340" t="s">
        <v>985</v>
      </c>
    </row>
    <row r="389" spans="1:2" ht="15.75" thickBot="1">
      <c r="A389" s="337" t="s">
        <v>986</v>
      </c>
      <c r="B389" s="338" t="s">
        <v>987</v>
      </c>
    </row>
    <row r="390" spans="1:2" ht="15.75" thickBot="1">
      <c r="A390" s="339" t="s">
        <v>988</v>
      </c>
      <c r="B390" s="340" t="s">
        <v>989</v>
      </c>
    </row>
    <row r="391" spans="1:2" ht="15.75" thickBot="1">
      <c r="A391" s="337" t="s">
        <v>990</v>
      </c>
      <c r="B391" s="338" t="s">
        <v>991</v>
      </c>
    </row>
    <row r="392" spans="1:2" ht="15.75" thickBot="1">
      <c r="A392" s="339" t="s">
        <v>992</v>
      </c>
      <c r="B392" s="340" t="s">
        <v>993</v>
      </c>
    </row>
    <row r="393" spans="1:2" ht="15.75" thickBot="1">
      <c r="A393" s="337" t="s">
        <v>994</v>
      </c>
      <c r="B393" s="338" t="s">
        <v>995</v>
      </c>
    </row>
    <row r="394" spans="1:2" ht="15.75" thickBot="1">
      <c r="A394" s="339" t="s">
        <v>996</v>
      </c>
      <c r="B394" s="340" t="s">
        <v>997</v>
      </c>
    </row>
    <row r="395" spans="1:2" ht="15.75" thickBot="1">
      <c r="A395" s="337" t="s">
        <v>998</v>
      </c>
      <c r="B395" s="338" t="s">
        <v>999</v>
      </c>
    </row>
    <row r="396" spans="1:2" ht="15.75" thickBot="1">
      <c r="A396" s="339" t="s">
        <v>1000</v>
      </c>
      <c r="B396" s="340" t="s">
        <v>1001</v>
      </c>
    </row>
    <row r="397" spans="1:2" ht="15.75" thickBot="1">
      <c r="A397" s="337" t="s">
        <v>1002</v>
      </c>
      <c r="B397" s="338" t="s">
        <v>1003</v>
      </c>
    </row>
    <row r="398" spans="1:2" ht="15.75" thickBot="1">
      <c r="A398" s="339" t="s">
        <v>1004</v>
      </c>
      <c r="B398" s="340" t="s">
        <v>1005</v>
      </c>
    </row>
    <row r="399" spans="1:2" ht="15.75" thickBot="1">
      <c r="A399" s="337" t="s">
        <v>1006</v>
      </c>
      <c r="B399" s="338" t="s">
        <v>1007</v>
      </c>
    </row>
    <row r="400" spans="1:2" ht="15.75" thickBot="1">
      <c r="A400" s="339" t="s">
        <v>1008</v>
      </c>
      <c r="B400" s="340" t="s">
        <v>1009</v>
      </c>
    </row>
    <row r="401" spans="1:2" ht="15.75" thickBot="1">
      <c r="A401" s="337" t="s">
        <v>1010</v>
      </c>
      <c r="B401" s="338" t="s">
        <v>1011</v>
      </c>
    </row>
    <row r="402" spans="1:2" ht="15.75" thickBot="1">
      <c r="A402" s="339" t="s">
        <v>1012</v>
      </c>
      <c r="B402" s="340" t="s">
        <v>1013</v>
      </c>
    </row>
    <row r="403" spans="1:2" ht="15.75" thickBot="1">
      <c r="A403" s="337" t="s">
        <v>1014</v>
      </c>
      <c r="B403" s="338" t="s">
        <v>1015</v>
      </c>
    </row>
    <row r="404" spans="1:2" ht="15.75" thickBot="1">
      <c r="A404" s="339" t="s">
        <v>1016</v>
      </c>
      <c r="B404" s="340" t="s">
        <v>1017</v>
      </c>
    </row>
    <row r="405" spans="1:2" ht="15.75" thickBot="1">
      <c r="A405" s="337" t="s">
        <v>1018</v>
      </c>
      <c r="B405" s="338" t="s">
        <v>1019</v>
      </c>
    </row>
    <row r="406" spans="1:2" ht="15.75" thickBot="1">
      <c r="A406" s="339" t="s">
        <v>1020</v>
      </c>
      <c r="B406" s="340" t="s">
        <v>1021</v>
      </c>
    </row>
    <row r="407" spans="1:2" ht="15.75" thickBot="1">
      <c r="A407" s="337" t="s">
        <v>1022</v>
      </c>
      <c r="B407" s="338" t="s">
        <v>1023</v>
      </c>
    </row>
    <row r="408" spans="1:2" ht="15.75" thickBot="1">
      <c r="A408" s="339" t="s">
        <v>1024</v>
      </c>
      <c r="B408" s="340" t="s">
        <v>1025</v>
      </c>
    </row>
    <row r="409" spans="1:2" ht="15.75" thickBot="1">
      <c r="A409" s="337" t="s">
        <v>1026</v>
      </c>
      <c r="B409" s="338" t="s">
        <v>1027</v>
      </c>
    </row>
    <row r="410" spans="1:2" ht="15.75" thickBot="1">
      <c r="A410" s="339" t="s">
        <v>1028</v>
      </c>
      <c r="B410" s="340" t="s">
        <v>1029</v>
      </c>
    </row>
    <row r="411" spans="1:2" ht="15.75" thickBot="1">
      <c r="A411" s="337" t="s">
        <v>1030</v>
      </c>
      <c r="B411" s="338" t="s">
        <v>1031</v>
      </c>
    </row>
    <row r="412" spans="1:2" ht="15.75" thickBot="1">
      <c r="A412" s="339" t="s">
        <v>1032</v>
      </c>
      <c r="B412" s="340" t="s">
        <v>1033</v>
      </c>
    </row>
    <row r="413" spans="1:2" ht="15.75" thickBot="1">
      <c r="A413" s="337" t="s">
        <v>1034</v>
      </c>
      <c r="B413" s="338" t="s">
        <v>1035</v>
      </c>
    </row>
    <row r="414" spans="1:2" ht="15.75" thickBot="1">
      <c r="A414" s="339" t="s">
        <v>1036</v>
      </c>
      <c r="B414" s="340" t="s">
        <v>1037</v>
      </c>
    </row>
    <row r="415" spans="1:2" ht="15.75" thickBot="1">
      <c r="A415" s="337" t="s">
        <v>1038</v>
      </c>
      <c r="B415" s="338" t="s">
        <v>1039</v>
      </c>
    </row>
    <row r="416" spans="1:2" ht="15.75" thickBot="1">
      <c r="A416" s="339" t="s">
        <v>1040</v>
      </c>
      <c r="B416" s="340" t="s">
        <v>1041</v>
      </c>
    </row>
    <row r="417" spans="1:2" ht="15.75" thickBot="1">
      <c r="A417" s="337" t="s">
        <v>1042</v>
      </c>
      <c r="B417" s="338" t="s">
        <v>1043</v>
      </c>
    </row>
    <row r="418" spans="1:2" ht="15.75" thickBot="1">
      <c r="A418" s="339" t="s">
        <v>1044</v>
      </c>
      <c r="B418" s="340" t="s">
        <v>1045</v>
      </c>
    </row>
    <row r="419" spans="1:2" ht="15.75" thickBot="1">
      <c r="A419" s="339" t="s">
        <v>1046</v>
      </c>
      <c r="B419" s="340" t="s">
        <v>1047</v>
      </c>
    </row>
    <row r="420" spans="1:2" ht="15.75" thickBot="1">
      <c r="A420" s="337" t="s">
        <v>1048</v>
      </c>
      <c r="B420" s="338" t="s">
        <v>1049</v>
      </c>
    </row>
    <row r="421" spans="1:2" ht="15.75" thickBot="1">
      <c r="A421" s="339" t="s">
        <v>1050</v>
      </c>
      <c r="B421" s="340" t="s">
        <v>1051</v>
      </c>
    </row>
    <row r="422" spans="1:2" ht="15.75" thickBot="1">
      <c r="A422" s="337" t="s">
        <v>1052</v>
      </c>
      <c r="B422" s="338" t="s">
        <v>1053</v>
      </c>
    </row>
    <row r="423" spans="1:2" ht="15.75" thickBot="1">
      <c r="A423" s="339" t="s">
        <v>1054</v>
      </c>
      <c r="B423" s="340" t="s">
        <v>1055</v>
      </c>
    </row>
    <row r="424" spans="1:2" ht="15.75" thickBot="1">
      <c r="A424" s="337" t="s">
        <v>1056</v>
      </c>
      <c r="B424" s="338" t="s">
        <v>1057</v>
      </c>
    </row>
    <row r="425" spans="1:2" ht="15.75" thickBot="1">
      <c r="A425" s="339" t="s">
        <v>1058</v>
      </c>
      <c r="B425" s="340" t="s">
        <v>1059</v>
      </c>
    </row>
    <row r="426" spans="1:2" ht="15.75" thickBot="1">
      <c r="A426" s="337" t="s">
        <v>1060</v>
      </c>
      <c r="B426" s="338" t="s">
        <v>1061</v>
      </c>
    </row>
    <row r="427" spans="1:2" ht="15.75" thickBot="1">
      <c r="A427" s="339" t="s">
        <v>1062</v>
      </c>
      <c r="B427" s="340" t="s">
        <v>1063</v>
      </c>
    </row>
    <row r="428" spans="1:2" ht="15.75" thickBot="1">
      <c r="A428" s="337" t="s">
        <v>1064</v>
      </c>
      <c r="B428" s="338" t="s">
        <v>1065</v>
      </c>
    </row>
    <row r="429" spans="1:2" ht="15.75" thickBot="1">
      <c r="A429" s="339" t="s">
        <v>1066</v>
      </c>
      <c r="B429" s="340" t="s">
        <v>1067</v>
      </c>
    </row>
    <row r="430" spans="1:2" ht="15.75" thickBot="1">
      <c r="A430" s="337" t="s">
        <v>1068</v>
      </c>
      <c r="B430" s="338" t="s">
        <v>1069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JULY 16-31, 2026</vt:lpstr>
      <vt:lpstr>SUMMARY (1-15)-D&amp;6 (2)</vt:lpstr>
      <vt:lpstr>BURS (2)</vt:lpstr>
      <vt:lpstr>DISBURSEMENT VOUCHER (2)</vt:lpstr>
      <vt:lpstr>BUR - Gross-D&amp;6</vt:lpstr>
      <vt:lpstr>DV - BIR-D&amp;6</vt:lpstr>
      <vt:lpstr> Jan 16-31, 2025 (jlb-dzm)</vt:lpstr>
      <vt:lpstr>SUMMARY (1-15)-D&amp;6</vt:lpstr>
      <vt:lpstr>DV - SSS-D&amp;6</vt:lpstr>
      <vt:lpstr>TIMEBOOK (1-15)-E</vt:lpstr>
      <vt:lpstr>SUMMARY (1-15)-E</vt:lpstr>
      <vt:lpstr>BUR - Gross-D&amp;6 (2)</vt:lpstr>
      <vt:lpstr>DV - BIR-E</vt:lpstr>
      <vt:lpstr>Reminders</vt:lpstr>
      <vt:lpstr>Accounts</vt:lpstr>
      <vt:lpstr>'SUMMARY (1-15)-D&amp;6'!Print_Area</vt:lpstr>
      <vt:lpstr>'SUMMARY (1-15)-D&amp;6 (2)'!Print_Area</vt:lpstr>
      <vt:lpstr>' Jan 16-31, 2025 (jlb-dzm)'!Print_Titles</vt:lpstr>
      <vt:lpstr>'JULY 16-31, 2026'!Print_Titles</vt:lpstr>
      <vt:lpstr>'TIMEBOOK (1-15)-E'!Print_Titles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NIA R5-Catanduanes Catanduanes</cp:lastModifiedBy>
  <cp:lastPrinted>2026-08-03T02:55:09Z</cp:lastPrinted>
  <dcterms:created xsi:type="dcterms:W3CDTF">2023-01-21T09:33:00Z</dcterms:created>
  <dcterms:modified xsi:type="dcterms:W3CDTF">2026-08-03T04:47:13Z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8377DE381E8E49B0A8DDE0569D48C610</vt:lpwstr>
  </property>
  <property fmtid="{D5CDD505-2E9C-101B-9397-08002B2CF9AE}" pid="3" name="KSOProductBuildVer">
    <vt:lpwstr>1033-12.2.0.13431</vt:lpwstr>
  </property>
</Properties>
</file>