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.THIS IS MINE\"/>
    </mc:Choice>
  </mc:AlternateContent>
  <xr:revisionPtr revIDLastSave="0" documentId="13_ncr:1_{8890FCA0-1038-4AB3-8A86-6A9F8BAD36F0}" xr6:coauthVersionLast="47" xr6:coauthVersionMax="47" xr10:uidLastSave="{00000000-0000-0000-0000-000000000000}"/>
  <bookViews>
    <workbookView xWindow="-120" yWindow="-120" windowWidth="29040" windowHeight="15720" xr2:uid="{5466FCB3-EF65-4CD8-A129-3158E0E803E7}"/>
  </bookViews>
  <sheets>
    <sheet name="MDOO" sheetId="20" r:id="rId1"/>
  </sheets>
  <definedNames>
    <definedName name="_xlnm.Print_Area" localSheetId="0">MDOO!$A$1:$K$48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" i="20" l="1"/>
  <c r="AT23" i="20"/>
  <c r="H10" i="20"/>
  <c r="E10" i="20"/>
  <c r="D10" i="20"/>
  <c r="A10" i="20"/>
  <c r="N13" i="20"/>
  <c r="X13" i="20"/>
  <c r="AP13" i="20"/>
  <c r="AZ13" i="20" s="1"/>
  <c r="AX22" i="20"/>
  <c r="AX21" i="20"/>
  <c r="AX20" i="20"/>
  <c r="V20" i="20"/>
  <c r="V18" i="20"/>
  <c r="AT12" i="20"/>
  <c r="AX19" i="20" s="1"/>
  <c r="R12" i="20"/>
  <c r="V19" i="20" s="1"/>
  <c r="AT11" i="20"/>
  <c r="AX18" i="20" s="1"/>
  <c r="R11" i="20"/>
  <c r="C10" i="20"/>
  <c r="V23" i="20" l="1"/>
  <c r="AH23" i="20" s="1"/>
  <c r="AH24" i="20" s="1"/>
  <c r="G10" i="20" s="1"/>
  <c r="AX23" i="20"/>
  <c r="I10" i="20" s="1"/>
  <c r="AC23" i="20"/>
  <c r="BA14" i="20"/>
  <c r="BA29" i="20"/>
  <c r="F10" i="20" l="1"/>
  <c r="BA28" i="20"/>
  <c r="BI29" i="20" s="1"/>
  <c r="J10" i="20" s="1"/>
  <c r="K10" i="20" s="1"/>
  <c r="BE23" i="20"/>
  <c r="BJ23" i="20" s="1"/>
  <c r="BA31" i="20"/>
  <c r="BI31" i="20" l="1"/>
  <c r="K12" i="20"/>
  <c r="BQ23" i="20"/>
</calcChain>
</file>

<file path=xl/sharedStrings.xml><?xml version="1.0" encoding="utf-8"?>
<sst xmlns="http://schemas.openxmlformats.org/spreadsheetml/2006/main" count="99" uniqueCount="60">
  <si>
    <t>:</t>
  </si>
  <si>
    <t>NAME</t>
  </si>
  <si>
    <t>DESIGNATION/ POSITION</t>
  </si>
  <si>
    <t>RATE/DAY</t>
  </si>
  <si>
    <t>REGULAR DAYS</t>
  </si>
  <si>
    <t>NO. MINUTES</t>
  </si>
  <si>
    <t>TOTAL OT</t>
  </si>
  <si>
    <t>SAT/ SUN/ HOLIDAYS</t>
  </si>
  <si>
    <t>RATE/ MINUTE</t>
  </si>
  <si>
    <t>NO.  OF MINUTES</t>
  </si>
  <si>
    <t>GROSS AMOUNT</t>
  </si>
  <si>
    <t>TOTAL AMOUNT</t>
  </si>
  <si>
    <t>NO. OF HOURS/ MINUTES TO BE RENDERED</t>
  </si>
  <si>
    <t>WEEKDAYS</t>
  </si>
  <si>
    <t>WEEKENDS/ HOLIDAYS</t>
  </si>
  <si>
    <t>TOTAL</t>
  </si>
  <si>
    <t>B.	COMPENSATORY OVERTIME CREDIT ESTIMATE</t>
  </si>
  <si>
    <t>Prepared by:</t>
  </si>
  <si>
    <t>Reviewed by:</t>
  </si>
  <si>
    <t>Approved by:</t>
  </si>
  <si>
    <t>ENGR. MARK CLOYD G. SO</t>
  </si>
  <si>
    <t>Acting Division IMO Manager</t>
  </si>
  <si>
    <t>hr.</t>
  </si>
  <si>
    <t>=</t>
  </si>
  <si>
    <t>mins</t>
  </si>
  <si>
    <t>hrs</t>
  </si>
  <si>
    <t>/</t>
  </si>
  <si>
    <t>day</t>
  </si>
  <si>
    <t>Undertime</t>
  </si>
  <si>
    <t>Mins. Rendered</t>
  </si>
  <si>
    <t>Hours</t>
  </si>
  <si>
    <t>Mins.</t>
  </si>
  <si>
    <t>x</t>
  </si>
  <si>
    <t>SAT/SUN/HOLIDAYS</t>
  </si>
  <si>
    <t>No. of Hours</t>
  </si>
  <si>
    <t>UWA</t>
  </si>
  <si>
    <t>FORM D</t>
  </si>
  <si>
    <t xml:space="preserve">PERIOD COVERED  </t>
  </si>
  <si>
    <t>NAME OF OFFICE/SECTION</t>
  </si>
  <si>
    <t>Designation</t>
  </si>
  <si>
    <t>SAA</t>
  </si>
  <si>
    <t>SAB</t>
  </si>
  <si>
    <t>UWB</t>
  </si>
  <si>
    <t>EB</t>
  </si>
  <si>
    <t>EA</t>
  </si>
  <si>
    <t>EAA</t>
  </si>
  <si>
    <t>EAB</t>
  </si>
  <si>
    <t>For Checking Purposes:</t>
  </si>
  <si>
    <t>Min. Rendered</t>
  </si>
  <si>
    <t>Rate/Min(w/ multip.)</t>
  </si>
  <si>
    <t>Rate/Min(w/o multip.)</t>
  </si>
  <si>
    <t>Total</t>
  </si>
  <si>
    <t>(For Holiday/Weekends)</t>
  </si>
  <si>
    <r>
      <t xml:space="preserve">Multip. By </t>
    </r>
    <r>
      <rPr>
        <b/>
        <i/>
        <sz val="11"/>
        <color theme="1"/>
        <rFont val="Cambria"/>
        <family val="1"/>
      </rPr>
      <t>1.50</t>
    </r>
  </si>
  <si>
    <t>ADMINISTRATIVE SECTION</t>
  </si>
  <si>
    <t>IAN FELICIANO III P. BERDIN</t>
  </si>
  <si>
    <t>Acting Section Head  , Adminstrative Section</t>
  </si>
  <si>
    <t>MARC DAVID O. OROGO</t>
  </si>
  <si>
    <t>Data Encoder I</t>
  </si>
  <si>
    <t>From October 16 to October 27,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</si>
</sst>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1"/>
      <color rgb="FFFF0000"/>
      <name val="Cambria"/>
      <family val="1"/>
    </font>
    <font>
      <b/>
      <sz val="12"/>
      <color theme="1"/>
      <name val="Cambria"/>
      <family val="1"/>
    </font>
    <font>
      <i/>
      <sz val="11"/>
      <color theme="1"/>
      <name val="Cambria"/>
      <family val="1"/>
    </font>
    <font>
      <b/>
      <i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quotePrefix="1" applyFont="1"/>
    <xf numFmtId="0" fontId="1" fillId="3" borderId="0" xfId="0" applyFont="1" applyFill="1"/>
    <xf numFmtId="2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5" borderId="0" xfId="0" applyFont="1" applyFill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4" xfId="0" applyFont="1" applyBorder="1"/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left"/>
    </xf>
    <xf numFmtId="2" fontId="1" fillId="0" borderId="0" xfId="0" applyNumberFormat="1" applyFont="1"/>
    <xf numFmtId="0" fontId="2" fillId="0" borderId="2" xfId="0" applyFont="1" applyBorder="1" applyAlignment="1">
      <alignment horizontal="center" vertical="center"/>
    </xf>
    <xf numFmtId="2" fontId="1" fillId="0" borderId="1" xfId="0" applyNumberFormat="1" applyFont="1" applyBorder="1"/>
    <xf numFmtId="0" fontId="6" fillId="0" borderId="0" xfId="0" applyFont="1"/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2C24-6A67-43BC-8187-D384C17FB9F4}">
  <sheetPr>
    <pageSetUpPr fitToPage="1"/>
  </sheetPr>
  <dimension ref="A1:BR31"/>
  <sheetViews>
    <sheetView tabSelected="1" view="pageBreakPreview" zoomScale="85" zoomScaleNormal="100" zoomScaleSheetLayoutView="85" zoomScalePageLayoutView="85" workbookViewId="0">
      <selection activeCell="C4" sqref="C4"/>
    </sheetView>
  </sheetViews>
  <sheetFormatPr defaultColWidth="1.7109375" defaultRowHeight="14.45" customHeight="1" x14ac:dyDescent="0.2"/>
  <cols>
    <col min="1" max="1" width="34" style="3" customWidth="1"/>
    <col min="2" max="2" width="1.28515625" style="3" customWidth="1"/>
    <col min="3" max="3" width="19.140625" style="3" customWidth="1"/>
    <col min="4" max="4" width="19.140625" style="16" customWidth="1"/>
    <col min="5" max="5" width="19.140625" style="3" customWidth="1"/>
    <col min="6" max="7" width="19.140625" style="2" customWidth="1"/>
    <col min="8" max="8" width="19.140625" style="6" customWidth="1"/>
    <col min="9" max="11" width="19.140625" style="3" customWidth="1"/>
    <col min="12" max="13" width="1.7109375" style="3"/>
    <col min="14" max="14" width="2.5703125" style="3" bestFit="1" customWidth="1"/>
    <col min="15" max="17" width="1.7109375" style="3"/>
    <col min="18" max="18" width="2.28515625" style="3" bestFit="1" customWidth="1"/>
    <col min="19" max="28" width="1.7109375" style="3"/>
    <col min="29" max="30" width="8.140625" style="3" bestFit="1" customWidth="1"/>
    <col min="31" max="37" width="1.7109375" style="3"/>
    <col min="38" max="38" width="7.28515625" style="3" bestFit="1" customWidth="1"/>
    <col min="39" max="50" width="1.7109375" style="3"/>
    <col min="51" max="51" width="2.28515625" style="3" bestFit="1" customWidth="1"/>
    <col min="52" max="52" width="1.7109375" style="3"/>
    <col min="53" max="53" width="8.140625" style="3" bestFit="1" customWidth="1"/>
    <col min="54" max="16384" width="1.7109375" style="3"/>
  </cols>
  <sheetData>
    <row r="1" spans="1:70" ht="14.45" customHeight="1" x14ac:dyDescent="0.2">
      <c r="D1" s="3"/>
      <c r="F1" s="3"/>
      <c r="G1" s="3"/>
      <c r="H1" s="3"/>
      <c r="J1" s="30" t="s">
        <v>36</v>
      </c>
      <c r="K1" s="30"/>
    </row>
    <row r="2" spans="1:70" ht="14.45" customHeight="1" x14ac:dyDescent="0.2">
      <c r="D2" s="3"/>
      <c r="F2" s="3"/>
      <c r="G2" s="3"/>
      <c r="H2" s="3"/>
    </row>
    <row r="3" spans="1:70" ht="14.45" customHeight="1" x14ac:dyDescent="0.2">
      <c r="A3" s="21" t="s">
        <v>38</v>
      </c>
      <c r="B3" s="21" t="s">
        <v>0</v>
      </c>
      <c r="C3" s="22" t="s">
        <v>54</v>
      </c>
      <c r="D3" s="22"/>
      <c r="F3" s="3"/>
      <c r="G3" s="3"/>
      <c r="H3" s="3"/>
    </row>
    <row r="4" spans="1:70" ht="14.45" customHeight="1" x14ac:dyDescent="0.2">
      <c r="A4" s="21" t="s">
        <v>37</v>
      </c>
      <c r="B4" s="21" t="s">
        <v>0</v>
      </c>
      <c r="C4" s="20" t="s">
        <v>59</v>
      </c>
      <c r="D4" s="20"/>
      <c r="F4" s="3"/>
      <c r="G4" s="3"/>
      <c r="H4" s="3"/>
      <c r="Q4" s="23" t="s">
        <v>39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</row>
    <row r="5" spans="1:70" ht="14.45" customHeight="1" x14ac:dyDescent="0.2">
      <c r="A5" s="17"/>
      <c r="B5" s="17"/>
      <c r="D5" s="3"/>
      <c r="F5" s="3"/>
      <c r="G5" s="3"/>
      <c r="H5" s="3"/>
      <c r="Q5" s="23"/>
      <c r="R5" s="23"/>
      <c r="S5" s="23"/>
      <c r="T5" s="23"/>
      <c r="U5" s="23"/>
      <c r="V5" s="23"/>
      <c r="W5" s="23"/>
      <c r="X5" s="23" t="s">
        <v>35</v>
      </c>
      <c r="Y5" s="23"/>
      <c r="Z5" s="23"/>
      <c r="AA5" s="23" t="s">
        <v>23</v>
      </c>
      <c r="AB5" s="23"/>
      <c r="AC5" s="23">
        <v>567.32000000000005</v>
      </c>
      <c r="AD5" s="23"/>
      <c r="AE5" s="23"/>
      <c r="AF5" s="23"/>
      <c r="AG5" s="23" t="s">
        <v>45</v>
      </c>
      <c r="AH5" s="23"/>
      <c r="AI5" s="23"/>
      <c r="AJ5" s="23" t="s">
        <v>23</v>
      </c>
      <c r="AK5" s="23"/>
      <c r="AL5" s="23">
        <v>941.17</v>
      </c>
      <c r="AM5" s="23"/>
      <c r="AN5" s="23"/>
      <c r="AO5" s="23"/>
      <c r="AP5" s="23"/>
      <c r="AQ5" s="23"/>
      <c r="AR5" s="23"/>
      <c r="AS5" s="23"/>
      <c r="AT5" s="23"/>
      <c r="AU5" s="23" t="s">
        <v>42</v>
      </c>
      <c r="AV5" s="23"/>
      <c r="AW5" s="23"/>
      <c r="AX5" s="23"/>
      <c r="AY5" s="23" t="s">
        <v>23</v>
      </c>
      <c r="AZ5" s="23"/>
      <c r="BA5" s="23">
        <v>490.9</v>
      </c>
      <c r="BB5" s="23"/>
    </row>
    <row r="6" spans="1:70" ht="14.45" customHeight="1" x14ac:dyDescent="0.2">
      <c r="A6" s="17"/>
      <c r="B6" s="17"/>
      <c r="D6" s="3"/>
      <c r="F6" s="3"/>
      <c r="G6" s="3"/>
      <c r="H6" s="3"/>
      <c r="Q6" s="23"/>
      <c r="R6" s="23"/>
      <c r="S6" s="23"/>
      <c r="T6" s="23"/>
      <c r="U6" s="23"/>
      <c r="V6" s="23"/>
      <c r="W6" s="23"/>
      <c r="X6" s="23" t="s">
        <v>40</v>
      </c>
      <c r="Y6" s="23"/>
      <c r="Z6" s="23"/>
      <c r="AA6" s="23" t="s">
        <v>23</v>
      </c>
      <c r="AB6" s="23"/>
      <c r="AC6" s="23">
        <v>704.77</v>
      </c>
      <c r="AD6" s="23"/>
      <c r="AE6" s="23"/>
      <c r="AF6" s="23"/>
      <c r="AG6" s="23" t="s">
        <v>46</v>
      </c>
      <c r="AH6" s="23"/>
      <c r="AI6" s="23"/>
      <c r="AJ6" s="23" t="s">
        <v>23</v>
      </c>
      <c r="AK6" s="23"/>
      <c r="AL6" s="23">
        <v>814.41</v>
      </c>
      <c r="AM6" s="23"/>
      <c r="AN6" s="23"/>
      <c r="AO6" s="23"/>
      <c r="AP6" s="23"/>
      <c r="AQ6" s="23"/>
      <c r="AR6" s="23"/>
      <c r="AS6" s="23"/>
      <c r="AT6" s="23"/>
      <c r="AU6" s="23" t="s">
        <v>43</v>
      </c>
      <c r="AV6" s="23"/>
      <c r="AW6" s="23"/>
      <c r="AX6" s="23"/>
      <c r="AY6" s="23" t="s">
        <v>23</v>
      </c>
      <c r="AZ6" s="23"/>
      <c r="BA6" s="23">
        <v>814.41</v>
      </c>
      <c r="BB6" s="23"/>
    </row>
    <row r="7" spans="1:70" ht="14.45" customHeight="1" x14ac:dyDescent="0.2">
      <c r="D7" s="3"/>
      <c r="F7" s="3"/>
      <c r="G7" s="3"/>
      <c r="H7" s="3"/>
      <c r="Q7" s="23"/>
      <c r="R7" s="23"/>
      <c r="S7" s="23"/>
      <c r="T7" s="23"/>
      <c r="U7" s="23"/>
      <c r="V7" s="23"/>
      <c r="W7" s="23"/>
      <c r="X7" s="23" t="s">
        <v>41</v>
      </c>
      <c r="Y7" s="23"/>
      <c r="Z7" s="23"/>
      <c r="AA7" s="23" t="s">
        <v>23</v>
      </c>
      <c r="AB7" s="23"/>
      <c r="AC7" s="23">
        <v>609.86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 t="s">
        <v>44</v>
      </c>
      <c r="AV7" s="23"/>
      <c r="AW7" s="23"/>
      <c r="AX7" s="23"/>
      <c r="AY7" s="23" t="s">
        <v>23</v>
      </c>
      <c r="AZ7" s="23"/>
      <c r="BA7" s="23">
        <v>1256.94</v>
      </c>
      <c r="BB7" s="23"/>
    </row>
    <row r="8" spans="1:70" s="15" customFormat="1" ht="31.9" customHeight="1" x14ac:dyDescent="0.2">
      <c r="A8" s="31" t="s">
        <v>1</v>
      </c>
      <c r="B8" s="32"/>
      <c r="C8" s="35" t="s">
        <v>2</v>
      </c>
      <c r="D8" s="35" t="s">
        <v>3</v>
      </c>
      <c r="E8" s="35" t="s">
        <v>4</v>
      </c>
      <c r="F8" s="35"/>
      <c r="G8" s="9" t="s">
        <v>6</v>
      </c>
      <c r="H8" s="35" t="s">
        <v>7</v>
      </c>
      <c r="I8" s="35"/>
      <c r="J8" s="9" t="s">
        <v>6</v>
      </c>
      <c r="K8" s="35" t="s">
        <v>10</v>
      </c>
    </row>
    <row r="9" spans="1:70" s="15" customFormat="1" ht="31.9" customHeight="1" x14ac:dyDescent="0.2">
      <c r="A9" s="33"/>
      <c r="B9" s="34"/>
      <c r="C9" s="35"/>
      <c r="D9" s="35"/>
      <c r="E9" s="9" t="s">
        <v>8</v>
      </c>
      <c r="F9" s="9" t="s">
        <v>5</v>
      </c>
      <c r="G9" s="9" t="s">
        <v>4</v>
      </c>
      <c r="H9" s="9" t="s">
        <v>8</v>
      </c>
      <c r="I9" s="9" t="s">
        <v>9</v>
      </c>
      <c r="J9" s="9" t="s">
        <v>7</v>
      </c>
      <c r="K9" s="35"/>
    </row>
    <row r="10" spans="1:70" customFormat="1" ht="14.45" customHeight="1" x14ac:dyDescent="0.25">
      <c r="A10" s="27" t="str">
        <f>$A$28</f>
        <v>MARC DAVID O. OROGO</v>
      </c>
      <c r="B10" s="29"/>
      <c r="C10" s="10" t="str">
        <f>$A$29</f>
        <v>Data Encoder I</v>
      </c>
      <c r="D10" s="13">
        <f>$N$13</f>
        <v>704.77</v>
      </c>
      <c r="E10" s="14">
        <f>$X$13</f>
        <v>1.4682708333333332</v>
      </c>
      <c r="F10" s="4">
        <f>V23</f>
        <v>0</v>
      </c>
      <c r="G10" s="14">
        <f>AH24</f>
        <v>0</v>
      </c>
      <c r="H10" s="14">
        <f>$BA$14</f>
        <v>2.2024062499999997</v>
      </c>
      <c r="I10" s="14">
        <f>$AX$23</f>
        <v>960</v>
      </c>
      <c r="J10" s="4">
        <f>BI29</f>
        <v>2114.31</v>
      </c>
      <c r="K10" s="36">
        <f>J10+G10</f>
        <v>2114.31</v>
      </c>
      <c r="N10" s="8" t="s">
        <v>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23">
        <v>609.86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8" t="s">
        <v>33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</row>
    <row r="11" spans="1:70" customFormat="1" ht="14.45" customHeight="1" x14ac:dyDescent="0.25">
      <c r="A11" s="27"/>
      <c r="B11" s="29"/>
      <c r="C11" s="18"/>
      <c r="D11" s="18"/>
      <c r="E11" s="18"/>
      <c r="F11" s="18"/>
      <c r="G11" s="18"/>
      <c r="H11" s="18"/>
      <c r="I11" s="18"/>
      <c r="J11" s="18"/>
      <c r="K11" s="37"/>
      <c r="N11" s="3">
        <v>1</v>
      </c>
      <c r="O11" s="3" t="s">
        <v>22</v>
      </c>
      <c r="P11" s="3"/>
      <c r="Q11" s="11" t="s">
        <v>23</v>
      </c>
      <c r="R11" s="30">
        <f>N11*60</f>
        <v>60</v>
      </c>
      <c r="S11" s="30"/>
      <c r="T11" s="30"/>
      <c r="U11" s="3" t="s">
        <v>24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>
        <v>1</v>
      </c>
      <c r="AQ11" s="3" t="s">
        <v>22</v>
      </c>
      <c r="AR11" s="3"/>
      <c r="AS11" s="11" t="s">
        <v>23</v>
      </c>
      <c r="AT11" s="30">
        <f>AP11*60</f>
        <v>60</v>
      </c>
      <c r="AU11" s="30"/>
      <c r="AV11" s="30"/>
      <c r="AW11" s="3" t="s">
        <v>24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</row>
    <row r="12" spans="1:70" ht="14.45" customHeight="1" x14ac:dyDescent="0.2">
      <c r="A12" s="27"/>
      <c r="B12" s="28"/>
      <c r="C12" s="28"/>
      <c r="D12" s="28"/>
      <c r="E12" s="28"/>
      <c r="F12" s="28"/>
      <c r="G12" s="28"/>
      <c r="H12" s="28"/>
      <c r="I12" s="29"/>
      <c r="J12" s="5" t="s">
        <v>11</v>
      </c>
      <c r="K12" s="25">
        <f>K10</f>
        <v>2114.31</v>
      </c>
      <c r="N12" s="3">
        <v>8</v>
      </c>
      <c r="O12" s="3" t="s">
        <v>25</v>
      </c>
      <c r="Q12" s="11" t="s">
        <v>23</v>
      </c>
      <c r="R12" s="30">
        <f>N12*60</f>
        <v>480</v>
      </c>
      <c r="S12" s="30"/>
      <c r="T12" s="30"/>
      <c r="U12" s="3" t="s">
        <v>24</v>
      </c>
      <c r="AP12" s="3">
        <v>8</v>
      </c>
      <c r="AQ12" s="3" t="s">
        <v>25</v>
      </c>
      <c r="AS12" s="11" t="s">
        <v>23</v>
      </c>
      <c r="AT12" s="30">
        <f>AP12*60</f>
        <v>480</v>
      </c>
      <c r="AU12" s="30"/>
      <c r="AV12" s="30"/>
      <c r="AW12" s="3" t="s">
        <v>24</v>
      </c>
    </row>
    <row r="13" spans="1:70" ht="14.45" customHeight="1" x14ac:dyDescent="0.2">
      <c r="D13" s="3"/>
      <c r="F13" s="3"/>
      <c r="G13" s="3"/>
      <c r="H13" s="3"/>
      <c r="N13" s="39">
        <f t="shared" ref="N13" si="0">$AC$6</f>
        <v>704.77</v>
      </c>
      <c r="O13" s="30"/>
      <c r="P13" s="30"/>
      <c r="Q13" s="30"/>
      <c r="R13" s="30"/>
      <c r="S13" s="11" t="s">
        <v>26</v>
      </c>
      <c r="T13" s="3" t="s">
        <v>27</v>
      </c>
      <c r="W13" s="11" t="s">
        <v>23</v>
      </c>
      <c r="X13" s="30">
        <f>N13/N12/R11</f>
        <v>1.4682708333333332</v>
      </c>
      <c r="Y13" s="30"/>
      <c r="Z13" s="30"/>
      <c r="AA13" s="30"/>
      <c r="AP13" s="30">
        <f t="shared" ref="AP13" si="1">$N$13</f>
        <v>704.77</v>
      </c>
      <c r="AQ13" s="30"/>
      <c r="AR13" s="30"/>
      <c r="AS13" s="30"/>
      <c r="AT13" s="30"/>
      <c r="AU13" s="11" t="s">
        <v>26</v>
      </c>
      <c r="AV13" s="3" t="s">
        <v>27</v>
      </c>
      <c r="AY13" s="11" t="s">
        <v>23</v>
      </c>
      <c r="AZ13" s="39">
        <f>AP13/AP12/AT11</f>
        <v>1.4682708333333332</v>
      </c>
      <c r="BA13" s="39"/>
      <c r="BB13" s="39"/>
      <c r="BC13" s="39"/>
    </row>
    <row r="14" spans="1:70" customFormat="1" ht="14.45" customHeight="1" x14ac:dyDescent="0.25">
      <c r="A14" s="40" t="s">
        <v>16</v>
      </c>
      <c r="B14" s="40"/>
      <c r="C14" s="40"/>
      <c r="D14" s="40"/>
      <c r="E14" s="40"/>
      <c r="F14" s="40"/>
      <c r="G14" s="40"/>
      <c r="H14" s="40"/>
      <c r="I14" s="40"/>
      <c r="J14" s="4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 t="s">
        <v>23</v>
      </c>
      <c r="AZ14" s="3"/>
      <c r="BA14" s="23">
        <f>AZ13*1.5</f>
        <v>2.2024062499999997</v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</row>
    <row r="15" spans="1:70" customFormat="1" ht="14.45" customHeight="1" x14ac:dyDescent="0.25">
      <c r="A15" s="31" t="s">
        <v>1</v>
      </c>
      <c r="B15" s="32"/>
      <c r="C15" s="35" t="s">
        <v>2</v>
      </c>
      <c r="D15" s="38" t="s">
        <v>12</v>
      </c>
      <c r="E15" s="38"/>
      <c r="F15" s="38"/>
      <c r="G15" s="38"/>
      <c r="H15" s="38" t="s">
        <v>15</v>
      </c>
      <c r="I15" s="3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</row>
    <row r="16" spans="1:70" ht="14.45" customHeight="1" x14ac:dyDescent="0.2">
      <c r="A16" s="33"/>
      <c r="B16" s="34"/>
      <c r="C16" s="35"/>
      <c r="D16" s="38" t="s">
        <v>13</v>
      </c>
      <c r="E16" s="38"/>
      <c r="F16" s="38" t="s">
        <v>14</v>
      </c>
      <c r="G16" s="38"/>
      <c r="H16" s="38"/>
      <c r="I16" s="38"/>
      <c r="N16" s="42" t="s">
        <v>34</v>
      </c>
      <c r="O16" s="42"/>
      <c r="P16" s="42"/>
      <c r="Q16" s="42"/>
      <c r="R16" s="42"/>
      <c r="S16" s="42"/>
      <c r="T16" s="42"/>
      <c r="U16" s="42"/>
      <c r="V16" s="43" t="s">
        <v>29</v>
      </c>
      <c r="W16" s="43"/>
      <c r="X16" s="43"/>
      <c r="Y16" s="43"/>
      <c r="Z16" s="43"/>
      <c r="AA16" s="43"/>
      <c r="AP16" s="44" t="s">
        <v>28</v>
      </c>
      <c r="AQ16" s="44"/>
      <c r="AR16" s="44"/>
      <c r="AS16" s="44"/>
      <c r="AT16" s="44"/>
      <c r="AU16" s="44"/>
      <c r="AV16" s="44"/>
      <c r="AW16" s="44"/>
      <c r="AX16" s="43" t="s">
        <v>29</v>
      </c>
      <c r="AY16" s="43"/>
      <c r="AZ16" s="43"/>
      <c r="BA16" s="43"/>
      <c r="BB16" s="43"/>
      <c r="BC16" s="43"/>
    </row>
    <row r="17" spans="1:69" ht="14.45" customHeight="1" x14ac:dyDescent="0.2">
      <c r="A17" s="27"/>
      <c r="B17" s="29"/>
      <c r="C17" s="10"/>
      <c r="D17" s="45"/>
      <c r="E17" s="45"/>
      <c r="F17" s="45"/>
      <c r="G17" s="45"/>
      <c r="H17" s="45"/>
      <c r="I17" s="45"/>
      <c r="N17" s="42" t="s">
        <v>30</v>
      </c>
      <c r="O17" s="42"/>
      <c r="P17" s="42"/>
      <c r="Q17" s="42"/>
      <c r="R17" s="42" t="s">
        <v>31</v>
      </c>
      <c r="S17" s="42"/>
      <c r="T17" s="42"/>
      <c r="U17" s="42"/>
      <c r="V17" s="43"/>
      <c r="W17" s="43"/>
      <c r="X17" s="43"/>
      <c r="Y17" s="43"/>
      <c r="Z17" s="43"/>
      <c r="AA17" s="43"/>
      <c r="AP17" s="42" t="s">
        <v>30</v>
      </c>
      <c r="AQ17" s="42"/>
      <c r="AR17" s="42"/>
      <c r="AS17" s="42"/>
      <c r="AT17" s="42" t="s">
        <v>31</v>
      </c>
      <c r="AU17" s="42"/>
      <c r="AV17" s="42"/>
      <c r="AW17" s="42"/>
      <c r="AX17" s="43"/>
      <c r="AY17" s="43"/>
      <c r="AZ17" s="43"/>
      <c r="BA17" s="43"/>
      <c r="BB17" s="43"/>
      <c r="BC17" s="43"/>
    </row>
    <row r="18" spans="1:69" ht="14.45" customHeight="1" x14ac:dyDescent="0.2">
      <c r="A18" s="27"/>
      <c r="B18" s="29"/>
      <c r="C18" s="4"/>
      <c r="D18" s="45"/>
      <c r="E18" s="45"/>
      <c r="F18" s="45"/>
      <c r="G18" s="45"/>
      <c r="H18" s="45"/>
      <c r="I18" s="45"/>
      <c r="N18" s="42"/>
      <c r="O18" s="42"/>
      <c r="P18" s="42"/>
      <c r="Q18" s="42"/>
      <c r="R18" s="42"/>
      <c r="S18" s="42"/>
      <c r="T18" s="42"/>
      <c r="U18" s="42"/>
      <c r="V18" s="46">
        <f>ROUND((N18*R11)+R18,2)</f>
        <v>0</v>
      </c>
      <c r="W18" s="46"/>
      <c r="X18" s="46"/>
      <c r="Y18" s="46"/>
      <c r="Z18" s="46"/>
      <c r="AA18" s="46"/>
      <c r="AP18" s="42">
        <v>0</v>
      </c>
      <c r="AQ18" s="42"/>
      <c r="AR18" s="42"/>
      <c r="AS18" s="42"/>
      <c r="AT18" s="42">
        <v>480</v>
      </c>
      <c r="AU18" s="42"/>
      <c r="AV18" s="42"/>
      <c r="AW18" s="42"/>
      <c r="AX18" s="46">
        <f>ROUND((AP18*AT11)+AT18,2)</f>
        <v>480</v>
      </c>
      <c r="AY18" s="46"/>
      <c r="AZ18" s="46"/>
      <c r="BA18" s="46"/>
      <c r="BB18" s="46"/>
      <c r="BC18" s="46"/>
    </row>
    <row r="19" spans="1:69" ht="14.45" customHeight="1" x14ac:dyDescent="0.2">
      <c r="A19" s="27"/>
      <c r="B19" s="29"/>
      <c r="C19" s="19"/>
      <c r="D19" s="45"/>
      <c r="E19" s="45"/>
      <c r="F19" s="45"/>
      <c r="G19" s="45"/>
      <c r="H19" s="45"/>
      <c r="I19" s="45"/>
      <c r="N19" s="42"/>
      <c r="O19" s="42"/>
      <c r="P19" s="42"/>
      <c r="Q19" s="42"/>
      <c r="R19" s="42"/>
      <c r="S19" s="42"/>
      <c r="T19" s="42"/>
      <c r="U19" s="42"/>
      <c r="V19" s="46">
        <f>ROUND((N19*R12)+R19,2)</f>
        <v>0</v>
      </c>
      <c r="W19" s="46"/>
      <c r="X19" s="46"/>
      <c r="Y19" s="46"/>
      <c r="Z19" s="46"/>
      <c r="AA19" s="46"/>
      <c r="AP19" s="42">
        <v>0</v>
      </c>
      <c r="AQ19" s="42"/>
      <c r="AR19" s="42"/>
      <c r="AS19" s="42"/>
      <c r="AT19" s="42">
        <v>480</v>
      </c>
      <c r="AU19" s="42"/>
      <c r="AV19" s="42"/>
      <c r="AW19" s="42"/>
      <c r="AX19" s="46">
        <f>ROUND((AP19*AT12)+AT19,2)</f>
        <v>480</v>
      </c>
      <c r="AY19" s="46"/>
      <c r="AZ19" s="46"/>
      <c r="BA19" s="46"/>
      <c r="BB19" s="46"/>
      <c r="BC19" s="46"/>
    </row>
    <row r="20" spans="1:69" ht="14.45" customHeight="1" x14ac:dyDescent="0.2">
      <c r="A20" s="27"/>
      <c r="B20" s="29"/>
      <c r="C20" s="19"/>
      <c r="D20" s="45"/>
      <c r="E20" s="45"/>
      <c r="F20" s="45"/>
      <c r="G20" s="45"/>
      <c r="H20" s="45"/>
      <c r="I20" s="45"/>
      <c r="N20" s="42"/>
      <c r="O20" s="42"/>
      <c r="P20" s="42"/>
      <c r="Q20" s="42"/>
      <c r="R20" s="42"/>
      <c r="S20" s="42"/>
      <c r="T20" s="42"/>
      <c r="U20" s="42"/>
      <c r="V20" s="46">
        <f>ROUND((N20*R13)+R20,2)</f>
        <v>0</v>
      </c>
      <c r="W20" s="46"/>
      <c r="X20" s="46"/>
      <c r="Y20" s="46"/>
      <c r="Z20" s="46"/>
      <c r="AA20" s="46"/>
      <c r="AP20" s="42">
        <v>0</v>
      </c>
      <c r="AQ20" s="42"/>
      <c r="AR20" s="42"/>
      <c r="AS20" s="42"/>
      <c r="AT20" s="42"/>
      <c r="AU20" s="42"/>
      <c r="AV20" s="42"/>
      <c r="AW20" s="42"/>
      <c r="AX20" s="46">
        <f>ROUND((AP20*AT13)+AT20,2)</f>
        <v>0</v>
      </c>
      <c r="AY20" s="46"/>
      <c r="AZ20" s="46"/>
      <c r="BA20" s="46"/>
      <c r="BB20" s="46"/>
      <c r="BC20" s="46"/>
    </row>
    <row r="21" spans="1:69" ht="14.45" customHeight="1" x14ac:dyDescent="0.2">
      <c r="D21" s="3"/>
      <c r="F21" s="3"/>
      <c r="G21" s="3"/>
      <c r="H21" s="3"/>
      <c r="N21" s="27"/>
      <c r="O21" s="28"/>
      <c r="P21" s="28"/>
      <c r="Q21" s="29"/>
      <c r="R21" s="27"/>
      <c r="S21" s="28"/>
      <c r="T21" s="28"/>
      <c r="U21" s="29"/>
      <c r="V21" s="47"/>
      <c r="W21" s="48"/>
      <c r="X21" s="48"/>
      <c r="Y21" s="48"/>
      <c r="Z21" s="48"/>
      <c r="AA21" s="49"/>
      <c r="AP21" s="42">
        <v>0</v>
      </c>
      <c r="AQ21" s="42"/>
      <c r="AR21" s="42"/>
      <c r="AS21" s="42"/>
      <c r="AT21" s="42"/>
      <c r="AU21" s="42"/>
      <c r="AV21" s="42"/>
      <c r="AW21" s="42"/>
      <c r="AX21" s="46">
        <f t="shared" ref="AX21:AX22" si="2">ROUND((AP21*AT14)+AT21,2)</f>
        <v>0</v>
      </c>
      <c r="AY21" s="46"/>
      <c r="AZ21" s="46"/>
      <c r="BA21" s="46"/>
      <c r="BB21" s="46"/>
      <c r="BC21" s="46"/>
    </row>
    <row r="22" spans="1:69" ht="14.45" customHeight="1" x14ac:dyDescent="0.2">
      <c r="D22" s="3"/>
      <c r="F22" s="3"/>
      <c r="G22" s="3"/>
      <c r="H22" s="3"/>
      <c r="N22" s="42"/>
      <c r="O22" s="42"/>
      <c r="P22" s="42"/>
      <c r="Q22" s="42"/>
      <c r="R22" s="42"/>
      <c r="S22" s="42"/>
      <c r="T22" s="42"/>
      <c r="U22" s="42"/>
      <c r="V22" s="46"/>
      <c r="W22" s="46"/>
      <c r="X22" s="46"/>
      <c r="Y22" s="46"/>
      <c r="Z22" s="46"/>
      <c r="AA22" s="46"/>
      <c r="AP22" s="42">
        <v>0</v>
      </c>
      <c r="AQ22" s="42"/>
      <c r="AR22" s="42"/>
      <c r="AS22" s="42"/>
      <c r="AT22" s="42">
        <v>0</v>
      </c>
      <c r="AU22" s="42"/>
      <c r="AV22" s="42"/>
      <c r="AW22" s="42"/>
      <c r="AX22" s="46">
        <f t="shared" si="2"/>
        <v>0</v>
      </c>
      <c r="AY22" s="46"/>
      <c r="AZ22" s="46"/>
      <c r="BA22" s="46"/>
      <c r="BB22" s="46"/>
      <c r="BC22" s="46"/>
    </row>
    <row r="23" spans="1:69" ht="14.45" customHeight="1" x14ac:dyDescent="0.2">
      <c r="D23" s="3"/>
      <c r="F23" s="3"/>
      <c r="G23" s="3"/>
      <c r="H23" s="3"/>
      <c r="R23" s="3">
        <f>COUNTIF(R18:U22,"480")</f>
        <v>0</v>
      </c>
      <c r="V23" s="53">
        <f>SUM(V18:AA22)</f>
        <v>0</v>
      </c>
      <c r="W23" s="53"/>
      <c r="X23" s="53"/>
      <c r="Y23" s="53"/>
      <c r="Z23" s="53"/>
      <c r="AA23" s="53"/>
      <c r="AB23" s="3" t="s">
        <v>32</v>
      </c>
      <c r="AC23" s="54">
        <f>X13</f>
        <v>1.4682708333333332</v>
      </c>
      <c r="AD23" s="54"/>
      <c r="AE23" s="54"/>
      <c r="AF23" s="54"/>
      <c r="AG23" s="11" t="s">
        <v>23</v>
      </c>
      <c r="AH23" s="51">
        <f>ROUND(V23*AC23,2)</f>
        <v>0</v>
      </c>
      <c r="AI23" s="51"/>
      <c r="AJ23" s="51"/>
      <c r="AK23" s="51"/>
      <c r="AL23" s="51"/>
      <c r="AM23" s="51"/>
      <c r="AT23" s="55">
        <f>COUNTIF(AT18:AW22,"480")</f>
        <v>2</v>
      </c>
      <c r="AU23" s="55"/>
      <c r="AV23" s="55"/>
      <c r="AW23" s="55"/>
      <c r="AX23" s="53">
        <f>SUM(AX18:BC22)</f>
        <v>960</v>
      </c>
      <c r="AY23" s="53"/>
      <c r="AZ23" s="53"/>
      <c r="BA23" s="53"/>
      <c r="BB23" s="53"/>
      <c r="BC23" s="53"/>
      <c r="BD23" s="3" t="s">
        <v>32</v>
      </c>
      <c r="BE23" s="54">
        <f t="shared" ref="BE23" si="3">$BA$14</f>
        <v>2.2024062499999997</v>
      </c>
      <c r="BF23" s="54"/>
      <c r="BG23" s="54"/>
      <c r="BH23" s="54"/>
      <c r="BI23" s="11" t="s">
        <v>23</v>
      </c>
      <c r="BJ23" s="51">
        <f>ROUND(AX23*BE23,2)</f>
        <v>2114.31</v>
      </c>
      <c r="BK23" s="51"/>
      <c r="BL23" s="51"/>
      <c r="BM23" s="51"/>
      <c r="BN23" s="51"/>
      <c r="BO23" s="51"/>
      <c r="BQ23" s="12">
        <f>BJ23*1.5</f>
        <v>3171.4650000000001</v>
      </c>
    </row>
    <row r="24" spans="1:69" ht="14.45" customHeight="1" x14ac:dyDescent="0.2">
      <c r="A24" s="1" t="s">
        <v>17</v>
      </c>
      <c r="B24" s="1"/>
      <c r="D24" s="1" t="s">
        <v>18</v>
      </c>
      <c r="E24" s="2"/>
      <c r="G24" s="1" t="s">
        <v>19</v>
      </c>
      <c r="H24" s="2"/>
      <c r="AG24" s="11" t="s">
        <v>23</v>
      </c>
      <c r="AH24" s="47">
        <f>AH23*1.25</f>
        <v>0</v>
      </c>
      <c r="AI24" s="48"/>
      <c r="AJ24" s="48"/>
      <c r="AK24" s="48"/>
      <c r="AL24" s="48"/>
      <c r="AM24" s="49"/>
      <c r="BE24" s="39"/>
      <c r="BF24" s="39"/>
      <c r="BG24" s="39"/>
      <c r="BH24" s="39"/>
      <c r="BJ24" s="27"/>
      <c r="BK24" s="28"/>
      <c r="BL24" s="28"/>
      <c r="BM24" s="28"/>
      <c r="BN24" s="28"/>
      <c r="BO24" s="29"/>
    </row>
    <row r="25" spans="1:69" ht="14.45" customHeight="1" x14ac:dyDescent="0.2">
      <c r="D25" s="7"/>
      <c r="E25" s="6"/>
      <c r="G25" s="7"/>
    </row>
    <row r="26" spans="1:69" ht="14.45" customHeight="1" x14ac:dyDescent="0.2">
      <c r="D26" s="7"/>
      <c r="E26" s="6"/>
      <c r="G26" s="7"/>
      <c r="AP26" s="3" t="s">
        <v>47</v>
      </c>
    </row>
    <row r="27" spans="1:69" ht="14.45" customHeight="1" x14ac:dyDescent="0.2">
      <c r="D27" s="7"/>
      <c r="E27" s="6"/>
      <c r="G27" s="7"/>
      <c r="AP27" s="3" t="s">
        <v>52</v>
      </c>
    </row>
    <row r="28" spans="1:69" ht="14.45" customHeight="1" x14ac:dyDescent="0.2">
      <c r="A28" s="24" t="s">
        <v>57</v>
      </c>
      <c r="D28" s="52" t="s">
        <v>55</v>
      </c>
      <c r="E28" s="52"/>
      <c r="G28" s="52" t="s">
        <v>20</v>
      </c>
      <c r="H28" s="52"/>
      <c r="AP28" s="3" t="s">
        <v>48</v>
      </c>
      <c r="BA28" s="3">
        <f>AX23</f>
        <v>960</v>
      </c>
    </row>
    <row r="29" spans="1:69" ht="14.45" customHeight="1" x14ac:dyDescent="0.2">
      <c r="A29" s="6" t="s">
        <v>58</v>
      </c>
      <c r="D29" s="50" t="s">
        <v>56</v>
      </c>
      <c r="E29" s="50"/>
      <c r="G29" s="50" t="s">
        <v>21</v>
      </c>
      <c r="H29" s="50"/>
      <c r="AP29" s="3" t="s">
        <v>50</v>
      </c>
      <c r="BA29" s="3">
        <f>AZ13</f>
        <v>1.4682708333333332</v>
      </c>
      <c r="BC29" s="3" t="s">
        <v>51</v>
      </c>
      <c r="BG29" s="3" t="s">
        <v>23</v>
      </c>
      <c r="BI29" s="30">
        <f>BA28*BA29*1.5</f>
        <v>2114.31</v>
      </c>
      <c r="BJ29" s="30"/>
      <c r="BK29" s="30"/>
      <c r="BL29" s="30"/>
      <c r="BM29" s="30"/>
      <c r="BN29" s="30"/>
      <c r="BO29" s="30"/>
    </row>
    <row r="30" spans="1:69" ht="14.45" customHeight="1" x14ac:dyDescent="0.2">
      <c r="BC30" s="26" t="s">
        <v>53</v>
      </c>
    </row>
    <row r="31" spans="1:69" ht="14.45" customHeight="1" x14ac:dyDescent="0.2">
      <c r="AP31" s="3" t="s">
        <v>49</v>
      </c>
      <c r="BA31" s="3">
        <f>BA14</f>
        <v>2.2024062499999997</v>
      </c>
      <c r="BC31" s="3" t="s">
        <v>51</v>
      </c>
      <c r="BG31" s="3" t="s">
        <v>23</v>
      </c>
      <c r="BI31" s="30">
        <f>BA28*BA31</f>
        <v>2114.3099999999995</v>
      </c>
      <c r="BJ31" s="30"/>
      <c r="BK31" s="30"/>
      <c r="BL31" s="30"/>
      <c r="BM31" s="30"/>
      <c r="BN31" s="30"/>
      <c r="BO31" s="30"/>
    </row>
  </sheetData>
  <mergeCells count="96">
    <mergeCell ref="D29:E29"/>
    <mergeCell ref="G29:H29"/>
    <mergeCell ref="BI29:BO29"/>
    <mergeCell ref="BI31:BO31"/>
    <mergeCell ref="BJ23:BO23"/>
    <mergeCell ref="AH24:AM24"/>
    <mergeCell ref="BE24:BH24"/>
    <mergeCell ref="BJ24:BO24"/>
    <mergeCell ref="D28:E28"/>
    <mergeCell ref="G28:H28"/>
    <mergeCell ref="V23:AA23"/>
    <mergeCell ref="AC23:AF23"/>
    <mergeCell ref="AH23:AM23"/>
    <mergeCell ref="AT23:AW23"/>
    <mergeCell ref="AX23:BC23"/>
    <mergeCell ref="BE23:BH23"/>
    <mergeCell ref="N22:Q22"/>
    <mergeCell ref="R22:U22"/>
    <mergeCell ref="V22:AA22"/>
    <mergeCell ref="AP22:AS22"/>
    <mergeCell ref="AT22:AW22"/>
    <mergeCell ref="N21:Q21"/>
    <mergeCell ref="R21:U21"/>
    <mergeCell ref="V21:AA21"/>
    <mergeCell ref="AP21:AS21"/>
    <mergeCell ref="AT21:AW21"/>
    <mergeCell ref="R20:U20"/>
    <mergeCell ref="V20:AA20"/>
    <mergeCell ref="AX22:BC22"/>
    <mergeCell ref="AP20:AS20"/>
    <mergeCell ref="AT20:AW20"/>
    <mergeCell ref="AX20:BC20"/>
    <mergeCell ref="AX21:BC21"/>
    <mergeCell ref="A20:B20"/>
    <mergeCell ref="D20:E20"/>
    <mergeCell ref="F20:G20"/>
    <mergeCell ref="H20:I20"/>
    <mergeCell ref="N20:Q20"/>
    <mergeCell ref="AT18:AW18"/>
    <mergeCell ref="AX18:BC18"/>
    <mergeCell ref="A19:B19"/>
    <mergeCell ref="D19:E19"/>
    <mergeCell ref="F19:G19"/>
    <mergeCell ref="H19:I19"/>
    <mergeCell ref="N19:Q19"/>
    <mergeCell ref="R19:U19"/>
    <mergeCell ref="V19:AA19"/>
    <mergeCell ref="AP19:AS19"/>
    <mergeCell ref="AT19:AW19"/>
    <mergeCell ref="AX19:BC19"/>
    <mergeCell ref="R18:U18"/>
    <mergeCell ref="V18:AA18"/>
    <mergeCell ref="A17:B17"/>
    <mergeCell ref="D17:E17"/>
    <mergeCell ref="AP18:AS18"/>
    <mergeCell ref="A18:B18"/>
    <mergeCell ref="D18:E18"/>
    <mergeCell ref="F18:G18"/>
    <mergeCell ref="H18:I18"/>
    <mergeCell ref="N18:Q18"/>
    <mergeCell ref="N16:U16"/>
    <mergeCell ref="V16:AA17"/>
    <mergeCell ref="AP16:AW16"/>
    <mergeCell ref="AX16:BC17"/>
    <mergeCell ref="F17:G17"/>
    <mergeCell ref="H17:I17"/>
    <mergeCell ref="N17:Q17"/>
    <mergeCell ref="R17:U17"/>
    <mergeCell ref="AP17:AS17"/>
    <mergeCell ref="AT17:AW17"/>
    <mergeCell ref="N13:R13"/>
    <mergeCell ref="X13:AA13"/>
    <mergeCell ref="AP13:AT13"/>
    <mergeCell ref="AZ13:BC13"/>
    <mergeCell ref="A14:J14"/>
    <mergeCell ref="A15:B16"/>
    <mergeCell ref="C15:C16"/>
    <mergeCell ref="D15:G15"/>
    <mergeCell ref="H15:I16"/>
    <mergeCell ref="D16:E16"/>
    <mergeCell ref="F16:G16"/>
    <mergeCell ref="A12:I12"/>
    <mergeCell ref="R12:T12"/>
    <mergeCell ref="AT12:AV12"/>
    <mergeCell ref="J1:K1"/>
    <mergeCell ref="A8:B9"/>
    <mergeCell ref="C8:C9"/>
    <mergeCell ref="D8:D9"/>
    <mergeCell ref="E8:F8"/>
    <mergeCell ref="H8:I8"/>
    <mergeCell ref="K8:K9"/>
    <mergeCell ref="A10:B10"/>
    <mergeCell ref="K10:K11"/>
    <mergeCell ref="A11:B11"/>
    <mergeCell ref="R11:T11"/>
    <mergeCell ref="AT11:AV11"/>
  </mergeCells>
  <printOptions horizontalCentered="1" verticalCentered="1"/>
  <pageMargins left="0.25" right="0.25" top="0.75" bottom="0.75" header="0.3" footer="0.3"/>
  <pageSetup scale="64" fitToHeight="0" orientation="landscape" horizontalDpi="4294967293" verticalDpi="0" r:id="rId1"/>
  <headerFooter>
    <oddHeader>&amp;C&amp;G</oddHeader>
    <oddFooter>&amp;C&amp;G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44379-1B91-423A-9E7A-6021FF81886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MDOO</vt:lpstr>
      <vt:lpstr>MDOO!Print_Area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Donel Vibar</dc:creator>
  <cp:lastModifiedBy>Nia01</cp:lastModifiedBy>
  <cp:lastPrinted>2025-10-15T08:09:11Z</cp:lastPrinted>
  <dcterms:created xsi:type="dcterms:W3CDTF">2025-02-03T07:33:49Z</dcterms:created>
  <dcterms:modified xsi:type="dcterms:W3CDTF">2025-10-27T08:16:45Z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{76344379-1B91-423A-9E7A-6021FF818866}</vt:lpwstr>
  </property>
</Properties>
</file>